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5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9" l="1"/>
  <c r="O31" i="9" l="1"/>
  <c r="N27" i="9"/>
  <c r="V27" i="9"/>
  <c r="N72" i="3" l="1"/>
  <c r="N71" i="3"/>
  <c r="N70" i="3"/>
  <c r="N69" i="3"/>
  <c r="N68" i="3"/>
  <c r="N14" i="9"/>
  <c r="N26" i="9"/>
  <c r="N9" i="9"/>
  <c r="N28" i="9"/>
  <c r="N21" i="9"/>
  <c r="N10" i="9"/>
  <c r="N5" i="9" l="1"/>
  <c r="N6" i="9"/>
  <c r="N13" i="9"/>
  <c r="N7" i="9"/>
  <c r="N18" i="9"/>
  <c r="N24" i="9"/>
  <c r="N11" i="9"/>
  <c r="N12" i="9"/>
  <c r="N22" i="9"/>
  <c r="N16" i="9"/>
  <c r="N19" i="9"/>
  <c r="N17" i="9"/>
  <c r="N15" i="9"/>
  <c r="N25" i="9"/>
  <c r="N8" i="9"/>
  <c r="N23" i="9"/>
  <c r="N20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 l="1"/>
  <c r="S37" i="9"/>
  <c r="S36" i="9" s="1"/>
  <c r="U36" i="9"/>
  <c r="T36" i="9"/>
  <c r="R36" i="9"/>
  <c r="Q36" i="9"/>
  <c r="P36" i="9"/>
  <c r="O36" i="9"/>
  <c r="U31" i="9"/>
  <c r="U33" i="9" s="1"/>
  <c r="T31" i="9"/>
  <c r="T33" i="9" s="1"/>
  <c r="S31" i="9"/>
  <c r="S42" i="9" s="1"/>
  <c r="R31" i="9"/>
  <c r="R42" i="9" s="1"/>
  <c r="Q31" i="9"/>
  <c r="Q33" i="9" s="1"/>
  <c r="P31" i="9"/>
  <c r="P42" i="9" s="1"/>
  <c r="O33" i="9"/>
  <c r="V28" i="9"/>
  <c r="V10" i="9"/>
  <c r="V20" i="9"/>
  <c r="V23" i="9"/>
  <c r="V8" i="9"/>
  <c r="V26" i="9"/>
  <c r="V25" i="9"/>
  <c r="V15" i="9"/>
  <c r="V17" i="9"/>
  <c r="V19" i="9"/>
  <c r="V16" i="9"/>
  <c r="V22" i="9"/>
  <c r="V14" i="9"/>
  <c r="V12" i="9"/>
  <c r="V11" i="9"/>
  <c r="V24" i="9"/>
  <c r="V9" i="9"/>
  <c r="V18" i="9"/>
  <c r="V7" i="9"/>
  <c r="V13" i="9"/>
  <c r="V6" i="9"/>
  <c r="V5" i="9"/>
  <c r="V21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 l="1"/>
  <c r="R33" i="9"/>
  <c r="S33" i="9"/>
  <c r="S40" i="9"/>
  <c r="S44" i="9" s="1"/>
  <c r="O42" i="9"/>
  <c r="T42" i="9"/>
  <c r="O40" i="9"/>
  <c r="P33" i="9"/>
  <c r="Q40" i="9"/>
  <c r="Q42" i="9"/>
  <c r="R40" i="9"/>
  <c r="R44" i="9" s="1"/>
  <c r="U40" i="9"/>
  <c r="U42" i="9"/>
  <c r="P40" i="9"/>
  <c r="V69" i="3"/>
  <c r="V70" i="3"/>
  <c r="V72" i="3"/>
  <c r="V71" i="3"/>
  <c r="U44" i="9" l="1"/>
  <c r="T44" i="9"/>
  <c r="O41" i="9"/>
  <c r="Q44" i="9"/>
  <c r="O44" i="9"/>
  <c r="P44" i="9"/>
  <c r="O43" i="9"/>
  <c r="N11" i="8"/>
  <c r="N16" i="8"/>
  <c r="N7" i="8"/>
  <c r="N10" i="8"/>
  <c r="N8" i="8"/>
  <c r="N13" i="8"/>
  <c r="N9" i="8"/>
  <c r="N5" i="8"/>
  <c r="N14" i="8"/>
  <c r="N6" i="8"/>
  <c r="N15" i="8"/>
  <c r="N12" i="8"/>
  <c r="N8" i="7"/>
  <c r="N7" i="7"/>
  <c r="N12" i="7"/>
  <c r="N11" i="7"/>
  <c r="N5" i="7"/>
  <c r="N13" i="7"/>
  <c r="N9" i="7"/>
  <c r="N6" i="7"/>
  <c r="N14" i="7"/>
  <c r="N15" i="7"/>
  <c r="N10" i="7"/>
  <c r="N32" i="6"/>
  <c r="N5" i="5"/>
  <c r="N12" i="5"/>
  <c r="N13" i="5"/>
  <c r="N8" i="5"/>
  <c r="N6" i="5"/>
  <c r="N14" i="5"/>
  <c r="N7" i="5"/>
  <c r="N18" i="5"/>
  <c r="N10" i="5"/>
  <c r="N9" i="5"/>
  <c r="N17" i="5"/>
  <c r="N19" i="5"/>
  <c r="N11" i="5"/>
  <c r="N27" i="5"/>
  <c r="N28" i="5"/>
  <c r="N25" i="5"/>
  <c r="N33" i="5"/>
  <c r="N15" i="5"/>
  <c r="N16" i="5"/>
  <c r="N23" i="5"/>
  <c r="N21" i="5"/>
  <c r="N24" i="5"/>
  <c r="N20" i="5"/>
  <c r="N26" i="5"/>
  <c r="N22" i="5"/>
  <c r="N30" i="5"/>
  <c r="N35" i="5"/>
  <c r="N34" i="5"/>
  <c r="N32" i="5"/>
  <c r="N29" i="5"/>
  <c r="N31" i="5"/>
  <c r="N13" i="6"/>
  <c r="N29" i="6"/>
  <c r="N5" i="6"/>
  <c r="N18" i="6"/>
  <c r="N22" i="6"/>
  <c r="N6" i="6"/>
  <c r="N19" i="6"/>
  <c r="N7" i="6"/>
  <c r="N14" i="6"/>
  <c r="N28" i="6"/>
  <c r="N9" i="6"/>
  <c r="N15" i="6"/>
  <c r="N31" i="6"/>
  <c r="N20" i="6"/>
  <c r="N10" i="6"/>
  <c r="N16" i="6"/>
  <c r="N21" i="6"/>
  <c r="N17" i="6"/>
  <c r="N30" i="6"/>
  <c r="N8" i="6"/>
  <c r="N11" i="6"/>
  <c r="N12" i="6"/>
  <c r="N23" i="6"/>
  <c r="N33" i="6"/>
  <c r="N24" i="6"/>
  <c r="N34" i="6"/>
  <c r="N35" i="6"/>
  <c r="N25" i="6"/>
  <c r="N26" i="6"/>
  <c r="N36" i="6"/>
  <c r="N27" i="6"/>
  <c r="N37" i="6"/>
  <c r="O45" i="9" l="1"/>
  <c r="O57" i="9" s="1"/>
  <c r="U10" i="7"/>
  <c r="R43" i="8" l="1"/>
  <c r="S25" i="8"/>
  <c r="S24" i="8" s="1"/>
  <c r="U24" i="8"/>
  <c r="T24" i="8"/>
  <c r="R24" i="8"/>
  <c r="Q24" i="8"/>
  <c r="P24" i="8"/>
  <c r="O24" i="8"/>
  <c r="U19" i="8"/>
  <c r="U21" i="8" s="1"/>
  <c r="T19" i="8"/>
  <c r="T21" i="8" s="1"/>
  <c r="S19" i="8"/>
  <c r="S21" i="8" s="1"/>
  <c r="R19" i="8"/>
  <c r="R21" i="8" s="1"/>
  <c r="Q19" i="8"/>
  <c r="Q30" i="8" s="1"/>
  <c r="P19" i="8"/>
  <c r="P30" i="8" s="1"/>
  <c r="O19" i="8"/>
  <c r="O21" i="8" s="1"/>
  <c r="V16" i="8"/>
  <c r="V8" i="8"/>
  <c r="V9" i="8"/>
  <c r="V12" i="8"/>
  <c r="V15" i="8"/>
  <c r="V13" i="8"/>
  <c r="V10" i="8"/>
  <c r="V14" i="8"/>
  <c r="V11" i="8"/>
  <c r="V6" i="8"/>
  <c r="V7" i="8"/>
  <c r="V5" i="8"/>
  <c r="S81" i="3"/>
  <c r="S75" i="3"/>
  <c r="S77" i="3" s="1"/>
  <c r="S80" i="3"/>
  <c r="S84" i="3" l="1"/>
  <c r="S86" i="3"/>
  <c r="R30" i="8"/>
  <c r="R28" i="8"/>
  <c r="Q21" i="8"/>
  <c r="P21" i="8"/>
  <c r="Q28" i="8"/>
  <c r="Q32" i="8" s="1"/>
  <c r="S28" i="8"/>
  <c r="S30" i="8"/>
  <c r="T28" i="8"/>
  <c r="T30" i="8"/>
  <c r="U28" i="8"/>
  <c r="U30" i="8"/>
  <c r="O28" i="8"/>
  <c r="O30" i="8"/>
  <c r="P28" i="8"/>
  <c r="P32" i="8" s="1"/>
  <c r="R42" i="7"/>
  <c r="T23" i="7"/>
  <c r="S23" i="7"/>
  <c r="R23" i="7"/>
  <c r="Q23" i="7"/>
  <c r="P23" i="7"/>
  <c r="O23" i="7"/>
  <c r="T18" i="7"/>
  <c r="T27" i="7" s="1"/>
  <c r="S18" i="7"/>
  <c r="S27" i="7" s="1"/>
  <c r="R18" i="7"/>
  <c r="R27" i="7" s="1"/>
  <c r="Q18" i="7"/>
  <c r="Q20" i="7" s="1"/>
  <c r="P18" i="7"/>
  <c r="P20" i="7" s="1"/>
  <c r="O18" i="7"/>
  <c r="O20" i="7" s="1"/>
  <c r="U13" i="7"/>
  <c r="U7" i="7"/>
  <c r="U8" i="7"/>
  <c r="U11" i="7"/>
  <c r="U15" i="7"/>
  <c r="U5" i="7"/>
  <c r="U14" i="7"/>
  <c r="U9" i="7"/>
  <c r="U6" i="7"/>
  <c r="U12" i="7"/>
  <c r="S88" i="3" l="1"/>
  <c r="S32" i="8"/>
  <c r="R32" i="8"/>
  <c r="T32" i="8"/>
  <c r="O32" i="8"/>
  <c r="O31" i="8"/>
  <c r="O29" i="8"/>
  <c r="U32" i="8"/>
  <c r="R20" i="7"/>
  <c r="O29" i="7"/>
  <c r="S20" i="7"/>
  <c r="O27" i="7"/>
  <c r="P29" i="7"/>
  <c r="T20" i="7"/>
  <c r="P27" i="7"/>
  <c r="Q29" i="7"/>
  <c r="Q27" i="7"/>
  <c r="R29" i="7"/>
  <c r="R31" i="7" s="1"/>
  <c r="S29" i="7"/>
  <c r="S31" i="7" s="1"/>
  <c r="T29" i="7"/>
  <c r="T31" i="7" s="1"/>
  <c r="Q14" i="6"/>
  <c r="O33" i="8" l="1"/>
  <c r="O45" i="8" s="1"/>
  <c r="O31" i="7"/>
  <c r="P31" i="7"/>
  <c r="O30" i="7"/>
  <c r="Q31" i="7"/>
  <c r="O28" i="7"/>
  <c r="U6" i="6"/>
  <c r="R66" i="6"/>
  <c r="O32" i="7" l="1"/>
  <c r="O44" i="7" s="1"/>
  <c r="T45" i="6"/>
  <c r="S45" i="6"/>
  <c r="R45" i="6"/>
  <c r="Q45" i="6"/>
  <c r="P45" i="6"/>
  <c r="O45" i="6"/>
  <c r="T40" i="6"/>
  <c r="T49" i="6" s="1"/>
  <c r="S40" i="6"/>
  <c r="S49" i="6" s="1"/>
  <c r="R40" i="6"/>
  <c r="Q40" i="6"/>
  <c r="Q42" i="6" s="1"/>
  <c r="P40" i="6"/>
  <c r="P42" i="6" s="1"/>
  <c r="O40" i="6"/>
  <c r="O42" i="6" s="1"/>
  <c r="U37" i="6"/>
  <c r="U23" i="6"/>
  <c r="U12" i="6"/>
  <c r="U11" i="6"/>
  <c r="U8" i="6"/>
  <c r="U30" i="6"/>
  <c r="U27" i="6"/>
  <c r="U17" i="6"/>
  <c r="U21" i="6"/>
  <c r="U16" i="6"/>
  <c r="U36" i="6"/>
  <c r="U10" i="6"/>
  <c r="U26" i="6"/>
  <c r="U25" i="6"/>
  <c r="U35" i="6"/>
  <c r="U20" i="6"/>
  <c r="U34" i="6"/>
  <c r="U31" i="6"/>
  <c r="U15" i="6"/>
  <c r="U9" i="6"/>
  <c r="U14" i="6"/>
  <c r="U28" i="6"/>
  <c r="U24" i="6"/>
  <c r="U7" i="6"/>
  <c r="U19" i="6"/>
  <c r="U33" i="6"/>
  <c r="U22" i="6"/>
  <c r="U18" i="6"/>
  <c r="U5" i="6"/>
  <c r="U29" i="6"/>
  <c r="U13" i="6"/>
  <c r="U32" i="6"/>
  <c r="V68" i="3"/>
  <c r="R49" i="6" l="1"/>
  <c r="R42" i="6"/>
  <c r="O51" i="6"/>
  <c r="S42" i="6"/>
  <c r="O49" i="6"/>
  <c r="P51" i="6"/>
  <c r="T42" i="6"/>
  <c r="P49" i="6"/>
  <c r="Q51" i="6"/>
  <c r="Q49" i="6"/>
  <c r="R51" i="6"/>
  <c r="S51" i="6"/>
  <c r="S53" i="6" s="1"/>
  <c r="T51" i="6"/>
  <c r="T53" i="6" s="1"/>
  <c r="V65" i="3"/>
  <c r="V66" i="3"/>
  <c r="V67" i="3"/>
  <c r="V59" i="3"/>
  <c r="V61" i="3"/>
  <c r="V63" i="3"/>
  <c r="V64" i="3"/>
  <c r="R53" i="6" l="1"/>
  <c r="O53" i="6"/>
  <c r="Q53" i="6"/>
  <c r="O52" i="6"/>
  <c r="P53" i="6"/>
  <c r="O50" i="6"/>
  <c r="U7" i="5"/>
  <c r="U12" i="5"/>
  <c r="O54" i="6" l="1"/>
  <c r="O68" i="6" s="1"/>
  <c r="R62" i="5"/>
  <c r="T43" i="5"/>
  <c r="S43" i="5"/>
  <c r="R43" i="5"/>
  <c r="Q43" i="5"/>
  <c r="P43" i="5"/>
  <c r="O43" i="5"/>
  <c r="T38" i="5"/>
  <c r="S38" i="5"/>
  <c r="S47" i="5" s="1"/>
  <c r="R38" i="5"/>
  <c r="Q38" i="5"/>
  <c r="Q40" i="5" s="1"/>
  <c r="P38" i="5"/>
  <c r="P40" i="5" s="1"/>
  <c r="O38" i="5"/>
  <c r="O40" i="5" s="1"/>
  <c r="U5" i="5"/>
  <c r="U20" i="5"/>
  <c r="U22" i="5"/>
  <c r="U15" i="5"/>
  <c r="U21" i="5"/>
  <c r="U19" i="5"/>
  <c r="U29" i="5"/>
  <c r="U24" i="5"/>
  <c r="U23" i="5"/>
  <c r="U25" i="5"/>
  <c r="U9" i="5"/>
  <c r="U6" i="5"/>
  <c r="U17" i="5"/>
  <c r="U28" i="5"/>
  <c r="U26" i="5"/>
  <c r="U31" i="5"/>
  <c r="U30" i="5"/>
  <c r="U32" i="5"/>
  <c r="U11" i="5"/>
  <c r="U27" i="5"/>
  <c r="U13" i="5"/>
  <c r="U14" i="5"/>
  <c r="U16" i="5"/>
  <c r="U33" i="5"/>
  <c r="U18" i="5"/>
  <c r="U10" i="5"/>
  <c r="U34" i="5"/>
  <c r="U35" i="5"/>
  <c r="U8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 l="1"/>
  <c r="T47" i="5"/>
  <c r="O47" i="5"/>
  <c r="S40" i="5"/>
  <c r="P49" i="5"/>
  <c r="R40" i="5"/>
  <c r="O49" i="5"/>
  <c r="T40" i="5"/>
  <c r="P47" i="5"/>
  <c r="Q49" i="5"/>
  <c r="Q47" i="5"/>
  <c r="R49" i="5"/>
  <c r="S49" i="5"/>
  <c r="S51" i="5" s="1"/>
  <c r="T49" i="5"/>
  <c r="R51" i="5" l="1"/>
  <c r="T51" i="5"/>
  <c r="O48" i="5"/>
  <c r="P51" i="5"/>
  <c r="O51" i="5"/>
  <c r="O50" i="5"/>
  <c r="Q51" i="5"/>
  <c r="O52" i="5" l="1"/>
  <c r="O64" i="5" s="1"/>
  <c r="B5" i="3" l="1"/>
  <c r="C5" i="3"/>
  <c r="R99" i="3"/>
  <c r="U80" i="3"/>
  <c r="T80" i="3"/>
  <c r="R80" i="3"/>
  <c r="Q80" i="3"/>
  <c r="P80" i="3"/>
  <c r="O80" i="3"/>
  <c r="U75" i="3"/>
  <c r="T75" i="3"/>
  <c r="R75" i="3"/>
  <c r="P75" i="3"/>
  <c r="P77" i="3" s="1"/>
  <c r="K5" i="3"/>
  <c r="J5" i="3"/>
  <c r="I5" i="3"/>
  <c r="H5" i="3"/>
  <c r="G5" i="3"/>
  <c r="F5" i="3"/>
  <c r="E5" i="3"/>
  <c r="D5" i="3"/>
  <c r="O75" i="3"/>
  <c r="T84" i="3" l="1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 l="1"/>
  <c r="U88" i="3"/>
  <c r="R88" i="3"/>
  <c r="O88" i="3"/>
  <c r="P88" i="3"/>
  <c r="Q77" i="3"/>
  <c r="Q84" i="3"/>
  <c r="O85" i="3" s="1"/>
  <c r="Q86" i="3"/>
  <c r="O87" i="3" s="1"/>
  <c r="Q88" i="3" l="1"/>
  <c r="O89" i="3" l="1"/>
  <c r="O101" i="3" s="1"/>
</calcChain>
</file>

<file path=xl/sharedStrings.xml><?xml version="1.0" encoding="utf-8"?>
<sst xmlns="http://schemas.openxmlformats.org/spreadsheetml/2006/main" count="1590" uniqueCount="289">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</sst>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2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37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4" fillId="0" borderId="26" xfId="0" applyFont="1" applyBorder="1" applyAlignment="1">
      <alignment vertical="center"/>
    </xf>
    <xf numFmtId="164" fontId="0" fillId="0" borderId="28" xfId="0" applyNumberFormat="1" applyFont="1" applyFill="1" applyBorder="1" applyAlignment="1">
      <alignment vertical="center"/>
    </xf>
    <xf numFmtId="164" fontId="0" fillId="0" borderId="14" xfId="5" applyNumberFormat="1" applyFont="1" applyFill="1" applyBorder="1" applyAlignment="1">
      <alignment vertical="center"/>
    </xf>
    <xf numFmtId="164" fontId="0" fillId="0" borderId="15" xfId="5" applyNumberFormat="1" applyFont="1" applyFill="1" applyBorder="1" applyAlignment="1">
      <alignment vertical="center"/>
    </xf>
    <xf numFmtId="164" fontId="0" fillId="0" borderId="16" xfId="5" applyNumberFormat="1" applyFont="1" applyFill="1" applyBorder="1" applyAlignment="1">
      <alignment vertical="center"/>
    </xf>
    <xf numFmtId="164" fontId="0" fillId="0" borderId="2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11" xfId="0" applyBorder="1"/>
    <xf numFmtId="43" fontId="0" fillId="0" borderId="2" xfId="6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43" fontId="0" fillId="0" borderId="10" xfId="6" applyFont="1" applyBorder="1" applyAlignment="1">
      <alignment horizontal="left" vertical="center"/>
    </xf>
    <xf numFmtId="43" fontId="0" fillId="0" borderId="2" xfId="6" applyFon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4" fontId="12" fillId="0" borderId="2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164" fontId="12" fillId="0" borderId="2" xfId="0" applyNumberFormat="1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2" xfId="0" applyFont="1" applyBorder="1"/>
    <xf numFmtId="164" fontId="12" fillId="0" borderId="13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2" fillId="0" borderId="0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5" fillId="0" borderId="0" xfId="0" applyFont="1" applyBorder="1" applyAlignment="1">
      <alignment horizontal="center" vertical="center"/>
    </xf>
    <xf numFmtId="164" fontId="12" fillId="0" borderId="0" xfId="0" applyFont="1" applyBorder="1" applyAlignment="1">
      <alignment horizontal="center"/>
    </xf>
    <xf numFmtId="165" fontId="0" fillId="0" borderId="2" xfId="0" applyNumberFormat="1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9" xfId="0" applyFont="1" applyBorder="1" applyAlignment="1">
      <alignment horizontal="center" vertical="center"/>
    </xf>
    <xf numFmtId="164" fontId="0" fillId="0" borderId="10" xfId="0" applyFont="1" applyBorder="1" applyAlignment="1">
      <alignment horizontal="center" vertical="center"/>
    </xf>
    <xf numFmtId="164" fontId="0" fillId="0" borderId="12" xfId="0" applyFont="1" applyBorder="1" applyAlignment="1">
      <alignment horizontal="center" vertical="center"/>
    </xf>
    <xf numFmtId="164" fontId="0" fillId="0" borderId="13" xfId="0" applyFont="1" applyBorder="1" applyAlignment="1">
      <alignment horizontal="center" vertical="center"/>
    </xf>
    <xf numFmtId="164" fontId="4" fillId="0" borderId="40" xfId="0" applyFont="1" applyBorder="1" applyAlignment="1">
      <alignment horizontal="center" vertical="center"/>
    </xf>
    <xf numFmtId="164" fontId="4" fillId="0" borderId="41" xfId="0" applyFont="1" applyBorder="1" applyAlignment="1">
      <alignment horizontal="center" vertical="center"/>
    </xf>
    <xf numFmtId="164" fontId="4" fillId="0" borderId="42" xfId="0" applyFont="1" applyBorder="1" applyAlignment="1">
      <alignment horizontal="center" vertical="center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17" xfId="0" applyFont="1" applyBorder="1" applyAlignment="1">
      <alignment horizontal="center" vertical="center" textRotation="90"/>
    </xf>
    <xf numFmtId="164" fontId="16" fillId="0" borderId="20" xfId="0" applyFont="1" applyBorder="1" applyAlignment="1">
      <alignment horizontal="center" vertical="center" textRotation="90"/>
    </xf>
    <xf numFmtId="164" fontId="20" fillId="0" borderId="0" xfId="0" applyFont="1"/>
    <xf numFmtId="164" fontId="20" fillId="0" borderId="0" xfId="0" applyFont="1" applyAlignment="1">
      <alignment horizontal="left"/>
    </xf>
    <xf numFmtId="164" fontId="21" fillId="0" borderId="29" xfId="0" applyFont="1" applyBorder="1" applyAlignment="1">
      <alignment horizontal="center" vertical="center"/>
    </xf>
    <xf numFmtId="164" fontId="21" fillId="0" borderId="30" xfId="0" applyFont="1" applyBorder="1" applyAlignment="1">
      <alignment horizontal="center" vertical="center"/>
    </xf>
    <xf numFmtId="164" fontId="21" fillId="0" borderId="31" xfId="0" applyFont="1" applyBorder="1" applyAlignment="1">
      <alignment horizontal="center" vertical="center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0" fillId="0" borderId="0" xfId="0" applyFont="1" applyAlignment="1">
      <alignment horizontal="center"/>
    </xf>
    <xf numFmtId="164" fontId="23" fillId="0" borderId="0" xfId="0" applyFont="1" applyBorder="1" applyAlignment="1">
      <alignment horizontal="center"/>
    </xf>
    <xf numFmtId="164" fontId="23" fillId="0" borderId="28" xfId="0" applyFont="1" applyBorder="1" applyAlignment="1">
      <alignment horizontal="center"/>
    </xf>
    <xf numFmtId="164" fontId="20" fillId="0" borderId="0" xfId="0" applyFont="1" applyAlignment="1">
      <alignment horizontal="center" vertical="center"/>
    </xf>
    <xf numFmtId="164" fontId="20" fillId="0" borderId="26" xfId="0" applyFont="1" applyBorder="1" applyAlignment="1">
      <alignment horizontal="center" vertical="center"/>
    </xf>
    <xf numFmtId="164" fontId="20" fillId="0" borderId="27" xfId="0" applyFont="1" applyBorder="1" applyAlignment="1">
      <alignment horizontal="center" vertical="center"/>
    </xf>
    <xf numFmtId="164" fontId="20" fillId="0" borderId="27" xfId="0" applyFont="1" applyBorder="1" applyAlignment="1">
      <alignment horizontal="left" vertical="center"/>
    </xf>
    <xf numFmtId="164" fontId="24" fillId="0" borderId="26" xfId="0" applyFont="1" applyBorder="1" applyAlignment="1">
      <alignment horizontal="center" vertical="center" textRotation="90"/>
    </xf>
    <xf numFmtId="164" fontId="20" fillId="0" borderId="9" xfId="0" applyFont="1" applyBorder="1"/>
    <xf numFmtId="164" fontId="20" fillId="0" borderId="10" xfId="0" applyFont="1" applyBorder="1"/>
    <xf numFmtId="166" fontId="20" fillId="0" borderId="10" xfId="0" applyNumberFormat="1" applyFont="1" applyBorder="1" applyAlignment="1">
      <alignment horizontal="center" vertical="center"/>
    </xf>
    <xf numFmtId="43" fontId="20" fillId="0" borderId="10" xfId="4" applyFont="1" applyBorder="1" applyAlignment="1">
      <alignment horizontal="left" vertical="center"/>
    </xf>
    <xf numFmtId="165" fontId="20" fillId="0" borderId="10" xfId="0" applyNumberFormat="1" applyFont="1" applyBorder="1" applyAlignment="1">
      <alignment horizontal="center" vertical="center"/>
    </xf>
    <xf numFmtId="164" fontId="20" fillId="0" borderId="2" xfId="0" applyFont="1" applyBorder="1"/>
    <xf numFmtId="165" fontId="20" fillId="0" borderId="14" xfId="0" applyNumberFormat="1" applyFont="1" applyBorder="1" applyAlignment="1">
      <alignment horizontal="left" vertical="center"/>
    </xf>
    <xf numFmtId="164" fontId="24" fillId="0" borderId="27" xfId="0" applyFont="1" applyBorder="1" applyAlignment="1">
      <alignment horizontal="center" vertical="center" textRotation="90"/>
    </xf>
    <xf numFmtId="164" fontId="20" fillId="0" borderId="11" xfId="0" applyFont="1" applyBorder="1"/>
    <xf numFmtId="166" fontId="20" fillId="0" borderId="2" xfId="0" applyNumberFormat="1" applyFont="1" applyBorder="1" applyAlignment="1">
      <alignment horizontal="center" vertical="center"/>
    </xf>
    <xf numFmtId="43" fontId="20" fillId="0" borderId="2" xfId="4" applyFont="1" applyBorder="1" applyAlignment="1">
      <alignment horizontal="left" vertical="center"/>
    </xf>
    <xf numFmtId="165" fontId="20" fillId="0" borderId="2" xfId="0" applyNumberFormat="1" applyFont="1" applyBorder="1" applyAlignment="1">
      <alignment horizontal="center" vertical="center"/>
    </xf>
    <xf numFmtId="165" fontId="20" fillId="0" borderId="15" xfId="0" applyNumberFormat="1" applyFont="1" applyBorder="1" applyAlignment="1">
      <alignment horizontal="left" vertical="center"/>
    </xf>
    <xf numFmtId="164" fontId="20" fillId="0" borderId="11" xfId="0" applyNumberFormat="1" applyFont="1" applyBorder="1"/>
    <xf numFmtId="164" fontId="20" fillId="0" borderId="2" xfId="0" applyNumberFormat="1" applyFont="1" applyBorder="1"/>
    <xf numFmtId="0" fontId="20" fillId="0" borderId="2" xfId="0" applyNumberFormat="1" applyFont="1" applyBorder="1"/>
    <xf numFmtId="0" fontId="20" fillId="0" borderId="2" xfId="0" applyNumberFormat="1" applyFont="1" applyBorder="1" applyAlignment="1">
      <alignment horizontal="center" vertical="center"/>
    </xf>
    <xf numFmtId="164" fontId="24" fillId="0" borderId="28" xfId="0" applyFont="1" applyBorder="1" applyAlignment="1">
      <alignment horizontal="center" vertical="center" textRotation="90"/>
    </xf>
    <xf numFmtId="164" fontId="20" fillId="0" borderId="12" xfId="0" applyFont="1" applyBorder="1"/>
    <xf numFmtId="164" fontId="20" fillId="0" borderId="13" xfId="0" applyFont="1" applyBorder="1"/>
    <xf numFmtId="166" fontId="20" fillId="0" borderId="13" xfId="0" applyNumberFormat="1" applyFont="1" applyBorder="1" applyAlignment="1">
      <alignment horizontal="center" vertical="center"/>
    </xf>
    <xf numFmtId="43" fontId="20" fillId="0" borderId="13" xfId="4" applyFont="1" applyBorder="1" applyAlignment="1">
      <alignment horizontal="left" vertical="center"/>
    </xf>
    <xf numFmtId="165" fontId="20" fillId="0" borderId="13" xfId="0" applyNumberFormat="1" applyFont="1" applyBorder="1" applyAlignment="1">
      <alignment horizontal="center" vertical="center"/>
    </xf>
    <xf numFmtId="165" fontId="20" fillId="0" borderId="16" xfId="0" applyNumberFormat="1" applyFont="1" applyBorder="1" applyAlignment="1">
      <alignment horizontal="left" vertical="center"/>
    </xf>
    <xf numFmtId="164" fontId="24" fillId="0" borderId="0" xfId="0" applyFont="1" applyBorder="1" applyAlignment="1">
      <alignment horizontal="center" vertical="center" textRotation="90"/>
    </xf>
    <xf numFmtId="164" fontId="20" fillId="0" borderId="0" xfId="0" applyFont="1" applyBorder="1"/>
    <xf numFmtId="166" fontId="20" fillId="0" borderId="0" xfId="0" applyNumberFormat="1" applyFont="1" applyBorder="1" applyAlignment="1">
      <alignment horizontal="center" vertical="center"/>
    </xf>
    <xf numFmtId="43" fontId="20" fillId="0" borderId="0" xfId="4" applyFont="1" applyBorder="1" applyAlignment="1">
      <alignment horizontal="left" vertical="center"/>
    </xf>
    <xf numFmtId="165" fontId="20" fillId="0" borderId="0" xfId="0" applyNumberFormat="1" applyFont="1" applyBorder="1" applyAlignment="1">
      <alignment horizontal="center" vertical="center"/>
    </xf>
    <xf numFmtId="164" fontId="25" fillId="0" borderId="26" xfId="0" applyFont="1" applyBorder="1" applyAlignment="1">
      <alignment horizontal="center" vertical="center" textRotation="90"/>
    </xf>
    <xf numFmtId="164" fontId="23" fillId="0" borderId="17" xfId="0" applyFont="1" applyBorder="1" applyAlignment="1">
      <alignment horizontal="center" vertical="center"/>
    </xf>
    <xf numFmtId="164" fontId="23" fillId="0" borderId="18" xfId="0" applyFont="1" applyBorder="1" applyAlignment="1">
      <alignment horizontal="center" vertical="center"/>
    </xf>
    <xf numFmtId="164" fontId="23" fillId="0" borderId="19" xfId="0" applyFont="1" applyBorder="1" applyAlignment="1">
      <alignment horizontal="center" vertical="center"/>
    </xf>
    <xf numFmtId="164" fontId="23" fillId="0" borderId="18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5" fontId="20" fillId="0" borderId="9" xfId="0" applyNumberFormat="1" applyFont="1" applyBorder="1" applyAlignment="1">
      <alignment horizontal="center" vertical="center"/>
    </xf>
    <xf numFmtId="165" fontId="20" fillId="0" borderId="14" xfId="0" applyNumberFormat="1" applyFont="1" applyBorder="1" applyAlignment="1">
      <alignment horizontal="center" vertical="center"/>
    </xf>
    <xf numFmtId="164" fontId="25" fillId="0" borderId="27" xfId="0" applyFont="1" applyBorder="1" applyAlignment="1">
      <alignment horizontal="center" vertical="center" textRotation="90"/>
    </xf>
    <xf numFmtId="164" fontId="23" fillId="0" borderId="20" xfId="0" applyFont="1" applyBorder="1" applyAlignment="1">
      <alignment horizontal="center" vertical="center"/>
    </xf>
    <xf numFmtId="164" fontId="23" fillId="0" borderId="0" xfId="0" applyFont="1" applyBorder="1" applyAlignment="1">
      <alignment horizontal="center" vertical="center"/>
    </xf>
    <xf numFmtId="164" fontId="23" fillId="0" borderId="21" xfId="0" applyFont="1" applyBorder="1" applyAlignment="1">
      <alignment horizontal="center" vertical="center"/>
    </xf>
    <xf numFmtId="164" fontId="23" fillId="0" borderId="0" xfId="0" applyFont="1" applyBorder="1" applyAlignment="1">
      <alignment horizontal="center" vertical="center"/>
    </xf>
    <xf numFmtId="165" fontId="20" fillId="0" borderId="11" xfId="0" applyNumberFormat="1" applyFont="1" applyBorder="1" applyAlignment="1">
      <alignment horizontal="center" vertical="center"/>
    </xf>
    <xf numFmtId="168" fontId="20" fillId="0" borderId="2" xfId="0" applyNumberFormat="1" applyFont="1" applyBorder="1" applyAlignment="1">
      <alignment horizontal="center" vertical="center"/>
    </xf>
    <xf numFmtId="167" fontId="20" fillId="0" borderId="15" xfId="0" applyNumberFormat="1" applyFont="1" applyBorder="1" applyAlignment="1">
      <alignment horizontal="center" vertical="center"/>
    </xf>
    <xf numFmtId="165" fontId="20" fillId="0" borderId="15" xfId="0" applyNumberFormat="1" applyFont="1" applyBorder="1" applyAlignment="1">
      <alignment horizontal="center" vertical="center"/>
    </xf>
    <xf numFmtId="164" fontId="23" fillId="0" borderId="22" xfId="0" applyFont="1" applyBorder="1" applyAlignment="1">
      <alignment horizontal="center" vertical="center"/>
    </xf>
    <xf numFmtId="164" fontId="23" fillId="0" borderId="23" xfId="0" applyFont="1" applyBorder="1" applyAlignment="1">
      <alignment horizontal="center" vertical="center"/>
    </xf>
    <xf numFmtId="164" fontId="23" fillId="0" borderId="24" xfId="0" applyFont="1" applyBorder="1" applyAlignment="1">
      <alignment horizontal="center" vertical="center"/>
    </xf>
    <xf numFmtId="164" fontId="23" fillId="0" borderId="23" xfId="0" applyFont="1" applyBorder="1" applyAlignment="1">
      <alignment horizontal="center" vertical="center"/>
    </xf>
    <xf numFmtId="165" fontId="20" fillId="0" borderId="12" xfId="0" applyNumberFormat="1" applyFont="1" applyBorder="1" applyAlignment="1">
      <alignment horizontal="center" vertical="center"/>
    </xf>
    <xf numFmtId="165" fontId="20" fillId="0" borderId="16" xfId="0" applyNumberFormat="1" applyFont="1" applyBorder="1" applyAlignment="1">
      <alignment horizontal="center" vertical="center"/>
    </xf>
    <xf numFmtId="164" fontId="23" fillId="0" borderId="20" xfId="0" applyFont="1" applyBorder="1" applyAlignment="1">
      <alignment horizontal="center" vertical="center"/>
    </xf>
    <xf numFmtId="164" fontId="22" fillId="0" borderId="20" xfId="0" applyFont="1" applyBorder="1" applyAlignment="1">
      <alignment vertical="center" textRotation="90"/>
    </xf>
    <xf numFmtId="164" fontId="22" fillId="0" borderId="0" xfId="0" applyFont="1" applyBorder="1" applyAlignment="1">
      <alignment vertical="center" textRotation="90"/>
    </xf>
    <xf numFmtId="164" fontId="22" fillId="0" borderId="21" xfId="0" applyFont="1" applyBorder="1" applyAlignment="1">
      <alignment vertical="center" textRotation="90"/>
    </xf>
    <xf numFmtId="164" fontId="23" fillId="0" borderId="0" xfId="0" applyFont="1" applyAlignment="1">
      <alignment horizontal="center" vertical="center"/>
    </xf>
    <xf numFmtId="164" fontId="20" fillId="0" borderId="14" xfId="0" applyFont="1" applyBorder="1"/>
    <xf numFmtId="164" fontId="20" fillId="0" borderId="15" xfId="0" applyFont="1" applyBorder="1"/>
    <xf numFmtId="164" fontId="20" fillId="0" borderId="16" xfId="0" applyFont="1" applyBorder="1"/>
    <xf numFmtId="164" fontId="20" fillId="0" borderId="9" xfId="0" applyNumberFormat="1" applyFont="1" applyBorder="1"/>
    <xf numFmtId="164" fontId="20" fillId="0" borderId="10" xfId="0" applyNumberFormat="1" applyFont="1" applyBorder="1"/>
    <xf numFmtId="164" fontId="20" fillId="0" borderId="10" xfId="0" applyNumberFormat="1" applyFont="1" applyBorder="1" applyAlignment="1">
      <alignment horizontal="center"/>
    </xf>
    <xf numFmtId="164" fontId="20" fillId="0" borderId="14" xfId="0" applyNumberFormat="1" applyFont="1" applyBorder="1"/>
    <xf numFmtId="164" fontId="20" fillId="0" borderId="11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64" fontId="20" fillId="0" borderId="15" xfId="0" applyNumberFormat="1" applyFont="1" applyBorder="1" applyAlignment="1">
      <alignment horizontal="center"/>
    </xf>
    <xf numFmtId="164" fontId="20" fillId="0" borderId="15" xfId="0" applyNumberFormat="1" applyFont="1" applyBorder="1"/>
    <xf numFmtId="164" fontId="20" fillId="0" borderId="12" xfId="0" applyNumberFormat="1" applyFont="1" applyBorder="1"/>
    <xf numFmtId="164" fontId="20" fillId="0" borderId="13" xfId="0" applyNumberFormat="1" applyFont="1" applyBorder="1"/>
    <xf numFmtId="164" fontId="20" fillId="0" borderId="16" xfId="0" applyNumberFormat="1" applyFont="1" applyBorder="1"/>
    <xf numFmtId="164" fontId="26" fillId="0" borderId="22" xfId="0" applyNumberFormat="1" applyFont="1" applyBorder="1" applyAlignment="1">
      <alignment horizontal="center" vertical="center"/>
    </xf>
    <xf numFmtId="164" fontId="26" fillId="0" borderId="23" xfId="0" applyNumberFormat="1" applyFont="1" applyBorder="1" applyAlignment="1">
      <alignment horizontal="center" vertical="center"/>
    </xf>
    <xf numFmtId="164" fontId="26" fillId="0" borderId="24" xfId="0" applyNumberFormat="1" applyFont="1" applyBorder="1" applyAlignment="1">
      <alignment horizontal="center" vertical="center"/>
    </xf>
    <xf numFmtId="164" fontId="27" fillId="0" borderId="17" xfId="0" applyFont="1" applyBorder="1" applyAlignment="1">
      <alignment horizontal="center" vertical="center"/>
    </xf>
    <xf numFmtId="164" fontId="27" fillId="0" borderId="18" xfId="0" applyFont="1" applyBorder="1" applyAlignment="1">
      <alignment horizontal="center" vertical="center"/>
    </xf>
    <xf numFmtId="164" fontId="27" fillId="0" borderId="19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3" fillId="0" borderId="8" xfId="0" applyFont="1" applyBorder="1" applyAlignment="1">
      <alignment vertical="center"/>
    </xf>
    <xf numFmtId="164" fontId="23" fillId="0" borderId="0" xfId="0" applyFont="1" applyFill="1" applyBorder="1" applyAlignment="1">
      <alignment horizontal="center" vertical="center"/>
    </xf>
    <xf numFmtId="164" fontId="27" fillId="0" borderId="20" xfId="0" applyFont="1" applyBorder="1" applyAlignment="1">
      <alignment horizontal="center" vertical="center"/>
    </xf>
    <xf numFmtId="164" fontId="27" fillId="0" borderId="0" xfId="0" applyFont="1" applyBorder="1" applyAlignment="1">
      <alignment horizontal="center" vertical="center"/>
    </xf>
    <xf numFmtId="164" fontId="27" fillId="0" borderId="21" xfId="0" applyFont="1" applyBorder="1" applyAlignment="1">
      <alignment horizontal="center" vertical="center"/>
    </xf>
    <xf numFmtId="164" fontId="20" fillId="0" borderId="32" xfId="0" applyFont="1" applyBorder="1" applyAlignment="1">
      <alignment horizontal="center" vertical="center"/>
    </xf>
    <xf numFmtId="164" fontId="20" fillId="0" borderId="3" xfId="0" applyFont="1" applyBorder="1" applyAlignment="1">
      <alignment horizontal="center" vertical="center"/>
    </xf>
    <xf numFmtId="164" fontId="20" fillId="0" borderId="4" xfId="0" applyFont="1" applyBorder="1" applyAlignment="1">
      <alignment horizontal="center" vertical="center"/>
    </xf>
    <xf numFmtId="164" fontId="20" fillId="0" borderId="25" xfId="5" applyNumberFormat="1" applyFont="1" applyFill="1" applyBorder="1" applyAlignment="1">
      <alignment vertical="center"/>
    </xf>
    <xf numFmtId="164" fontId="20" fillId="0" borderId="0" xfId="0" applyNumberFormat="1" applyFont="1" applyFill="1" applyBorder="1"/>
    <xf numFmtId="164" fontId="20" fillId="0" borderId="11" xfId="0" applyFont="1" applyBorder="1" applyAlignment="1">
      <alignment horizontal="center" vertical="center"/>
    </xf>
    <xf numFmtId="164" fontId="20" fillId="0" borderId="2" xfId="0" applyFont="1" applyBorder="1" applyAlignment="1">
      <alignment horizontal="center" vertical="center"/>
    </xf>
    <xf numFmtId="164" fontId="20" fillId="0" borderId="5" xfId="0" applyFont="1" applyBorder="1" applyAlignment="1">
      <alignment horizontal="center" vertical="center"/>
    </xf>
    <xf numFmtId="164" fontId="20" fillId="0" borderId="1" xfId="5" applyNumberFormat="1" applyFont="1" applyFill="1" applyBorder="1" applyAlignment="1">
      <alignment vertical="center"/>
    </xf>
    <xf numFmtId="164" fontId="20" fillId="0" borderId="35" xfId="0" applyFont="1" applyBorder="1" applyAlignment="1">
      <alignment horizontal="center" vertical="center"/>
    </xf>
    <xf numFmtId="164" fontId="20" fillId="0" borderId="6" xfId="0" applyFont="1" applyBorder="1" applyAlignment="1">
      <alignment horizontal="center" vertical="center"/>
    </xf>
    <xf numFmtId="164" fontId="20" fillId="0" borderId="7" xfId="0" applyFont="1" applyBorder="1" applyAlignment="1">
      <alignment horizontal="center" vertical="center"/>
    </xf>
    <xf numFmtId="164" fontId="27" fillId="0" borderId="22" xfId="0" applyFont="1" applyBorder="1" applyAlignment="1">
      <alignment horizontal="center" vertical="center"/>
    </xf>
    <xf numFmtId="164" fontId="27" fillId="0" borderId="23" xfId="0" applyFont="1" applyBorder="1" applyAlignment="1">
      <alignment horizontal="center" vertical="center"/>
    </xf>
    <xf numFmtId="164" fontId="27" fillId="0" borderId="24" xfId="0" applyFont="1" applyBorder="1" applyAlignment="1">
      <alignment horizontal="center" vertical="center"/>
    </xf>
    <xf numFmtId="164" fontId="23" fillId="0" borderId="33" xfId="0" applyFont="1" applyBorder="1" applyAlignment="1">
      <alignment horizontal="center" vertical="center"/>
    </xf>
    <xf numFmtId="164" fontId="23" fillId="0" borderId="34" xfId="0" applyFont="1" applyBorder="1" applyAlignment="1">
      <alignment horizontal="center" vertical="center"/>
    </xf>
    <xf numFmtId="164" fontId="23" fillId="0" borderId="36" xfId="0" applyFont="1" applyBorder="1" applyAlignment="1">
      <alignment horizontal="center" vertical="center"/>
    </xf>
    <xf numFmtId="164" fontId="20" fillId="0" borderId="8" xfId="0" applyNumberFormat="1" applyFont="1" applyFill="1" applyBorder="1" applyAlignment="1">
      <alignment vertical="center"/>
    </xf>
    <xf numFmtId="164" fontId="25" fillId="0" borderId="28" xfId="0" applyFont="1" applyBorder="1" applyAlignment="1">
      <alignment horizontal="center" vertical="center" textRotation="90"/>
    </xf>
    <xf numFmtId="164" fontId="23" fillId="0" borderId="29" xfId="0" applyFont="1" applyBorder="1" applyAlignment="1">
      <alignment horizontal="center" vertical="center"/>
    </xf>
    <xf numFmtId="164" fontId="26" fillId="0" borderId="29" xfId="0" applyNumberFormat="1" applyFont="1" applyBorder="1" applyAlignment="1">
      <alignment horizontal="center" vertical="center"/>
    </xf>
    <xf numFmtId="164" fontId="26" fillId="0" borderId="30" xfId="0" applyNumberFormat="1" applyFont="1" applyBorder="1" applyAlignment="1">
      <alignment horizontal="center" vertical="center"/>
    </xf>
    <xf numFmtId="164" fontId="26" fillId="0" borderId="31" xfId="0" applyNumberFormat="1" applyFont="1" applyBorder="1" applyAlignment="1">
      <alignment horizontal="center" vertical="center"/>
    </xf>
    <xf numFmtId="164" fontId="25" fillId="0" borderId="0" xfId="0" applyFont="1" applyBorder="1" applyAlignment="1">
      <alignment vertical="center" textRotation="90"/>
    </xf>
    <xf numFmtId="164" fontId="20" fillId="0" borderId="0" xfId="0" applyFont="1" applyAlignment="1"/>
    <xf numFmtId="164" fontId="20" fillId="0" borderId="0" xfId="0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Paul</v>
          </cell>
          <cell r="B7" t="str">
            <v>Brenner</v>
          </cell>
          <cell r="C7" t="str">
            <v>San Jose De La Sierra 1105</v>
          </cell>
          <cell r="D7" t="str">
            <v>Las Condes</v>
          </cell>
          <cell r="E7" t="str">
            <v>Quinchamali</v>
          </cell>
          <cell r="F7" t="str">
            <v>UDD</v>
          </cell>
          <cell r="G7" t="str">
            <v>JEFE</v>
          </cell>
          <cell r="H7">
            <v>56955324629</v>
          </cell>
          <cell r="I7" t="str">
            <v>paulmartinbrenner@hotmail.com</v>
          </cell>
          <cell r="J7" t="str">
            <v>Lukas Quense</v>
          </cell>
        </row>
        <row r="8">
          <cell r="A8" t="str">
            <v>Alvaro</v>
          </cell>
          <cell r="B8" t="str">
            <v>Caeviedes</v>
          </cell>
          <cell r="C8" t="str">
            <v>Cerro El Paico 9756</v>
          </cell>
          <cell r="D8" t="str">
            <v>Lo Barnechea</v>
          </cell>
          <cell r="E8" t="str">
            <v>Los Trapenses</v>
          </cell>
          <cell r="F8" t="str">
            <v>UC</v>
          </cell>
          <cell r="G8" t="str">
            <v>JEFE</v>
          </cell>
          <cell r="H8">
            <v>56963033603</v>
          </cell>
          <cell r="I8" t="str">
            <v>acaeviedes@uc.cl</v>
          </cell>
          <cell r="J8" t="str">
            <v>Joaquin Eichholz</v>
          </cell>
        </row>
        <row r="9">
          <cell r="A9" t="str">
            <v>Ignacio</v>
          </cell>
          <cell r="B9" t="str">
            <v>Castañeda</v>
          </cell>
          <cell r="C9" t="str">
            <v>Punta de Aguilas Norte 9300 Casa 12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SOCIO</v>
          </cell>
          <cell r="H9">
            <v>56982328250</v>
          </cell>
          <cell r="I9" t="str">
            <v>icastanedaw@gmail.com</v>
          </cell>
          <cell r="J9" t="str">
            <v>Ignacio Castañeda</v>
          </cell>
        </row>
        <row r="10">
          <cell r="A10" t="str">
            <v>Majo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UAndes</v>
          </cell>
          <cell r="G10" t="str">
            <v>JEFE</v>
          </cell>
          <cell r="H10">
            <v>56982328251</v>
          </cell>
          <cell r="I10" t="str">
            <v>mjcastaneda@miuandes.cl</v>
          </cell>
          <cell r="J10" t="str">
            <v>Ignacio Castañeda</v>
          </cell>
        </row>
        <row r="11">
          <cell r="A11" t="str">
            <v>Vicky</v>
          </cell>
          <cell r="B11" t="str">
            <v>Chaparro</v>
          </cell>
          <cell r="C11" t="str">
            <v>Carolina Rabat 780 Casa 8</v>
          </cell>
          <cell r="D11" t="str">
            <v>Vitacura</v>
          </cell>
          <cell r="E11" t="str">
            <v>Santa Maria</v>
          </cell>
          <cell r="F11" t="str">
            <v>UDD</v>
          </cell>
          <cell r="G11" t="str">
            <v>JEFE</v>
          </cell>
          <cell r="H11">
            <v>56968348679</v>
          </cell>
          <cell r="I11" t="str">
            <v>mchaparroh@udd.cl</v>
          </cell>
          <cell r="J11" t="str">
            <v>Ignacio Castañeda</v>
          </cell>
        </row>
        <row r="12">
          <cell r="A12" t="str">
            <v>Antonia</v>
          </cell>
          <cell r="B12" t="str">
            <v>Cisternas</v>
          </cell>
          <cell r="C12" t="str">
            <v>Calle Parque 12700 Casa 38</v>
          </cell>
          <cell r="D12" t="str">
            <v>Lo Barnechea</v>
          </cell>
          <cell r="E12" t="str">
            <v>Los Trapenses</v>
          </cell>
          <cell r="G12" t="str">
            <v>JEFE</v>
          </cell>
          <cell r="H12">
            <v>56944346775</v>
          </cell>
          <cell r="I12" t="str">
            <v>antocisternas@hotmail.com</v>
          </cell>
          <cell r="J12" t="str">
            <v>Lukas Quense</v>
          </cell>
        </row>
        <row r="13">
          <cell r="A13" t="str">
            <v>Josefa</v>
          </cell>
          <cell r="B13" t="str">
            <v>Covarrubias</v>
          </cell>
          <cell r="C13" t="str">
            <v>Camino Las Flores 12163</v>
          </cell>
          <cell r="D13" t="str">
            <v>Las Condes</v>
          </cell>
          <cell r="E13" t="str">
            <v>San Carlos</v>
          </cell>
          <cell r="F13" t="str">
            <v>Saint George</v>
          </cell>
          <cell r="G13" t="str">
            <v>JEFE</v>
          </cell>
          <cell r="H13">
            <v>56995346870</v>
          </cell>
          <cell r="I13" t="str">
            <v>josefacovarrubias@gmail.com</v>
          </cell>
          <cell r="J13" t="str">
            <v>Joaquin Eichholz</v>
          </cell>
        </row>
        <row r="14">
          <cell r="A14" t="str">
            <v>Florencia</v>
          </cell>
          <cell r="B14" t="str">
            <v>Croxatto</v>
          </cell>
          <cell r="C14" t="str">
            <v>Los Olivos 12179</v>
          </cell>
          <cell r="D14" t="str">
            <v>Las Condes</v>
          </cell>
          <cell r="E14" t="str">
            <v>San Carlos</v>
          </cell>
          <cell r="F14" t="str">
            <v>UC</v>
          </cell>
          <cell r="G14" t="str">
            <v>JEFE</v>
          </cell>
          <cell r="H14">
            <v>56963061299</v>
          </cell>
          <cell r="I14" t="str">
            <v>fcroxatto@uc.cl</v>
          </cell>
          <cell r="J14" t="str">
            <v>Joaquin Eichholz</v>
          </cell>
        </row>
        <row r="15">
          <cell r="A15" t="str">
            <v>Joaquin</v>
          </cell>
          <cell r="B15" t="str">
            <v>Daly</v>
          </cell>
          <cell r="C15" t="str">
            <v>Polo 1 de Manquehue Casa 112</v>
          </cell>
          <cell r="D15" t="str">
            <v>Chicureo</v>
          </cell>
          <cell r="E15" t="str">
            <v>Piedra Roja</v>
          </cell>
          <cell r="F15" t="str">
            <v>CSA</v>
          </cell>
          <cell r="G15" t="str">
            <v>JEFE</v>
          </cell>
          <cell r="H15">
            <v>56979987750</v>
          </cell>
          <cell r="I15" t="str">
            <v>dalyjoaquin@gmail.com</v>
          </cell>
          <cell r="J15" t="str">
            <v>Lukas Quense</v>
          </cell>
        </row>
        <row r="16">
          <cell r="A16" t="str">
            <v>Dominique</v>
          </cell>
          <cell r="B16" t="str">
            <v>Daroch</v>
          </cell>
          <cell r="C16" t="str">
            <v>El Algarrobal 2 Casa U2</v>
          </cell>
          <cell r="D16" t="str">
            <v>Chicureo</v>
          </cell>
          <cell r="E16" t="str">
            <v>Vespucio</v>
          </cell>
          <cell r="F16" t="str">
            <v>Highlands</v>
          </cell>
          <cell r="G16" t="str">
            <v>JEFE</v>
          </cell>
          <cell r="H16">
            <v>56974474437</v>
          </cell>
          <cell r="I16" t="str">
            <v>dominique_daroch@hotmail.com</v>
          </cell>
          <cell r="J16" t="str">
            <v>Ignacio Castañeda</v>
          </cell>
        </row>
        <row r="17">
          <cell r="A17" t="str">
            <v>Camila</v>
          </cell>
          <cell r="B17" t="str">
            <v>De La Sotta</v>
          </cell>
          <cell r="C17" t="str">
            <v>Jose de Moraleda 4837</v>
          </cell>
          <cell r="D17" t="str">
            <v>Las Condes</v>
          </cell>
          <cell r="E17" t="str">
            <v>Vespucio</v>
          </cell>
          <cell r="F17" t="str">
            <v>UDD</v>
          </cell>
          <cell r="G17" t="str">
            <v>JEFE</v>
          </cell>
          <cell r="H17">
            <v>56967289638</v>
          </cell>
          <cell r="I17" t="str">
            <v>camila.delasotta@gmail.com</v>
          </cell>
          <cell r="J17" t="str">
            <v>Ignacio Castañeda</v>
          </cell>
        </row>
        <row r="18">
          <cell r="A18" t="str">
            <v>Javi</v>
          </cell>
          <cell r="B18" t="str">
            <v>Del Rio</v>
          </cell>
          <cell r="C18" t="str">
            <v>Valle del monasterio 2664</v>
          </cell>
          <cell r="D18" t="str">
            <v>Lo Barnechea</v>
          </cell>
          <cell r="E18" t="str">
            <v>Los Trapenses</v>
          </cell>
          <cell r="F18" t="str">
            <v>UC</v>
          </cell>
          <cell r="G18" t="str">
            <v>JEFE</v>
          </cell>
          <cell r="H18">
            <v>56967898535</v>
          </cell>
          <cell r="I18" t="str">
            <v>jpdelrio@uc.cl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Constanza</v>
          </cell>
          <cell r="B20" t="str">
            <v>Delfau</v>
          </cell>
          <cell r="C20" t="str">
            <v>Calle Parque 12700 Casa 1</v>
          </cell>
          <cell r="D20" t="str">
            <v>Lo Barnechea</v>
          </cell>
          <cell r="E20" t="str">
            <v>La Dehesa</v>
          </cell>
          <cell r="F20" t="str">
            <v>UC</v>
          </cell>
          <cell r="G20" t="str">
            <v>JEFE</v>
          </cell>
          <cell r="H20">
            <v>56991889995</v>
          </cell>
          <cell r="I20" t="str">
            <v>conidelfau@gmail.com</v>
          </cell>
          <cell r="J20" t="str">
            <v>Ignacio Castañeda</v>
          </cell>
        </row>
        <row r="21">
          <cell r="A21" t="str">
            <v>Pilar</v>
          </cell>
          <cell r="B21" t="str">
            <v>Edwards</v>
          </cell>
          <cell r="C21" t="str">
            <v>El Roquerio 2028</v>
          </cell>
          <cell r="D21" t="str">
            <v>Lo Barnechea</v>
          </cell>
          <cell r="E21" t="str">
            <v>Los Trapenses</v>
          </cell>
          <cell r="F21" t="str">
            <v>UDD</v>
          </cell>
          <cell r="G21" t="str">
            <v>JEFE</v>
          </cell>
          <cell r="H21">
            <v>56983708702</v>
          </cell>
          <cell r="I21" t="str">
            <v>piliedwards@gmail.com</v>
          </cell>
          <cell r="J21" t="str">
            <v>Joaquin Eichholz</v>
          </cell>
        </row>
        <row r="22">
          <cell r="A22" t="str">
            <v>Joaquin</v>
          </cell>
          <cell r="B22" t="str">
            <v>Eichholz</v>
          </cell>
          <cell r="C22" t="str">
            <v>Estrella Del Norte 980 Dpto 154</v>
          </cell>
          <cell r="D22" t="str">
            <v>Las Condes</v>
          </cell>
          <cell r="E22" t="str">
            <v>Alto Las Condes</v>
          </cell>
          <cell r="F22" t="str">
            <v>UC</v>
          </cell>
          <cell r="G22" t="str">
            <v>SOCIO</v>
          </cell>
          <cell r="H22">
            <v>56996324787</v>
          </cell>
          <cell r="I22" t="str">
            <v>joaquin.eichholz@gmail.com</v>
          </cell>
          <cell r="J22" t="str">
            <v>Joaquin Eichholz</v>
          </cell>
        </row>
        <row r="23">
          <cell r="A23" t="str">
            <v>Maria Jesus</v>
          </cell>
          <cell r="B23" t="str">
            <v>Elias</v>
          </cell>
          <cell r="C23" t="str">
            <v>Manquehue Norte 555</v>
          </cell>
          <cell r="D23" t="str">
            <v>Las Condes</v>
          </cell>
          <cell r="E23" t="str">
            <v>Manquehue</v>
          </cell>
          <cell r="F23" t="str">
            <v>UDD</v>
          </cell>
          <cell r="G23" t="str">
            <v>JEFE</v>
          </cell>
          <cell r="H23">
            <v>56958589916</v>
          </cell>
          <cell r="I23" t="str">
            <v>meliasm@udd.cl</v>
          </cell>
          <cell r="J23" t="str">
            <v>Lukas Quense</v>
          </cell>
        </row>
        <row r="24">
          <cell r="A24" t="str">
            <v>Rafael</v>
          </cell>
          <cell r="B24" t="str">
            <v>Errazuriz</v>
          </cell>
          <cell r="C24" t="str">
            <v>Pasaje La Aurora 1883</v>
          </cell>
          <cell r="D24" t="str">
            <v>Vitacura</v>
          </cell>
          <cell r="E24" t="str">
            <v>Estoril</v>
          </cell>
          <cell r="F24" t="str">
            <v>UDD</v>
          </cell>
          <cell r="G24" t="str">
            <v>JEFE</v>
          </cell>
          <cell r="H24">
            <v>56995483434</v>
          </cell>
          <cell r="I24" t="str">
            <v>rerrazurizf@udd.cl</v>
          </cell>
          <cell r="J24" t="str">
            <v>Joaquin Eichholz</v>
          </cell>
        </row>
        <row r="25">
          <cell r="A25" t="str">
            <v>Isidora</v>
          </cell>
          <cell r="B25" t="str">
            <v>Fernandez</v>
          </cell>
          <cell r="C25" t="str">
            <v>Casa De Piedra 2628</v>
          </cell>
          <cell r="D25" t="str">
            <v>Las Condes</v>
          </cell>
          <cell r="E25" t="str">
            <v>San Carlos</v>
          </cell>
          <cell r="F25" t="str">
            <v>UAndes</v>
          </cell>
          <cell r="G25" t="str">
            <v>JEFE</v>
          </cell>
          <cell r="H25">
            <v>56997550244</v>
          </cell>
          <cell r="I25" t="str">
            <v>ifernandez1@miuandes.cl</v>
          </cell>
          <cell r="J25" t="str">
            <v>Joaquin Eichholz</v>
          </cell>
        </row>
        <row r="26">
          <cell r="A26" t="str">
            <v>Maria Luisa</v>
          </cell>
          <cell r="B26" t="str">
            <v>Fernandez</v>
          </cell>
          <cell r="C26" t="str">
            <v>La Invernada 7005</v>
          </cell>
          <cell r="D26" t="str">
            <v>Vitacura</v>
          </cell>
          <cell r="E26" t="str">
            <v>Santa Maria</v>
          </cell>
          <cell r="F26" t="str">
            <v>UCH</v>
          </cell>
          <cell r="G26" t="str">
            <v>JEFE</v>
          </cell>
          <cell r="H26">
            <v>56982978895</v>
          </cell>
          <cell r="I26" t="str">
            <v>guisa97@hotmail.com</v>
          </cell>
          <cell r="J26" t="str">
            <v>Lukas Quense</v>
          </cell>
        </row>
        <row r="27">
          <cell r="A27" t="str">
            <v>Rodrigo</v>
          </cell>
          <cell r="B27" t="str">
            <v>Fernandez</v>
          </cell>
          <cell r="C27" t="str">
            <v>Las Hualtatas 4555 Casa 9</v>
          </cell>
          <cell r="D27" t="str">
            <v>Lo Barnechea</v>
          </cell>
          <cell r="E27" t="str">
            <v>Los Trapenses</v>
          </cell>
          <cell r="F27" t="str">
            <v>UC</v>
          </cell>
          <cell r="G27" t="str">
            <v>JEFE</v>
          </cell>
          <cell r="H27">
            <v>56986194003</v>
          </cell>
          <cell r="I27" t="str">
            <v>rfernandezdelrio@uc.cl</v>
          </cell>
          <cell r="J27" t="str">
            <v>Lukas Quense</v>
          </cell>
        </row>
        <row r="28">
          <cell r="A28" t="str">
            <v>Tere</v>
          </cell>
          <cell r="B28" t="str">
            <v>Fernandez</v>
          </cell>
          <cell r="C28" t="str">
            <v>Las Torcazas 3080</v>
          </cell>
          <cell r="D28" t="str">
            <v>Chicureo</v>
          </cell>
          <cell r="E28" t="str">
            <v>Colina</v>
          </cell>
          <cell r="F28" t="str">
            <v>Highlands</v>
          </cell>
          <cell r="G28" t="str">
            <v>JEFE</v>
          </cell>
          <cell r="H28">
            <v>56965542496</v>
          </cell>
          <cell r="I28" t="str">
            <v>terefernandez99@yahoo.com</v>
          </cell>
          <cell r="J28" t="str">
            <v>Lukas Quense</v>
          </cell>
        </row>
        <row r="29">
          <cell r="A29" t="str">
            <v>Diego</v>
          </cell>
          <cell r="B29" t="str">
            <v>Figueroa</v>
          </cell>
          <cell r="C29" t="str">
            <v>Las Lavandulas 10006</v>
          </cell>
          <cell r="D29" t="str">
            <v>Las Condes</v>
          </cell>
          <cell r="E29" t="str">
            <v>San Carlos</v>
          </cell>
          <cell r="G29" t="str">
            <v>JEFE</v>
          </cell>
          <cell r="H29">
            <v>56979579233</v>
          </cell>
          <cell r="I29" t="str">
            <v>diegofiba2@gmail.com</v>
          </cell>
          <cell r="J29" t="str">
            <v>Joaquin Eichholz</v>
          </cell>
        </row>
        <row r="30">
          <cell r="A30" t="str">
            <v>Matias</v>
          </cell>
          <cell r="B30" t="str">
            <v>Flores</v>
          </cell>
          <cell r="C30" t="str">
            <v>Condominio Sta Teresita P14 Sta Ester De Liray</v>
          </cell>
          <cell r="D30" t="str">
            <v>Chicureo</v>
          </cell>
          <cell r="E30" t="str">
            <v>Lo Pinto</v>
          </cell>
          <cell r="F30" t="str">
            <v>UDD</v>
          </cell>
          <cell r="G30" t="str">
            <v>JEFE</v>
          </cell>
          <cell r="H30">
            <v>56986351953</v>
          </cell>
          <cell r="I30" t="str">
            <v>matifloresdonetch@hotmail.com</v>
          </cell>
          <cell r="J30" t="str">
            <v>Ignacio Castañeda</v>
          </cell>
        </row>
        <row r="31">
          <cell r="A31" t="str">
            <v>Benjamin</v>
          </cell>
          <cell r="B31" t="str">
            <v>Hartmann</v>
          </cell>
          <cell r="C31" t="str">
            <v>Camino Otonal 1368 Casa 6</v>
          </cell>
          <cell r="D31" t="str">
            <v>Las Condes</v>
          </cell>
          <cell r="E31" t="str">
            <v>San Carlos</v>
          </cell>
          <cell r="F31" t="str">
            <v>UC</v>
          </cell>
          <cell r="G31" t="str">
            <v>JEFE</v>
          </cell>
          <cell r="H31">
            <v>56982958975</v>
          </cell>
          <cell r="I31" t="str">
            <v>hartmann12@gmail.com</v>
          </cell>
          <cell r="J31" t="str">
            <v>Ignacio Castañeda</v>
          </cell>
        </row>
        <row r="32">
          <cell r="A32" t="str">
            <v>Mauricio</v>
          </cell>
          <cell r="B32" t="str">
            <v>Hernandez</v>
          </cell>
          <cell r="C32" t="str">
            <v>Julia Bernstein 607 Casa G-40</v>
          </cell>
          <cell r="D32" t="str">
            <v>La Reina</v>
          </cell>
          <cell r="E32" t="str">
            <v>La Reina</v>
          </cell>
          <cell r="F32" t="str">
            <v>UCH</v>
          </cell>
          <cell r="G32" t="str">
            <v>JEFE</v>
          </cell>
          <cell r="H32">
            <v>56965951459</v>
          </cell>
          <cell r="I32" t="str">
            <v>mauhernand@fen.uchile.cl</v>
          </cell>
          <cell r="J32" t="str">
            <v>Lukas Quense</v>
          </cell>
        </row>
        <row r="33">
          <cell r="A33" t="str">
            <v>Andres</v>
          </cell>
          <cell r="B33" t="str">
            <v>Infante</v>
          </cell>
          <cell r="C33" t="str">
            <v>Camino De Las Ermitas 3804</v>
          </cell>
          <cell r="D33" t="str">
            <v>Lo Barnechea</v>
          </cell>
          <cell r="E33" t="str">
            <v>Los Trapenses</v>
          </cell>
          <cell r="F33" t="str">
            <v>UAI</v>
          </cell>
          <cell r="G33" t="str">
            <v>JEFE</v>
          </cell>
          <cell r="H33">
            <v>56979891544</v>
          </cell>
          <cell r="I33" t="str">
            <v>andres_infanter@hotmail.com</v>
          </cell>
          <cell r="J33" t="str">
            <v>Lukas Quense</v>
          </cell>
        </row>
        <row r="34">
          <cell r="A34" t="str">
            <v>Cata</v>
          </cell>
          <cell r="B34" t="str">
            <v>Izcue</v>
          </cell>
          <cell r="C34" t="str">
            <v>Los Pumas 11996</v>
          </cell>
          <cell r="D34" t="str">
            <v>Las Condes</v>
          </cell>
          <cell r="E34" t="str">
            <v>San Carlos</v>
          </cell>
          <cell r="F34" t="str">
            <v>Los Andes</v>
          </cell>
          <cell r="G34" t="str">
            <v>JEFE</v>
          </cell>
          <cell r="H34">
            <v>56995952212</v>
          </cell>
          <cell r="I34" t="str">
            <v>cataizcue@gmail.com</v>
          </cell>
          <cell r="J34" t="str">
            <v>Lukas Quense</v>
          </cell>
        </row>
        <row r="35">
          <cell r="A35" t="str">
            <v>Margarita</v>
          </cell>
          <cell r="B35" t="str">
            <v>Joglar</v>
          </cell>
          <cell r="C35" t="str">
            <v>Camino Los Trapenses 4860 Casa 9</v>
          </cell>
          <cell r="D35" t="str">
            <v>Lo Barnechea</v>
          </cell>
          <cell r="E35" t="str">
            <v>Los Trapenses</v>
          </cell>
          <cell r="G35" t="str">
            <v>JEFE</v>
          </cell>
          <cell r="H35">
            <v>56963124612</v>
          </cell>
          <cell r="I35" t="str">
            <v>magui.joglar22@gmail.com</v>
          </cell>
          <cell r="J35" t="str">
            <v>Lukas Quense</v>
          </cell>
        </row>
        <row r="36">
          <cell r="A36" t="str">
            <v>Ric</v>
          </cell>
          <cell r="B36" t="str">
            <v>Jungk</v>
          </cell>
          <cell r="C36" t="str">
            <v>Pasaje Pie Andino 4209A</v>
          </cell>
          <cell r="D36" t="str">
            <v>Lo Barnechea</v>
          </cell>
          <cell r="E36" t="str">
            <v>La Dehesa</v>
          </cell>
          <cell r="F36" t="str">
            <v>UAndes</v>
          </cell>
          <cell r="G36" t="str">
            <v>JEFE</v>
          </cell>
          <cell r="H36">
            <v>56966477967</v>
          </cell>
          <cell r="I36" t="str">
            <v>rtjungk@miuandes.cl</v>
          </cell>
          <cell r="J36" t="str">
            <v>Ignacio Castañeda</v>
          </cell>
        </row>
        <row r="37">
          <cell r="A37" t="str">
            <v>Matias</v>
          </cell>
          <cell r="B37" t="str">
            <v>Krumm</v>
          </cell>
          <cell r="C37" t="str">
            <v>La Cienaga 12315</v>
          </cell>
          <cell r="D37" t="str">
            <v>Lo Barnechea</v>
          </cell>
          <cell r="E37" t="str">
            <v>La Dehesa</v>
          </cell>
          <cell r="F37" t="str">
            <v>UAI</v>
          </cell>
          <cell r="G37" t="str">
            <v>JEFE</v>
          </cell>
          <cell r="H37">
            <v>56988587944</v>
          </cell>
          <cell r="I37" t="str">
            <v>matiask7@gmail.com</v>
          </cell>
          <cell r="J37" t="str">
            <v>Lukas Quense</v>
          </cell>
        </row>
        <row r="38">
          <cell r="A38" t="str">
            <v>Juan Diego</v>
          </cell>
          <cell r="B38" t="str">
            <v>Lyon</v>
          </cell>
          <cell r="C38" t="str">
            <v>Las Hualtatas 10725</v>
          </cell>
          <cell r="D38" t="str">
            <v>Vitacura</v>
          </cell>
          <cell r="E38" t="str">
            <v>Estoril</v>
          </cell>
          <cell r="F38" t="str">
            <v>UAndes</v>
          </cell>
          <cell r="G38" t="str">
            <v>JEFE</v>
          </cell>
          <cell r="H38">
            <v>56977684576</v>
          </cell>
          <cell r="I38" t="str">
            <v>juandiegolyon@gmail.com</v>
          </cell>
          <cell r="J38" t="str">
            <v>Joaquin Eichholz</v>
          </cell>
        </row>
        <row r="39">
          <cell r="A39" t="str">
            <v>Bernardita</v>
          </cell>
          <cell r="B39" t="str">
            <v>Mackenney</v>
          </cell>
          <cell r="C39" t="str">
            <v>La Fontana 11221</v>
          </cell>
          <cell r="D39" t="str">
            <v>Las Condes</v>
          </cell>
          <cell r="E39" t="str">
            <v>San Carlos</v>
          </cell>
          <cell r="F39" t="str">
            <v>UC</v>
          </cell>
          <cell r="G39" t="str">
            <v>JEFE</v>
          </cell>
          <cell r="H39">
            <v>56978785698</v>
          </cell>
          <cell r="I39" t="str">
            <v>bmackenney@uc.cl</v>
          </cell>
          <cell r="J39" t="str">
            <v>Joaquin Eichholz</v>
          </cell>
        </row>
        <row r="40">
          <cell r="A40" t="str">
            <v>Michella</v>
          </cell>
          <cell r="B40" t="str">
            <v>Mascarello</v>
          </cell>
          <cell r="C40" t="str">
            <v>Quinchamali 14336</v>
          </cell>
          <cell r="D40" t="str">
            <v>Las Condes</v>
          </cell>
          <cell r="E40" t="str">
            <v>Quinchamali</v>
          </cell>
          <cell r="F40" t="str">
            <v>UC</v>
          </cell>
          <cell r="G40" t="str">
            <v>JEFE</v>
          </cell>
          <cell r="H40">
            <v>56979878976</v>
          </cell>
          <cell r="I40" t="str">
            <v>miki.mascarello@gmail.com</v>
          </cell>
          <cell r="J40" t="str">
            <v>Joaquin Eichholz</v>
          </cell>
        </row>
        <row r="41">
          <cell r="A41" t="str">
            <v>Vicente</v>
          </cell>
          <cell r="B41" t="str">
            <v>Mayol</v>
          </cell>
          <cell r="C41" t="str">
            <v>Paseo Pie Andino 6500 Casa O</v>
          </cell>
          <cell r="D41" t="str">
            <v>Lo Barnechea</v>
          </cell>
          <cell r="E41" t="str">
            <v>Los Trapenses</v>
          </cell>
          <cell r="F41" t="str">
            <v>Monte Tabor</v>
          </cell>
          <cell r="G41" t="str">
            <v>JEFE</v>
          </cell>
          <cell r="H41">
            <v>56978189115</v>
          </cell>
          <cell r="I41" t="str">
            <v>vmayol@live.cl</v>
          </cell>
          <cell r="J41" t="str">
            <v>Lukas Quense</v>
          </cell>
        </row>
        <row r="42">
          <cell r="A42" t="str">
            <v>Jesu</v>
          </cell>
          <cell r="B42" t="str">
            <v>Mckay</v>
          </cell>
          <cell r="C42" t="str">
            <v>Blvd Jardin De Los Pajaros 4700 Casa 5</v>
          </cell>
          <cell r="D42" t="str">
            <v>Lo Barnechea</v>
          </cell>
          <cell r="E42" t="str">
            <v>Los Trapenses</v>
          </cell>
          <cell r="F42" t="str">
            <v>CLA</v>
          </cell>
          <cell r="G42" t="str">
            <v>JEFE</v>
          </cell>
          <cell r="H42">
            <v>56971837517</v>
          </cell>
          <cell r="I42" t="str">
            <v>jesumckayg@hotmail.com</v>
          </cell>
          <cell r="J42" t="str">
            <v>Joaquin Eichholz</v>
          </cell>
        </row>
        <row r="43">
          <cell r="A43" t="str">
            <v>Ignacio</v>
          </cell>
          <cell r="B43" t="str">
            <v>Montt</v>
          </cell>
          <cell r="C43" t="str">
            <v>Rio Maule 475</v>
          </cell>
          <cell r="D43" t="str">
            <v>Las Condes</v>
          </cell>
          <cell r="E43" t="str">
            <v>Estoril</v>
          </cell>
          <cell r="G43" t="str">
            <v>JEFE</v>
          </cell>
          <cell r="H43">
            <v>56954243532</v>
          </cell>
          <cell r="I43" t="str">
            <v>imontt@miuandes.cl</v>
          </cell>
          <cell r="J43" t="str">
            <v>Joaquin Eichholz</v>
          </cell>
        </row>
        <row r="44">
          <cell r="A44" t="str">
            <v>Rodrigo</v>
          </cell>
          <cell r="B44" t="str">
            <v>Morales</v>
          </cell>
          <cell r="C44" t="str">
            <v>Los Trapenses 3230</v>
          </cell>
          <cell r="D44" t="str">
            <v>Lo Barnechea</v>
          </cell>
          <cell r="E44" t="str">
            <v>Los Trapenses</v>
          </cell>
          <cell r="F44" t="str">
            <v>UDD</v>
          </cell>
          <cell r="G44" t="str">
            <v>JEFE</v>
          </cell>
          <cell r="H44">
            <v>56975684552</v>
          </cell>
          <cell r="I44" t="str">
            <v>morales.villar25@gmail.com</v>
          </cell>
          <cell r="J44" t="str">
            <v>Ignacio Castañeda</v>
          </cell>
        </row>
        <row r="45">
          <cell r="A45" t="str">
            <v>Ignacio</v>
          </cell>
          <cell r="B45" t="str">
            <v>Morales</v>
          </cell>
          <cell r="C45" t="str">
            <v>Cristobal Colon 4696 Dpto 1403</v>
          </cell>
          <cell r="D45" t="str">
            <v>Las Condes</v>
          </cell>
          <cell r="E45" t="str">
            <v>Colon</v>
          </cell>
          <cell r="F45" t="str">
            <v>UC</v>
          </cell>
          <cell r="G45" t="str">
            <v>JEFE</v>
          </cell>
          <cell r="H45">
            <v>56993024442</v>
          </cell>
          <cell r="I45" t="str">
            <v>ibmorales@uc.cl</v>
          </cell>
          <cell r="J45" t="str">
            <v>Lukas Quense</v>
          </cell>
        </row>
        <row r="46">
          <cell r="A46" t="str">
            <v>Josefina</v>
          </cell>
          <cell r="B46" t="str">
            <v>Nazer</v>
          </cell>
          <cell r="C46" t="str">
            <v>Camino del ayuntamiento 2087</v>
          </cell>
          <cell r="D46" t="str">
            <v>Lo Barnechea</v>
          </cell>
          <cell r="E46" t="str">
            <v>La Dehesa</v>
          </cell>
          <cell r="F46" t="str">
            <v>Newland</v>
          </cell>
          <cell r="G46" t="str">
            <v>JEFE</v>
          </cell>
          <cell r="H46">
            <v>56998246537</v>
          </cell>
          <cell r="I46" t="str">
            <v>cotenazer@hotmail.com</v>
          </cell>
          <cell r="J46" t="str">
            <v>Joaquin Eichholz</v>
          </cell>
        </row>
        <row r="47">
          <cell r="A47" t="str">
            <v>Raimundo</v>
          </cell>
          <cell r="B47" t="str">
            <v>Opazo</v>
          </cell>
          <cell r="C47" t="str">
            <v>Av Contralmirante Fernandez Vial 10455</v>
          </cell>
          <cell r="D47" t="str">
            <v>Lo Barnechea</v>
          </cell>
          <cell r="E47" t="str">
            <v>Los Trapenses</v>
          </cell>
          <cell r="F47" t="str">
            <v>Monte Tabor</v>
          </cell>
          <cell r="G47" t="str">
            <v>JEFE</v>
          </cell>
          <cell r="H47">
            <v>56952304675</v>
          </cell>
          <cell r="I47" t="str">
            <v>opazoraimundo@gmail.com</v>
          </cell>
          <cell r="J47" t="str">
            <v>Lukas Quense</v>
          </cell>
        </row>
        <row r="48">
          <cell r="A48" t="str">
            <v>Trinidad</v>
          </cell>
          <cell r="B48" t="str">
            <v>Ossa</v>
          </cell>
          <cell r="C48" t="str">
            <v>Escribano Diego Rutal 2471</v>
          </cell>
          <cell r="D48" t="str">
            <v>Vitacura</v>
          </cell>
          <cell r="E48" t="str">
            <v>Vespucio</v>
          </cell>
          <cell r="G48" t="str">
            <v>JEFE</v>
          </cell>
          <cell r="H48">
            <v>56978647106</v>
          </cell>
          <cell r="I48" t="str">
            <v>trinidadossag@gmail.com</v>
          </cell>
          <cell r="J48" t="str">
            <v>Ignacio Castañeda</v>
          </cell>
        </row>
        <row r="49">
          <cell r="A49" t="str">
            <v>Sofia</v>
          </cell>
          <cell r="B49" t="str">
            <v>Ovalle</v>
          </cell>
          <cell r="C49" t="str">
            <v>Manuel Guzman Maturana 1900 Casa 9</v>
          </cell>
          <cell r="D49" t="str">
            <v>Lo Barnechea</v>
          </cell>
          <cell r="E49" t="str">
            <v>Los Trapenses</v>
          </cell>
          <cell r="F49" t="str">
            <v>UDD</v>
          </cell>
          <cell r="G49" t="str">
            <v>JEFE</v>
          </cell>
          <cell r="H49">
            <v>56987143347</v>
          </cell>
          <cell r="I49" t="str">
            <v>maovallel@udd.cl</v>
          </cell>
          <cell r="J49" t="str">
            <v>Lukas Quense</v>
          </cell>
        </row>
        <row r="50">
          <cell r="A50" t="str">
            <v>Francesco</v>
          </cell>
          <cell r="B50" t="str">
            <v>Pamparana</v>
          </cell>
          <cell r="C50" t="str">
            <v>Parque Las Garzas 16, Condominio Las Banadadas</v>
          </cell>
          <cell r="D50" t="str">
            <v>Chicureo</v>
          </cell>
          <cell r="E50" t="str">
            <v>Piedra Roja</v>
          </cell>
          <cell r="F50" t="str">
            <v>UDD</v>
          </cell>
          <cell r="G50" t="str">
            <v>JEFE</v>
          </cell>
          <cell r="H50">
            <v>56984695829</v>
          </cell>
          <cell r="I50" t="str">
            <v>pancho.pamparana@gmail.com</v>
          </cell>
          <cell r="J50" t="str">
            <v>Lukas Quense</v>
          </cell>
        </row>
        <row r="51">
          <cell r="A51" t="str">
            <v>Trinidad</v>
          </cell>
          <cell r="B51" t="str">
            <v>Pereira</v>
          </cell>
          <cell r="C51" t="str">
            <v>Punta de Aguilas 4311</v>
          </cell>
          <cell r="D51" t="str">
            <v>Lo Barnechea</v>
          </cell>
          <cell r="E51" t="str">
            <v>Los Trapenses</v>
          </cell>
          <cell r="F51" t="str">
            <v>UAB</v>
          </cell>
          <cell r="G51" t="str">
            <v>JEFE</v>
          </cell>
          <cell r="H51">
            <v>56968320616</v>
          </cell>
          <cell r="I51" t="str">
            <v>trinipereira@gmail.com</v>
          </cell>
          <cell r="J51" t="str">
            <v>Ignacio Castañeda</v>
          </cell>
        </row>
        <row r="52">
          <cell r="A52" t="str">
            <v>Agustina</v>
          </cell>
          <cell r="B52" t="str">
            <v>Pineda</v>
          </cell>
          <cell r="C52" t="str">
            <v>Artigas 643</v>
          </cell>
          <cell r="D52" t="str">
            <v>Vitacura</v>
          </cell>
          <cell r="E52" t="str">
            <v>Santa Maria</v>
          </cell>
          <cell r="F52" t="str">
            <v>Pacifico</v>
          </cell>
          <cell r="G52" t="str">
            <v>JEFE</v>
          </cell>
          <cell r="H52">
            <v>56991997991</v>
          </cell>
          <cell r="I52" t="str">
            <v>agustina-pineda@hotmail.com</v>
          </cell>
          <cell r="J52" t="str">
            <v>Lukas Quense</v>
          </cell>
        </row>
        <row r="53">
          <cell r="A53" t="str">
            <v>Benjamin</v>
          </cell>
          <cell r="B53" t="str">
            <v>Piña</v>
          </cell>
          <cell r="C53" t="str">
            <v>La Cienaga 12184</v>
          </cell>
          <cell r="D53" t="str">
            <v>Lo Barnechea</v>
          </cell>
          <cell r="E53" t="str">
            <v>La Dehesa</v>
          </cell>
          <cell r="F53" t="str">
            <v>Uandes</v>
          </cell>
          <cell r="G53" t="str">
            <v>JEFE</v>
          </cell>
          <cell r="H53">
            <v>56974529859</v>
          </cell>
          <cell r="I53" t="str">
            <v>pina.benjamin@gmail.com</v>
          </cell>
          <cell r="J53" t="str">
            <v>Ignacio Castañeda</v>
          </cell>
        </row>
        <row r="54">
          <cell r="A54" t="str">
            <v>Lukas</v>
          </cell>
          <cell r="B54" t="str">
            <v>Quense</v>
          </cell>
          <cell r="C54" t="str">
            <v>Cerro Cortadera 9897</v>
          </cell>
          <cell r="D54" t="str">
            <v>Lo Barnechea</v>
          </cell>
          <cell r="E54" t="str">
            <v>Los Trapenses</v>
          </cell>
          <cell r="F54" t="str">
            <v>UC</v>
          </cell>
          <cell r="G54" t="str">
            <v>SOCIO</v>
          </cell>
          <cell r="H54">
            <v>56987217393</v>
          </cell>
          <cell r="I54" t="str">
            <v>lukas.quense@gmail.com</v>
          </cell>
          <cell r="J54" t="str">
            <v>Lukas Quense</v>
          </cell>
        </row>
        <row r="55">
          <cell r="A55" t="str">
            <v>Josefina</v>
          </cell>
          <cell r="B55" t="str">
            <v>Quiroga</v>
          </cell>
          <cell r="C55" t="str">
            <v>Santa Rita 1017</v>
          </cell>
          <cell r="D55" t="str">
            <v>Las Condes</v>
          </cell>
          <cell r="E55" t="str">
            <v>San Carlos</v>
          </cell>
          <cell r="F55" t="str">
            <v>UC</v>
          </cell>
          <cell r="G55" t="str">
            <v>JEFE</v>
          </cell>
          <cell r="H55">
            <v>56981207671</v>
          </cell>
          <cell r="I55" t="str">
            <v>josefinaquiroga7@hotmail.com</v>
          </cell>
          <cell r="J55" t="str">
            <v>Ignacio Castañeda</v>
          </cell>
        </row>
        <row r="56">
          <cell r="A56" t="str">
            <v>Rafa</v>
          </cell>
          <cell r="B56" t="str">
            <v>Quiroga</v>
          </cell>
          <cell r="C56" t="str">
            <v>Santa Rita 1017</v>
          </cell>
          <cell r="D56" t="str">
            <v>Las Condes</v>
          </cell>
          <cell r="E56" t="str">
            <v>San Carlos</v>
          </cell>
          <cell r="F56" t="str">
            <v>CPH</v>
          </cell>
          <cell r="G56" t="str">
            <v>JEFE</v>
          </cell>
          <cell r="H56">
            <v>56995408498</v>
          </cell>
          <cell r="I56" t="str">
            <v>rafaquiroga7@gmail.com</v>
          </cell>
          <cell r="J56" t="str">
            <v>Ignacio Castañeda</v>
          </cell>
        </row>
        <row r="57">
          <cell r="A57" t="str">
            <v>Barbara</v>
          </cell>
          <cell r="B57" t="str">
            <v>Rodriguez</v>
          </cell>
          <cell r="C57" t="str">
            <v>Raimapu 6744</v>
          </cell>
          <cell r="D57" t="str">
            <v>Vitacura</v>
          </cell>
          <cell r="E57" t="str">
            <v>Santa Maria</v>
          </cell>
          <cell r="F57" t="str">
            <v>Aleman</v>
          </cell>
          <cell r="G57" t="str">
            <v>JEFE</v>
          </cell>
          <cell r="H57">
            <v>56956481962</v>
          </cell>
          <cell r="I57" t="str">
            <v>barodriguez@dsstgo.cl</v>
          </cell>
          <cell r="J57" t="str">
            <v>Lukas Quense</v>
          </cell>
        </row>
        <row r="58">
          <cell r="A58" t="str">
            <v>Fede</v>
          </cell>
          <cell r="B58" t="str">
            <v>Schilling</v>
          </cell>
          <cell r="C58" t="str">
            <v>Laura Tromben 5754</v>
          </cell>
          <cell r="D58" t="str">
            <v>Vitacura</v>
          </cell>
          <cell r="E58" t="str">
            <v>Manquehue</v>
          </cell>
          <cell r="F58" t="str">
            <v>Aleman</v>
          </cell>
          <cell r="G58" t="str">
            <v>JEFE</v>
          </cell>
          <cell r="H58">
            <v>56979980568</v>
          </cell>
          <cell r="I58" t="str">
            <v>federico.schilling@gmail.com</v>
          </cell>
          <cell r="J58" t="str">
            <v>Lukas Quense</v>
          </cell>
        </row>
        <row r="59">
          <cell r="A59" t="str">
            <v>Carola</v>
          </cell>
          <cell r="B59" t="str">
            <v>Schumann</v>
          </cell>
          <cell r="C59" t="str">
            <v>Pedro Canisio 1103 Dpto 142</v>
          </cell>
          <cell r="D59" t="str">
            <v>Vitacura</v>
          </cell>
          <cell r="E59" t="str">
            <v>Manquehue</v>
          </cell>
          <cell r="F59" t="str">
            <v>UAI</v>
          </cell>
          <cell r="G59" t="str">
            <v>JEFE</v>
          </cell>
          <cell r="H59">
            <v>56998263560</v>
          </cell>
          <cell r="I59" t="str">
            <v>cschumann@alumnos.uai.cl</v>
          </cell>
          <cell r="J59" t="str">
            <v>Ignacio Castañeda</v>
          </cell>
        </row>
        <row r="60">
          <cell r="A60" t="str">
            <v>Cata</v>
          </cell>
          <cell r="B60" t="str">
            <v>Tondreau</v>
          </cell>
          <cell r="C60" t="str">
            <v>Francisco de Aguirre 4155</v>
          </cell>
          <cell r="D60" t="str">
            <v>Vitacura</v>
          </cell>
          <cell r="E60" t="str">
            <v>Vespucio</v>
          </cell>
          <cell r="F60" t="str">
            <v>UC</v>
          </cell>
          <cell r="G60" t="str">
            <v>JEFE</v>
          </cell>
          <cell r="H60">
            <v>56942723186</v>
          </cell>
          <cell r="I60" t="str">
            <v>catalinatp_97@hotmail.com</v>
          </cell>
          <cell r="J60" t="str">
            <v>Joaquin Eichholz</v>
          </cell>
        </row>
        <row r="61">
          <cell r="A61" t="str">
            <v>Iñaki</v>
          </cell>
          <cell r="B61" t="str">
            <v>Tramontana</v>
          </cell>
          <cell r="C61" t="str">
            <v>Los Algarrobos 3 Casa 28</v>
          </cell>
          <cell r="D61" t="str">
            <v>Chicureo</v>
          </cell>
          <cell r="E61" t="str">
            <v>Piedra Roja</v>
          </cell>
          <cell r="F61" t="str">
            <v>UDD</v>
          </cell>
          <cell r="G61" t="str">
            <v>JEFE</v>
          </cell>
          <cell r="H61">
            <v>56996310424</v>
          </cell>
          <cell r="I61" t="str">
            <v>Itramontanae@udd.cl</v>
          </cell>
          <cell r="J61" t="str">
            <v>Lukas Quense</v>
          </cell>
        </row>
        <row r="62">
          <cell r="A62" t="str">
            <v>Juan</v>
          </cell>
          <cell r="B62" t="str">
            <v>Undurraga</v>
          </cell>
          <cell r="C62" t="str">
            <v>Huilquehue 4367</v>
          </cell>
          <cell r="D62" t="str">
            <v>Lo Barnechea</v>
          </cell>
          <cell r="E62" t="str">
            <v>Los Trapenses</v>
          </cell>
          <cell r="F62" t="str">
            <v>UAndes</v>
          </cell>
          <cell r="G62" t="str">
            <v>JEFE</v>
          </cell>
          <cell r="H62">
            <v>56974397201</v>
          </cell>
          <cell r="I62" t="str">
            <v>jundurraga3@miuandes.cl</v>
          </cell>
          <cell r="J62" t="str">
            <v>Ignacio Castañeda</v>
          </cell>
        </row>
        <row r="63">
          <cell r="A63" t="str">
            <v>Cristobal</v>
          </cell>
          <cell r="B63" t="str">
            <v>Valdes</v>
          </cell>
          <cell r="C63" t="str">
            <v>Los Queltehues 11524</v>
          </cell>
          <cell r="D63" t="str">
            <v>Lo Barnechea</v>
          </cell>
          <cell r="E63" t="str">
            <v>Los Trapenses</v>
          </cell>
          <cell r="F63" t="str">
            <v>Cordillera</v>
          </cell>
          <cell r="G63" t="str">
            <v>JEFE</v>
          </cell>
          <cell r="H63">
            <v>56964829508</v>
          </cell>
          <cell r="I63" t="str">
            <v>cristobalvaldes99@gmail.com</v>
          </cell>
          <cell r="J63" t="str">
            <v>Lukas Quense</v>
          </cell>
        </row>
        <row r="64">
          <cell r="A64" t="str">
            <v>Antonia</v>
          </cell>
          <cell r="B64" t="str">
            <v>Valencia</v>
          </cell>
          <cell r="C64" t="str">
            <v>Las Campanas 681, Hacienda Chicureo</v>
          </cell>
          <cell r="D64" t="str">
            <v>Chicureo</v>
          </cell>
          <cell r="E64" t="str">
            <v>Piedra Roja</v>
          </cell>
          <cell r="F64" t="str">
            <v>UAndes</v>
          </cell>
          <cell r="G64" t="str">
            <v>JEFE</v>
          </cell>
          <cell r="H64">
            <v>56979769748</v>
          </cell>
          <cell r="I64" t="str">
            <v>antovalencia@mac.com</v>
          </cell>
          <cell r="J64" t="str">
            <v>Joaquin Eichholz</v>
          </cell>
        </row>
        <row r="65">
          <cell r="A65" t="str">
            <v>Jesu</v>
          </cell>
          <cell r="B65" t="str">
            <v>Valenzuela</v>
          </cell>
          <cell r="C65" t="str">
            <v>Bombay 8825</v>
          </cell>
          <cell r="D65" t="str">
            <v>Las Condes</v>
          </cell>
          <cell r="E65" t="str">
            <v>Alto Las Condes</v>
          </cell>
          <cell r="F65" t="str">
            <v>UC</v>
          </cell>
          <cell r="G65" t="str">
            <v>JEFE</v>
          </cell>
          <cell r="H65">
            <v>56999699652</v>
          </cell>
          <cell r="I65" t="str">
            <v>mjvalenzuela3@uc.cl</v>
          </cell>
          <cell r="J65" t="str">
            <v>Joaquin Eichholz</v>
          </cell>
        </row>
        <row r="66">
          <cell r="A66" t="str">
            <v>Pablo</v>
          </cell>
          <cell r="B66" t="str">
            <v>Vial</v>
          </cell>
          <cell r="C66" t="str">
            <v>Pachica 8279</v>
          </cell>
          <cell r="D66" t="str">
            <v>Las Condes</v>
          </cell>
          <cell r="E66" t="str">
            <v>Colon</v>
          </cell>
          <cell r="F66" t="str">
            <v>UDD</v>
          </cell>
          <cell r="G66" t="str">
            <v>JEFE</v>
          </cell>
          <cell r="H66">
            <v>56957230044</v>
          </cell>
          <cell r="I66" t="str">
            <v>pabcontrerasm@udd.cl</v>
          </cell>
          <cell r="J66" t="str">
            <v>Joaquin Eichholz</v>
          </cell>
        </row>
        <row r="67">
          <cell r="A67" t="str">
            <v>Pedro</v>
          </cell>
          <cell r="B67" t="str">
            <v>Vial</v>
          </cell>
          <cell r="C67" t="str">
            <v>Padre Ted Huard 4144</v>
          </cell>
          <cell r="D67" t="str">
            <v>Lo Barnechea</v>
          </cell>
          <cell r="E67" t="str">
            <v>Los Trapenses</v>
          </cell>
          <cell r="F67" t="str">
            <v>Monte Tabor</v>
          </cell>
          <cell r="G67" t="str">
            <v>JEFE</v>
          </cell>
          <cell r="H67">
            <v>56966640363</v>
          </cell>
          <cell r="I67" t="str">
            <v>pedrovialbo@gmail.com</v>
          </cell>
          <cell r="J67" t="str">
            <v>Lukas Quense</v>
          </cell>
        </row>
        <row r="68">
          <cell r="A68" t="str">
            <v>Paula</v>
          </cell>
          <cell r="B68" t="str">
            <v>Villela</v>
          </cell>
          <cell r="C68" t="str">
            <v>Camino La Fuente 2174</v>
          </cell>
          <cell r="D68" t="str">
            <v>Las Condes</v>
          </cell>
          <cell r="E68" t="str">
            <v>San Carlos</v>
          </cell>
          <cell r="G68" t="str">
            <v>JEFE</v>
          </cell>
          <cell r="H68">
            <v>56957850035</v>
          </cell>
          <cell r="I68" t="str">
            <v>pvillelacaerols@gmail.com</v>
          </cell>
          <cell r="J68" t="str">
            <v>Joaquin Eichholz</v>
          </cell>
        </row>
        <row r="69">
          <cell r="A69" t="str">
            <v>Gabriel</v>
          </cell>
          <cell r="B69" t="str">
            <v>Villela</v>
          </cell>
          <cell r="C69" t="str">
            <v>Las Estrellas 14043</v>
          </cell>
          <cell r="D69" t="str">
            <v>Las Condes</v>
          </cell>
          <cell r="E69" t="str">
            <v>Quinchamali</v>
          </cell>
          <cell r="F69" t="str">
            <v>TIPS</v>
          </cell>
          <cell r="G69" t="str">
            <v>JEFE</v>
          </cell>
          <cell r="H69">
            <v>56973979384</v>
          </cell>
          <cell r="I69" t="str">
            <v>gk.alaluf@icloud.com</v>
          </cell>
          <cell r="J69" t="str">
            <v>Lukas Quense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77734375" customWidth="1" collapsed="1"/>
    <col min="13" max="14" width="10.7773437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207" t="s">
        <v>44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9"/>
      <c r="O2" s="210" t="s">
        <v>12</v>
      </c>
      <c r="P2" s="211"/>
      <c r="Q2" s="211"/>
      <c r="R2" s="211"/>
      <c r="S2" s="211"/>
      <c r="T2" s="211"/>
      <c r="U2" s="212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7" customHeight="1" outlineLevel="1" x14ac:dyDescent="0.3">
      <c r="A5" s="201" t="s">
        <v>45</v>
      </c>
      <c r="B5" s="95" t="str">
        <f>[1]Personas!A2</f>
        <v>Amalia</v>
      </c>
      <c r="C5" s="92" t="str">
        <f>[1]Personas!B2</f>
        <v>Abogabir</v>
      </c>
      <c r="D5" s="92" t="str">
        <f>[1]Personas!C2</f>
        <v>Condominio El Algarrobal 2 Casa Z-95</v>
      </c>
      <c r="E5" s="92" t="str">
        <f>[1]Personas!D2</f>
        <v>Chicureo</v>
      </c>
      <c r="F5" s="92" t="str">
        <f>[1]Personas!E2</f>
        <v>Piedra Roja</v>
      </c>
      <c r="G5" s="92" t="str">
        <f>[1]Personas!F2</f>
        <v>CLSA</v>
      </c>
      <c r="H5" s="92" t="str">
        <f>[1]Personas!G2</f>
        <v>JEFE</v>
      </c>
      <c r="I5" s="96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90"/>
      <c r="M5" s="90"/>
      <c r="N5" s="88">
        <f>SUMPRODUCT(Tabla523[[#This Row],[N 2 kg]:[N 500 gr]],O$82:U$82)</f>
        <v>0</v>
      </c>
      <c r="O5" s="90"/>
      <c r="P5" s="90"/>
      <c r="Q5" s="90"/>
      <c r="R5" s="90"/>
      <c r="S5" s="90"/>
      <c r="T5" s="90"/>
      <c r="U5" s="90"/>
      <c r="V5" s="90">
        <f>SUM(Tabla523[[#This Row],[N 2 kg]:[N 500 gr]])</f>
        <v>0</v>
      </c>
      <c r="W5" s="100"/>
    </row>
    <row r="6" spans="1:23" outlineLevel="1" x14ac:dyDescent="0.3">
      <c r="A6" s="202"/>
      <c r="B6" s="97" t="str">
        <f>[1]Personas!A3</f>
        <v>Maida</v>
      </c>
      <c r="C6" s="88" t="str">
        <f>[1]Personas!B3</f>
        <v>Andrews</v>
      </c>
      <c r="D6" s="88" t="str">
        <f>[1]Personas!C3</f>
        <v>Martin De Zamora 5245, Torre 2, Dpto 52</v>
      </c>
      <c r="E6" s="88" t="str">
        <f>[1]Personas!D3</f>
        <v>Las Condes</v>
      </c>
      <c r="F6" s="88" t="str">
        <f>[1]Personas!E3</f>
        <v>Manquehue</v>
      </c>
      <c r="G6" s="88" t="str">
        <f>[1]Personas!F3</f>
        <v>VMA</v>
      </c>
      <c r="H6" s="88" t="str">
        <f>[1]Personas!G3</f>
        <v>JEFE</v>
      </c>
      <c r="I6" s="94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93"/>
      <c r="M6" s="93"/>
      <c r="N6" s="88">
        <f>SUMPRODUCT(Tabla523[[#This Row],[N 2 kg]:[N 500 gr]],O$82:U$82)</f>
        <v>0</v>
      </c>
      <c r="O6" s="93"/>
      <c r="P6" s="93"/>
      <c r="Q6" s="93"/>
      <c r="R6" s="93"/>
      <c r="S6" s="93"/>
      <c r="T6" s="93"/>
      <c r="U6" s="93"/>
      <c r="V6" s="93">
        <f>SUM(Tabla523[[#This Row],[N 2 kg]:[N 500 gr]])</f>
        <v>0</v>
      </c>
      <c r="W6" s="101"/>
    </row>
    <row r="7" spans="1:23" outlineLevel="1" x14ac:dyDescent="0.3">
      <c r="A7" s="202"/>
      <c r="B7" s="97" t="str">
        <f>[1]Personas!A4</f>
        <v>Gabriel</v>
      </c>
      <c r="C7" s="88" t="str">
        <f>[1]Personas!B4</f>
        <v>Araneda</v>
      </c>
      <c r="D7" s="88" t="str">
        <f>[1]Personas!C4</f>
        <v>Apoquindo 6797 Dpto 203-3</v>
      </c>
      <c r="E7" s="88" t="str">
        <f>[1]Personas!D4</f>
        <v>Las Condes</v>
      </c>
      <c r="F7" s="88" t="str">
        <f>[1]Personas!E4</f>
        <v>Manquehue</v>
      </c>
      <c r="G7" s="88" t="str">
        <f>[1]Personas!F4</f>
        <v>UDD</v>
      </c>
      <c r="H7" s="88" t="str">
        <f>[1]Personas!G4</f>
        <v>JEFE</v>
      </c>
      <c r="I7" s="94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93"/>
      <c r="M7" s="93"/>
      <c r="N7" s="88">
        <f>SUMPRODUCT(Tabla523[[#This Row],[N 2 kg]:[N 500 gr]],O$82:U$82)</f>
        <v>0</v>
      </c>
      <c r="O7" s="93"/>
      <c r="P7" s="93"/>
      <c r="Q7" s="93"/>
      <c r="R7" s="93"/>
      <c r="S7" s="93"/>
      <c r="T7" s="93"/>
      <c r="U7" s="93"/>
      <c r="V7" s="93">
        <f>SUM(Tabla523[[#This Row],[N 2 kg]:[N 500 gr]])</f>
        <v>0</v>
      </c>
      <c r="W7" s="101"/>
    </row>
    <row r="8" spans="1:23" outlineLevel="1" x14ac:dyDescent="0.3">
      <c r="A8" s="202"/>
      <c r="B8" s="97" t="str">
        <f>[1]Personas!A5</f>
        <v>Martin</v>
      </c>
      <c r="C8" s="88" t="str">
        <f>[1]Personas!B5</f>
        <v>Araos</v>
      </c>
      <c r="D8" s="88" t="str">
        <f>[1]Personas!C5</f>
        <v>Cristal De Roca 10542</v>
      </c>
      <c r="E8" s="88" t="str">
        <f>[1]Personas!D5</f>
        <v>Chicureo</v>
      </c>
      <c r="F8" s="88" t="str">
        <f>[1]Personas!E5</f>
        <v>La Radial</v>
      </c>
      <c r="G8" s="88" t="str">
        <f>[1]Personas!F5</f>
        <v>Santa Cruz</v>
      </c>
      <c r="H8" s="88" t="str">
        <f>[1]Personas!G5</f>
        <v>JEFE</v>
      </c>
      <c r="I8" s="94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93"/>
      <c r="M8" s="93"/>
      <c r="N8" s="88">
        <f>SUMPRODUCT(Tabla523[[#This Row],[N 2 kg]:[N 500 gr]],O$82:U$82)</f>
        <v>0</v>
      </c>
      <c r="O8" s="93"/>
      <c r="P8" s="93"/>
      <c r="Q8" s="93"/>
      <c r="R8" s="93"/>
      <c r="S8" s="93"/>
      <c r="T8" s="93"/>
      <c r="U8" s="93"/>
      <c r="V8" s="93">
        <f>SUM(Tabla523[[#This Row],[N 2 kg]:[N 500 gr]])</f>
        <v>0</v>
      </c>
      <c r="W8" s="101"/>
    </row>
    <row r="9" spans="1:23" outlineLevel="1" x14ac:dyDescent="0.3">
      <c r="A9" s="202"/>
      <c r="B9" s="97" t="str">
        <f>[1]Personas!A6</f>
        <v>Javi</v>
      </c>
      <c r="C9" s="88" t="str">
        <f>[1]Personas!B6</f>
        <v>Bernaus</v>
      </c>
      <c r="D9" s="88" t="str">
        <f>[1]Personas!C6</f>
        <v>Cerro La Campana 2311 Casa 2</v>
      </c>
      <c r="E9" s="88" t="str">
        <f>[1]Personas!D6</f>
        <v>Lo Barnechea</v>
      </c>
      <c r="F9" s="88" t="str">
        <f>[1]Personas!E6</f>
        <v>Los Trapenses</v>
      </c>
      <c r="G9" s="88" t="str">
        <f>[1]Personas!F6</f>
        <v>UAI</v>
      </c>
      <c r="H9" s="88" t="str">
        <f>[1]Personas!G6</f>
        <v>JEFE</v>
      </c>
      <c r="I9" s="94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93"/>
      <c r="M9" s="93"/>
      <c r="N9" s="88">
        <f>SUMPRODUCT(Tabla523[[#This Row],[N 2 kg]:[N 500 gr]],O$82:U$82)</f>
        <v>0</v>
      </c>
      <c r="O9" s="93"/>
      <c r="P9" s="93"/>
      <c r="Q9" s="93"/>
      <c r="R9" s="93"/>
      <c r="S9" s="93"/>
      <c r="T9" s="93"/>
      <c r="U9" s="93"/>
      <c r="V9" s="93">
        <f>SUM(Tabla523[[#This Row],[N 2 kg]:[N 500 gr]])</f>
        <v>0</v>
      </c>
      <c r="W9" s="101"/>
    </row>
    <row r="10" spans="1:23" outlineLevel="1" x14ac:dyDescent="0.3">
      <c r="A10" s="202"/>
      <c r="B10" s="97" t="str">
        <f>[1]Personas!A7</f>
        <v>Paul</v>
      </c>
      <c r="C10" s="88" t="str">
        <f>[1]Personas!B7</f>
        <v>Brenner</v>
      </c>
      <c r="D10" s="88" t="str">
        <f>[1]Personas!C7</f>
        <v>San Jose De La Sierra 1105</v>
      </c>
      <c r="E10" s="88" t="str">
        <f>[1]Personas!D7</f>
        <v>Las Condes</v>
      </c>
      <c r="F10" s="88" t="str">
        <f>[1]Personas!E7</f>
        <v>Quinchamali</v>
      </c>
      <c r="G10" s="88" t="str">
        <f>[1]Personas!F7</f>
        <v>UDD</v>
      </c>
      <c r="H10" s="88" t="str">
        <f>[1]Personas!G7</f>
        <v>JEFE</v>
      </c>
      <c r="I10" s="94">
        <f>[1]Personas!H7</f>
        <v>56955324629</v>
      </c>
      <c r="J10" s="42" t="str">
        <f>[1]Personas!I7</f>
        <v>paulmartinbrenner@hotmail.com</v>
      </c>
      <c r="K10" s="42" t="str">
        <f>[1]Personas!J7</f>
        <v>Lukas Quense</v>
      </c>
      <c r="L10" s="93"/>
      <c r="M10" s="93"/>
      <c r="N10" s="88">
        <f>SUMPRODUCT(Tabla523[[#This Row],[N 2 kg]:[N 500 gr]],O$82:U$82)</f>
        <v>0</v>
      </c>
      <c r="O10" s="93"/>
      <c r="P10" s="93"/>
      <c r="Q10" s="93"/>
      <c r="R10" s="93"/>
      <c r="S10" s="93"/>
      <c r="T10" s="93"/>
      <c r="U10" s="93"/>
      <c r="V10" s="93">
        <f>SUM(Tabla523[[#This Row],[N 2 kg]:[N 500 gr]])</f>
        <v>0</v>
      </c>
      <c r="W10" s="101"/>
    </row>
    <row r="11" spans="1:23" outlineLevel="1" x14ac:dyDescent="0.3">
      <c r="A11" s="202"/>
      <c r="B11" s="97" t="str">
        <f>[1]Personas!A8</f>
        <v>Alvaro</v>
      </c>
      <c r="C11" s="88" t="str">
        <f>[1]Personas!B8</f>
        <v>Caeviedes</v>
      </c>
      <c r="D11" s="88" t="str">
        <f>[1]Personas!C8</f>
        <v>Cerro El Paico 9756</v>
      </c>
      <c r="E11" s="88" t="str">
        <f>[1]Personas!D8</f>
        <v>Lo Barnechea</v>
      </c>
      <c r="F11" s="88" t="str">
        <f>[1]Personas!E8</f>
        <v>Los Trapenses</v>
      </c>
      <c r="G11" s="88" t="str">
        <f>[1]Personas!F8</f>
        <v>UC</v>
      </c>
      <c r="H11" s="88" t="str">
        <f>[1]Personas!G8</f>
        <v>JEFE</v>
      </c>
      <c r="I11" s="94">
        <f>[1]Personas!H8</f>
        <v>56963033603</v>
      </c>
      <c r="J11" s="42" t="str">
        <f>[1]Personas!I8</f>
        <v>acaeviedes@uc.cl</v>
      </c>
      <c r="K11" s="42" t="str">
        <f>[1]Personas!J8</f>
        <v>Joaquin Eichholz</v>
      </c>
      <c r="L11" s="93"/>
      <c r="M11" s="93"/>
      <c r="N11" s="88">
        <f>SUMPRODUCT(Tabla523[[#This Row],[N 2 kg]:[N 500 gr]],O$82:U$82)</f>
        <v>0</v>
      </c>
      <c r="O11" s="93"/>
      <c r="P11" s="93"/>
      <c r="Q11" s="93"/>
      <c r="R11" s="93"/>
      <c r="S11" s="93"/>
      <c r="T11" s="93"/>
      <c r="U11" s="93"/>
      <c r="V11" s="93">
        <f>SUM(Tabla523[[#This Row],[N 2 kg]:[N 500 gr]])</f>
        <v>0</v>
      </c>
      <c r="W11" s="101"/>
    </row>
    <row r="12" spans="1:23" outlineLevel="1" x14ac:dyDescent="0.3">
      <c r="A12" s="202"/>
      <c r="B12" s="97" t="str">
        <f>[1]Personas!A9</f>
        <v>Ignacio</v>
      </c>
      <c r="C12" s="88" t="str">
        <f>[1]Personas!B9</f>
        <v>Castañeda</v>
      </c>
      <c r="D12" s="88" t="str">
        <f>[1]Personas!C9</f>
        <v>Punta de Aguilas Norte 9300 Casa 12</v>
      </c>
      <c r="E12" s="88" t="str">
        <f>[1]Personas!D9</f>
        <v>Lo Barnechea</v>
      </c>
      <c r="F12" s="88" t="str">
        <f>[1]Personas!E9</f>
        <v>Los Trapenses</v>
      </c>
      <c r="G12" s="88" t="str">
        <f>[1]Personas!F9</f>
        <v>UC</v>
      </c>
      <c r="H12" s="88" t="str">
        <f>[1]Personas!G9</f>
        <v>SOCIO</v>
      </c>
      <c r="I12" s="94">
        <f>[1]Personas!H9</f>
        <v>56982328250</v>
      </c>
      <c r="J12" s="42" t="str">
        <f>[1]Personas!I9</f>
        <v>icastanedaw@gmail.com</v>
      </c>
      <c r="K12" s="42" t="str">
        <f>[1]Personas!J9</f>
        <v>Ignacio Castañeda</v>
      </c>
      <c r="L12" s="93"/>
      <c r="M12" s="93"/>
      <c r="N12" s="88">
        <f>SUMPRODUCT(Tabla523[[#This Row],[N 2 kg]:[N 500 gr]],O$82:U$82)</f>
        <v>0</v>
      </c>
      <c r="O12" s="93"/>
      <c r="P12" s="93"/>
      <c r="Q12" s="93"/>
      <c r="R12" s="93"/>
      <c r="S12" s="93"/>
      <c r="T12" s="93"/>
      <c r="U12" s="93"/>
      <c r="V12" s="93">
        <f>SUM(Tabla523[[#This Row],[N 2 kg]:[N 500 gr]])</f>
        <v>0</v>
      </c>
      <c r="W12" s="101"/>
    </row>
    <row r="13" spans="1:23" outlineLevel="1" x14ac:dyDescent="0.3">
      <c r="A13" s="202"/>
      <c r="B13" s="97" t="str">
        <f>[1]Personas!A10</f>
        <v>Majo</v>
      </c>
      <c r="C13" s="88" t="str">
        <f>[1]Personas!B10</f>
        <v>Castañeda</v>
      </c>
      <c r="D13" s="88" t="str">
        <f>[1]Personas!C10</f>
        <v>Punta de Aguilas Norte 9300 Casa 12</v>
      </c>
      <c r="E13" s="88" t="str">
        <f>[1]Personas!D10</f>
        <v>Lo Barnechea</v>
      </c>
      <c r="F13" s="88" t="str">
        <f>[1]Personas!E10</f>
        <v>Los Trapenses</v>
      </c>
      <c r="G13" s="88" t="str">
        <f>[1]Personas!F10</f>
        <v>UAndes</v>
      </c>
      <c r="H13" s="88" t="str">
        <f>[1]Personas!G10</f>
        <v>JEFE</v>
      </c>
      <c r="I13" s="94">
        <f>[1]Personas!H10</f>
        <v>56982328251</v>
      </c>
      <c r="J13" s="42" t="str">
        <f>[1]Personas!I10</f>
        <v>mjcastaneda@miuandes.cl</v>
      </c>
      <c r="K13" s="42" t="str">
        <f>[1]Personas!J10</f>
        <v>Ignacio Castañeda</v>
      </c>
      <c r="L13" s="93"/>
      <c r="M13" s="93"/>
      <c r="N13" s="88">
        <f>SUMPRODUCT(Tabla523[[#This Row],[N 2 kg]:[N 500 gr]],O$82:U$82)</f>
        <v>0</v>
      </c>
      <c r="O13" s="93"/>
      <c r="P13" s="93"/>
      <c r="Q13" s="93"/>
      <c r="R13" s="93"/>
      <c r="S13" s="93"/>
      <c r="T13" s="93"/>
      <c r="U13" s="93"/>
      <c r="V13" s="93">
        <f>SUM(Tabla523[[#This Row],[N 2 kg]:[N 500 gr]])</f>
        <v>0</v>
      </c>
      <c r="W13" s="101"/>
    </row>
    <row r="14" spans="1:23" outlineLevel="1" x14ac:dyDescent="0.3">
      <c r="A14" s="202"/>
      <c r="B14" s="97" t="str">
        <f>[1]Personas!A11</f>
        <v>Vicky</v>
      </c>
      <c r="C14" s="88" t="str">
        <f>[1]Personas!B11</f>
        <v>Chaparro</v>
      </c>
      <c r="D14" s="88" t="str">
        <f>[1]Personas!C11</f>
        <v>Carolina Rabat 780 Casa 8</v>
      </c>
      <c r="E14" s="88" t="str">
        <f>[1]Personas!D11</f>
        <v>Vitacura</v>
      </c>
      <c r="F14" s="88" t="str">
        <f>[1]Personas!E11</f>
        <v>Santa Maria</v>
      </c>
      <c r="G14" s="88" t="str">
        <f>[1]Personas!F11</f>
        <v>UDD</v>
      </c>
      <c r="H14" s="88" t="str">
        <f>[1]Personas!G11</f>
        <v>JEFE</v>
      </c>
      <c r="I14" s="94">
        <f>[1]Personas!H11</f>
        <v>56968348679</v>
      </c>
      <c r="J14" s="42" t="str">
        <f>[1]Personas!I11</f>
        <v>mchaparroh@udd.cl</v>
      </c>
      <c r="K14" s="42" t="str">
        <f>[1]Personas!J11</f>
        <v>Ignacio Castañeda</v>
      </c>
      <c r="L14" s="93"/>
      <c r="M14" s="93"/>
      <c r="N14" s="88">
        <f>SUMPRODUCT(Tabla523[[#This Row],[N 2 kg]:[N 500 gr]],O$82:U$82)</f>
        <v>0</v>
      </c>
      <c r="O14" s="93"/>
      <c r="P14" s="93"/>
      <c r="Q14" s="93"/>
      <c r="R14" s="93"/>
      <c r="S14" s="93"/>
      <c r="T14" s="93"/>
      <c r="U14" s="93"/>
      <c r="V14" s="93">
        <f>SUM(Tabla523[[#This Row],[N 2 kg]:[N 500 gr]])</f>
        <v>0</v>
      </c>
      <c r="W14" s="101"/>
    </row>
    <row r="15" spans="1:23" outlineLevel="1" x14ac:dyDescent="0.3">
      <c r="A15" s="202"/>
      <c r="B15" s="97" t="str">
        <f>[1]Personas!A12</f>
        <v>Antonia</v>
      </c>
      <c r="C15" s="88" t="str">
        <f>[1]Personas!B12</f>
        <v>Cisternas</v>
      </c>
      <c r="D15" s="88" t="str">
        <f>[1]Personas!C12</f>
        <v>Calle Parque 12700 Casa 38</v>
      </c>
      <c r="E15" s="88" t="str">
        <f>[1]Personas!D12</f>
        <v>Lo Barnechea</v>
      </c>
      <c r="F15" s="88" t="str">
        <f>[1]Personas!E12</f>
        <v>Los Trapenses</v>
      </c>
      <c r="G15" s="88">
        <f>[1]Personas!F12</f>
        <v>0</v>
      </c>
      <c r="H15" s="88" t="str">
        <f>[1]Personas!G12</f>
        <v>JEFE</v>
      </c>
      <c r="I15" s="94">
        <f>[1]Personas!H12</f>
        <v>56944346775</v>
      </c>
      <c r="J15" s="42" t="str">
        <f>[1]Personas!I12</f>
        <v>antocisternas@hotmail.com</v>
      </c>
      <c r="K15" s="42" t="str">
        <f>[1]Personas!J12</f>
        <v>Lukas Quense</v>
      </c>
      <c r="L15" s="93"/>
      <c r="M15" s="93"/>
      <c r="N15" s="88">
        <f>SUMPRODUCT(Tabla523[[#This Row],[N 2 kg]:[N 500 gr]],O$82:U$82)</f>
        <v>0</v>
      </c>
      <c r="O15" s="93"/>
      <c r="P15" s="93"/>
      <c r="Q15" s="93"/>
      <c r="R15" s="93"/>
      <c r="S15" s="93"/>
      <c r="T15" s="93"/>
      <c r="U15" s="93"/>
      <c r="V15" s="93">
        <f>SUM(Tabla523[[#This Row],[N 2 kg]:[N 500 gr]])</f>
        <v>0</v>
      </c>
      <c r="W15" s="101"/>
    </row>
    <row r="16" spans="1:23" outlineLevel="1" x14ac:dyDescent="0.3">
      <c r="A16" s="202"/>
      <c r="B16" s="97" t="str">
        <f>[1]Personas!A13</f>
        <v>Josefa</v>
      </c>
      <c r="C16" s="88" t="str">
        <f>[1]Personas!B13</f>
        <v>Covarrubias</v>
      </c>
      <c r="D16" s="88" t="str">
        <f>[1]Personas!C13</f>
        <v>Camino Las Flores 12163</v>
      </c>
      <c r="E16" s="88" t="str">
        <f>[1]Personas!D13</f>
        <v>Las Condes</v>
      </c>
      <c r="F16" s="88" t="str">
        <f>[1]Personas!E13</f>
        <v>San Carlos</v>
      </c>
      <c r="G16" s="88" t="str">
        <f>[1]Personas!F13</f>
        <v>Saint George</v>
      </c>
      <c r="H16" s="88" t="str">
        <f>[1]Personas!G13</f>
        <v>JEFE</v>
      </c>
      <c r="I16" s="94">
        <f>[1]Personas!H13</f>
        <v>56995346870</v>
      </c>
      <c r="J16" s="42" t="str">
        <f>[1]Personas!I13</f>
        <v>josefacovarrubias@gmail.com</v>
      </c>
      <c r="K16" s="42" t="str">
        <f>[1]Personas!J13</f>
        <v>Joaquin Eichholz</v>
      </c>
      <c r="L16" s="93"/>
      <c r="M16" s="93"/>
      <c r="N16" s="88">
        <f>SUMPRODUCT(Tabla523[[#This Row],[N 2 kg]:[N 500 gr]],O$82:U$82)</f>
        <v>0</v>
      </c>
      <c r="O16" s="93"/>
      <c r="P16" s="93"/>
      <c r="Q16" s="93"/>
      <c r="R16" s="93"/>
      <c r="S16" s="93"/>
      <c r="T16" s="93"/>
      <c r="U16" s="93"/>
      <c r="V16" s="93">
        <f>SUM(Tabla523[[#This Row],[N 2 kg]:[N 500 gr]])</f>
        <v>0</v>
      </c>
      <c r="W16" s="101"/>
    </row>
    <row r="17" spans="1:23" outlineLevel="1" x14ac:dyDescent="0.3">
      <c r="A17" s="202"/>
      <c r="B17" s="97" t="str">
        <f>[1]Personas!A14</f>
        <v>Florencia</v>
      </c>
      <c r="C17" s="88" t="str">
        <f>[1]Personas!B14</f>
        <v>Croxatto</v>
      </c>
      <c r="D17" s="88" t="str">
        <f>[1]Personas!C14</f>
        <v>Los Olivos 12179</v>
      </c>
      <c r="E17" s="88" t="str">
        <f>[1]Personas!D14</f>
        <v>Las Condes</v>
      </c>
      <c r="F17" s="88" t="str">
        <f>[1]Personas!E14</f>
        <v>San Carlos</v>
      </c>
      <c r="G17" s="88" t="str">
        <f>[1]Personas!F14</f>
        <v>UC</v>
      </c>
      <c r="H17" s="88" t="str">
        <f>[1]Personas!G14</f>
        <v>JEFE</v>
      </c>
      <c r="I17" s="94">
        <f>[1]Personas!H14</f>
        <v>56963061299</v>
      </c>
      <c r="J17" s="42" t="str">
        <f>[1]Personas!I14</f>
        <v>fcroxatto@uc.cl</v>
      </c>
      <c r="K17" s="42" t="str">
        <f>[1]Personas!J14</f>
        <v>Joaquin Eichholz</v>
      </c>
      <c r="L17" s="93"/>
      <c r="M17" s="93"/>
      <c r="N17" s="88">
        <f>SUMPRODUCT(Tabla523[[#This Row],[N 2 kg]:[N 500 gr]],O$82:U$82)</f>
        <v>0</v>
      </c>
      <c r="O17" s="93"/>
      <c r="P17" s="93"/>
      <c r="Q17" s="93"/>
      <c r="R17" s="93"/>
      <c r="S17" s="93"/>
      <c r="T17" s="93"/>
      <c r="U17" s="93"/>
      <c r="V17" s="93">
        <f>SUM(Tabla523[[#This Row],[N 2 kg]:[N 500 gr]])</f>
        <v>0</v>
      </c>
      <c r="W17" s="101"/>
    </row>
    <row r="18" spans="1:23" outlineLevel="1" x14ac:dyDescent="0.3">
      <c r="A18" s="202"/>
      <c r="B18" s="97" t="str">
        <f>[1]Personas!A15</f>
        <v>Joaquin</v>
      </c>
      <c r="C18" s="88" t="str">
        <f>[1]Personas!B15</f>
        <v>Daly</v>
      </c>
      <c r="D18" s="88" t="str">
        <f>[1]Personas!C15</f>
        <v>Polo 1 de Manquehue Casa 112</v>
      </c>
      <c r="E18" s="88" t="str">
        <f>[1]Personas!D15</f>
        <v>Chicureo</v>
      </c>
      <c r="F18" s="88" t="str">
        <f>[1]Personas!E15</f>
        <v>Piedra Roja</v>
      </c>
      <c r="G18" s="88" t="str">
        <f>[1]Personas!F15</f>
        <v>CSA</v>
      </c>
      <c r="H18" s="88" t="str">
        <f>[1]Personas!G15</f>
        <v>JEFE</v>
      </c>
      <c r="I18" s="94">
        <f>[1]Personas!H15</f>
        <v>56979987750</v>
      </c>
      <c r="J18" s="42" t="str">
        <f>[1]Personas!I15</f>
        <v>dalyjoaquin@gmail.com</v>
      </c>
      <c r="K18" s="42" t="str">
        <f>[1]Personas!J15</f>
        <v>Lukas Quense</v>
      </c>
      <c r="L18" s="93"/>
      <c r="M18" s="93"/>
      <c r="N18" s="88">
        <f>SUMPRODUCT(Tabla523[[#This Row],[N 2 kg]:[N 500 gr]],O$82:U$82)</f>
        <v>0</v>
      </c>
      <c r="O18" s="93"/>
      <c r="P18" s="93"/>
      <c r="Q18" s="93"/>
      <c r="R18" s="93"/>
      <c r="S18" s="93"/>
      <c r="T18" s="93"/>
      <c r="U18" s="93"/>
      <c r="V18" s="93">
        <f>SUM(Tabla523[[#This Row],[N 2 kg]:[N 500 gr]])</f>
        <v>0</v>
      </c>
      <c r="W18" s="101"/>
    </row>
    <row r="19" spans="1:23" outlineLevel="1" x14ac:dyDescent="0.3">
      <c r="A19" s="202"/>
      <c r="B19" s="97" t="str">
        <f>[1]Personas!A16</f>
        <v>Dominique</v>
      </c>
      <c r="C19" s="88" t="str">
        <f>[1]Personas!B16</f>
        <v>Daroch</v>
      </c>
      <c r="D19" s="88" t="str">
        <f>[1]Personas!C16</f>
        <v>El Algarrobal 2 Casa U2</v>
      </c>
      <c r="E19" s="88" t="str">
        <f>[1]Personas!D16</f>
        <v>Chicureo</v>
      </c>
      <c r="F19" s="88" t="str">
        <f>[1]Personas!E16</f>
        <v>Vespucio</v>
      </c>
      <c r="G19" s="88" t="str">
        <f>[1]Personas!F16</f>
        <v>Highlands</v>
      </c>
      <c r="H19" s="88" t="str">
        <f>[1]Personas!G16</f>
        <v>JEFE</v>
      </c>
      <c r="I19" s="94">
        <f>[1]Personas!H16</f>
        <v>56974474437</v>
      </c>
      <c r="J19" s="42" t="str">
        <f>[1]Personas!I16</f>
        <v>dominique_daroch@hotmail.com</v>
      </c>
      <c r="K19" s="42" t="str">
        <f>[1]Personas!J16</f>
        <v>Ignacio Castañeda</v>
      </c>
      <c r="L19" s="93"/>
      <c r="M19" s="93"/>
      <c r="N19" s="88">
        <f>SUMPRODUCT(Tabla523[[#This Row],[N 2 kg]:[N 500 gr]],O$82:U$82)</f>
        <v>0</v>
      </c>
      <c r="O19" s="93"/>
      <c r="P19" s="93"/>
      <c r="Q19" s="93"/>
      <c r="R19" s="93"/>
      <c r="S19" s="93"/>
      <c r="T19" s="93"/>
      <c r="U19" s="93"/>
      <c r="V19" s="93">
        <f>SUM(Tabla523[[#This Row],[N 2 kg]:[N 500 gr]])</f>
        <v>0</v>
      </c>
      <c r="W19" s="101"/>
    </row>
    <row r="20" spans="1:23" outlineLevel="1" x14ac:dyDescent="0.3">
      <c r="A20" s="202"/>
      <c r="B20" s="97" t="str">
        <f>[1]Personas!A17</f>
        <v>Camila</v>
      </c>
      <c r="C20" s="88" t="str">
        <f>[1]Personas!B17</f>
        <v>De La Sotta</v>
      </c>
      <c r="D20" s="88" t="str">
        <f>[1]Personas!C17</f>
        <v>Jose de Moraleda 4837</v>
      </c>
      <c r="E20" s="88" t="str">
        <f>[1]Personas!D17</f>
        <v>Las Condes</v>
      </c>
      <c r="F20" s="88" t="str">
        <f>[1]Personas!E17</f>
        <v>Vespucio</v>
      </c>
      <c r="G20" s="88" t="str">
        <f>[1]Personas!F17</f>
        <v>UDD</v>
      </c>
      <c r="H20" s="88" t="str">
        <f>[1]Personas!G17</f>
        <v>JEFE</v>
      </c>
      <c r="I20" s="94">
        <f>[1]Personas!H17</f>
        <v>56967289638</v>
      </c>
      <c r="J20" s="42" t="str">
        <f>[1]Personas!I17</f>
        <v>camila.delasotta@gmail.com</v>
      </c>
      <c r="K20" s="42" t="str">
        <f>[1]Personas!J17</f>
        <v>Ignacio Castañeda</v>
      </c>
      <c r="L20" s="93"/>
      <c r="M20" s="93"/>
      <c r="N20" s="88">
        <f>SUMPRODUCT(Tabla523[[#This Row],[N 2 kg]:[N 500 gr]],O$82:U$82)</f>
        <v>0</v>
      </c>
      <c r="O20" s="93"/>
      <c r="P20" s="93"/>
      <c r="Q20" s="93"/>
      <c r="R20" s="93"/>
      <c r="S20" s="93"/>
      <c r="T20" s="93"/>
      <c r="U20" s="93"/>
      <c r="V20" s="93">
        <f>SUM(Tabla523[[#This Row],[N 2 kg]:[N 500 gr]])</f>
        <v>0</v>
      </c>
      <c r="W20" s="101"/>
    </row>
    <row r="21" spans="1:23" outlineLevel="1" x14ac:dyDescent="0.3">
      <c r="A21" s="202"/>
      <c r="B21" s="97" t="str">
        <f>[1]Personas!A18</f>
        <v>Javi</v>
      </c>
      <c r="C21" s="88" t="str">
        <f>[1]Personas!B18</f>
        <v>Del Rio</v>
      </c>
      <c r="D21" s="88" t="str">
        <f>[1]Personas!C18</f>
        <v>Valle del monasterio 2664</v>
      </c>
      <c r="E21" s="88" t="str">
        <f>[1]Personas!D18</f>
        <v>Lo Barnechea</v>
      </c>
      <c r="F21" s="88" t="str">
        <f>[1]Personas!E18</f>
        <v>Los Trapenses</v>
      </c>
      <c r="G21" s="88" t="str">
        <f>[1]Personas!F18</f>
        <v>UC</v>
      </c>
      <c r="H21" s="88" t="str">
        <f>[1]Personas!G18</f>
        <v>JEFE</v>
      </c>
      <c r="I21" s="94">
        <f>[1]Personas!H18</f>
        <v>56967898535</v>
      </c>
      <c r="J21" s="42" t="str">
        <f>[1]Personas!I18</f>
        <v>jpdelrio@uc.cl</v>
      </c>
      <c r="K21" s="42" t="str">
        <f>[1]Personas!J18</f>
        <v>Ignacio Castañeda</v>
      </c>
      <c r="L21" s="93"/>
      <c r="M21" s="93"/>
      <c r="N21" s="88">
        <f>SUMPRODUCT(Tabla523[[#This Row],[N 2 kg]:[N 500 gr]],O$82:U$82)</f>
        <v>0</v>
      </c>
      <c r="O21" s="93"/>
      <c r="P21" s="93"/>
      <c r="Q21" s="93"/>
      <c r="R21" s="93"/>
      <c r="S21" s="93"/>
      <c r="T21" s="93"/>
      <c r="U21" s="93"/>
      <c r="V21" s="93">
        <f>SUM(Tabla523[[#This Row],[N 2 kg]:[N 500 gr]])</f>
        <v>0</v>
      </c>
      <c r="W21" s="101"/>
    </row>
    <row r="22" spans="1:23" outlineLevel="1" x14ac:dyDescent="0.3">
      <c r="A22" s="202"/>
      <c r="B22" s="97" t="str">
        <f>[1]Personas!A19</f>
        <v>Amelia</v>
      </c>
      <c r="C22" s="88" t="str">
        <f>[1]Personas!B19</f>
        <v>Del Rio</v>
      </c>
      <c r="D22" s="88" t="str">
        <f>[1]Personas!C19</f>
        <v>Candelaria Goyenechea 5765</v>
      </c>
      <c r="E22" s="88" t="str">
        <f>[1]Personas!D19</f>
        <v>Vitacura</v>
      </c>
      <c r="F22" s="88" t="str">
        <f>[1]Personas!E19</f>
        <v>Manquehue</v>
      </c>
      <c r="G22" s="88" t="str">
        <f>[1]Personas!F19</f>
        <v>UCH</v>
      </c>
      <c r="H22" s="88" t="str">
        <f>[1]Personas!G19</f>
        <v>JEFE</v>
      </c>
      <c r="I22" s="94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93"/>
      <c r="M22" s="93"/>
      <c r="N22" s="88">
        <f>SUMPRODUCT(Tabla523[[#This Row],[N 2 kg]:[N 500 gr]],O$82:U$82)</f>
        <v>0</v>
      </c>
      <c r="O22" s="93"/>
      <c r="P22" s="93"/>
      <c r="Q22" s="93"/>
      <c r="R22" s="93"/>
      <c r="S22" s="93"/>
      <c r="T22" s="93"/>
      <c r="U22" s="93"/>
      <c r="V22" s="93">
        <f>SUM(Tabla523[[#This Row],[N 2 kg]:[N 500 gr]])</f>
        <v>0</v>
      </c>
      <c r="W22" s="101"/>
    </row>
    <row r="23" spans="1:23" outlineLevel="1" x14ac:dyDescent="0.3">
      <c r="A23" s="202"/>
      <c r="B23" s="97" t="str">
        <f>[1]Personas!A20</f>
        <v>Constanza</v>
      </c>
      <c r="C23" s="88" t="str">
        <f>[1]Personas!B20</f>
        <v>Delfau</v>
      </c>
      <c r="D23" s="88" t="str">
        <f>[1]Personas!C20</f>
        <v>Calle Parque 12700 Casa 1</v>
      </c>
      <c r="E23" s="88" t="str">
        <f>[1]Personas!D20</f>
        <v>Lo Barnechea</v>
      </c>
      <c r="F23" s="88" t="str">
        <f>[1]Personas!E20</f>
        <v>La Dehesa</v>
      </c>
      <c r="G23" s="88" t="str">
        <f>[1]Personas!F20</f>
        <v>UC</v>
      </c>
      <c r="H23" s="88" t="str">
        <f>[1]Personas!G20</f>
        <v>JEFE</v>
      </c>
      <c r="I23" s="94">
        <f>[1]Personas!H20</f>
        <v>56991889995</v>
      </c>
      <c r="J23" s="42" t="str">
        <f>[1]Personas!I20</f>
        <v>conidelfau@gmail.com</v>
      </c>
      <c r="K23" s="42" t="str">
        <f>[1]Personas!J20</f>
        <v>Ignacio Castañeda</v>
      </c>
      <c r="L23" s="93"/>
      <c r="M23" s="93"/>
      <c r="N23" s="88">
        <f>SUMPRODUCT(Tabla523[[#This Row],[N 2 kg]:[N 500 gr]],O$82:U$82)</f>
        <v>0</v>
      </c>
      <c r="O23" s="93"/>
      <c r="P23" s="93"/>
      <c r="Q23" s="93"/>
      <c r="R23" s="93"/>
      <c r="S23" s="93"/>
      <c r="T23" s="93"/>
      <c r="U23" s="93"/>
      <c r="V23" s="93">
        <f>SUM(Tabla523[[#This Row],[N 2 kg]:[N 500 gr]])</f>
        <v>0</v>
      </c>
      <c r="W23" s="101"/>
    </row>
    <row r="24" spans="1:23" outlineLevel="1" x14ac:dyDescent="0.3">
      <c r="A24" s="202"/>
      <c r="B24" s="97" t="str">
        <f>[1]Personas!A21</f>
        <v>Pilar</v>
      </c>
      <c r="C24" s="88" t="str">
        <f>[1]Personas!B21</f>
        <v>Edwards</v>
      </c>
      <c r="D24" s="88" t="str">
        <f>[1]Personas!C21</f>
        <v>El Roquerio 2028</v>
      </c>
      <c r="E24" s="88" t="str">
        <f>[1]Personas!D21</f>
        <v>Lo Barnechea</v>
      </c>
      <c r="F24" s="88" t="str">
        <f>[1]Personas!E21</f>
        <v>Los Trapenses</v>
      </c>
      <c r="G24" s="88" t="str">
        <f>[1]Personas!F21</f>
        <v>UDD</v>
      </c>
      <c r="H24" s="88" t="str">
        <f>[1]Personas!G21</f>
        <v>JEFE</v>
      </c>
      <c r="I24" s="94">
        <f>[1]Personas!H21</f>
        <v>56983708702</v>
      </c>
      <c r="J24" s="42" t="str">
        <f>[1]Personas!I21</f>
        <v>piliedwards@gmail.com</v>
      </c>
      <c r="K24" s="42" t="str">
        <f>[1]Personas!J21</f>
        <v>Joaquin Eichholz</v>
      </c>
      <c r="L24" s="93"/>
      <c r="M24" s="93"/>
      <c r="N24" s="88">
        <f>SUMPRODUCT(Tabla523[[#This Row],[N 2 kg]:[N 500 gr]],O$82:U$82)</f>
        <v>0</v>
      </c>
      <c r="O24" s="93"/>
      <c r="P24" s="93"/>
      <c r="Q24" s="93"/>
      <c r="R24" s="93"/>
      <c r="S24" s="93"/>
      <c r="T24" s="93"/>
      <c r="U24" s="93"/>
      <c r="V24" s="93">
        <f>SUM(Tabla523[[#This Row],[N 2 kg]:[N 500 gr]])</f>
        <v>0</v>
      </c>
      <c r="W24" s="101"/>
    </row>
    <row r="25" spans="1:23" outlineLevel="1" x14ac:dyDescent="0.3">
      <c r="A25" s="202"/>
      <c r="B25" s="97" t="str">
        <f>[1]Personas!A22</f>
        <v>Joaquin</v>
      </c>
      <c r="C25" s="88" t="str">
        <f>[1]Personas!B22</f>
        <v>Eichholz</v>
      </c>
      <c r="D25" s="88" t="str">
        <f>[1]Personas!C22</f>
        <v>Estrella Del Norte 980 Dpto 154</v>
      </c>
      <c r="E25" s="88" t="str">
        <f>[1]Personas!D22</f>
        <v>Las Condes</v>
      </c>
      <c r="F25" s="88" t="str">
        <f>[1]Personas!E22</f>
        <v>Alto Las Condes</v>
      </c>
      <c r="G25" s="88" t="str">
        <f>[1]Personas!F22</f>
        <v>UC</v>
      </c>
      <c r="H25" s="88" t="str">
        <f>[1]Personas!G22</f>
        <v>SOCIO</v>
      </c>
      <c r="I25" s="94">
        <f>[1]Personas!H22</f>
        <v>56996324787</v>
      </c>
      <c r="J25" s="42" t="str">
        <f>[1]Personas!I22</f>
        <v>joaquin.eichholz@gmail.com</v>
      </c>
      <c r="K25" s="42" t="str">
        <f>[1]Personas!J22</f>
        <v>Joaquin Eichholz</v>
      </c>
      <c r="L25" s="93"/>
      <c r="M25" s="93"/>
      <c r="N25" s="88">
        <f>SUMPRODUCT(Tabla523[[#This Row],[N 2 kg]:[N 500 gr]],O$82:U$82)</f>
        <v>0</v>
      </c>
      <c r="O25" s="93"/>
      <c r="P25" s="93"/>
      <c r="Q25" s="93"/>
      <c r="R25" s="93"/>
      <c r="S25" s="93"/>
      <c r="T25" s="93"/>
      <c r="U25" s="93"/>
      <c r="V25" s="93">
        <f>SUM(Tabla523[[#This Row],[N 2 kg]:[N 500 gr]])</f>
        <v>0</v>
      </c>
      <c r="W25" s="101"/>
    </row>
    <row r="26" spans="1:23" outlineLevel="1" x14ac:dyDescent="0.3">
      <c r="A26" s="202"/>
      <c r="B26" s="97" t="str">
        <f>[1]Personas!A23</f>
        <v>Maria Jesus</v>
      </c>
      <c r="C26" s="88" t="str">
        <f>[1]Personas!B23</f>
        <v>Elias</v>
      </c>
      <c r="D26" s="88" t="str">
        <f>[1]Personas!C23</f>
        <v>Manquehue Norte 555</v>
      </c>
      <c r="E26" s="88" t="str">
        <f>[1]Personas!D23</f>
        <v>Las Condes</v>
      </c>
      <c r="F26" s="88" t="str">
        <f>[1]Personas!E23</f>
        <v>Manquehue</v>
      </c>
      <c r="G26" s="88" t="str">
        <f>[1]Personas!F23</f>
        <v>UDD</v>
      </c>
      <c r="H26" s="88" t="str">
        <f>[1]Personas!G23</f>
        <v>JEFE</v>
      </c>
      <c r="I26" s="94">
        <f>[1]Personas!H23</f>
        <v>56958589916</v>
      </c>
      <c r="J26" s="42" t="str">
        <f>[1]Personas!I23</f>
        <v>meliasm@udd.cl</v>
      </c>
      <c r="K26" s="42" t="str">
        <f>[1]Personas!J23</f>
        <v>Lukas Quense</v>
      </c>
      <c r="L26" s="93"/>
      <c r="M26" s="93"/>
      <c r="N26" s="88">
        <f>SUMPRODUCT(Tabla523[[#This Row],[N 2 kg]:[N 500 gr]],O$82:U$82)</f>
        <v>0</v>
      </c>
      <c r="O26" s="93"/>
      <c r="P26" s="93"/>
      <c r="Q26" s="93"/>
      <c r="R26" s="93"/>
      <c r="S26" s="93"/>
      <c r="T26" s="93"/>
      <c r="U26" s="93"/>
      <c r="V26" s="93">
        <f>SUM(Tabla523[[#This Row],[N 2 kg]:[N 500 gr]])</f>
        <v>0</v>
      </c>
      <c r="W26" s="101"/>
    </row>
    <row r="27" spans="1:23" outlineLevel="1" x14ac:dyDescent="0.3">
      <c r="A27" s="202"/>
      <c r="B27" s="97" t="str">
        <f>[1]Personas!A24</f>
        <v>Rafael</v>
      </c>
      <c r="C27" s="88" t="str">
        <f>[1]Personas!B24</f>
        <v>Errazuriz</v>
      </c>
      <c r="D27" s="88" t="str">
        <f>[1]Personas!C24</f>
        <v>Pasaje La Aurora 1883</v>
      </c>
      <c r="E27" s="88" t="str">
        <f>[1]Personas!D24</f>
        <v>Vitacura</v>
      </c>
      <c r="F27" s="88" t="str">
        <f>[1]Personas!E24</f>
        <v>Estoril</v>
      </c>
      <c r="G27" s="88" t="str">
        <f>[1]Personas!F24</f>
        <v>UDD</v>
      </c>
      <c r="H27" s="88" t="str">
        <f>[1]Personas!G24</f>
        <v>JEFE</v>
      </c>
      <c r="I27" s="94">
        <f>[1]Personas!H24</f>
        <v>56995483434</v>
      </c>
      <c r="J27" s="42" t="str">
        <f>[1]Personas!I24</f>
        <v>rerrazurizf@udd.cl</v>
      </c>
      <c r="K27" s="42" t="str">
        <f>[1]Personas!J24</f>
        <v>Joaquin Eichholz</v>
      </c>
      <c r="L27" s="93"/>
      <c r="M27" s="93"/>
      <c r="N27" s="88">
        <f>SUMPRODUCT(Tabla523[[#This Row],[N 2 kg]:[N 500 gr]],O$82:U$82)</f>
        <v>0</v>
      </c>
      <c r="O27" s="93"/>
      <c r="P27" s="93"/>
      <c r="Q27" s="93"/>
      <c r="R27" s="93"/>
      <c r="S27" s="93"/>
      <c r="T27" s="93"/>
      <c r="U27" s="93"/>
      <c r="V27" s="93">
        <f>SUM(Tabla523[[#This Row],[N 2 kg]:[N 500 gr]])</f>
        <v>0</v>
      </c>
      <c r="W27" s="101"/>
    </row>
    <row r="28" spans="1:23" outlineLevel="1" x14ac:dyDescent="0.3">
      <c r="A28" s="202"/>
      <c r="B28" s="97" t="str">
        <f>[1]Personas!A25</f>
        <v>Isidora</v>
      </c>
      <c r="C28" s="88" t="str">
        <f>[1]Personas!B25</f>
        <v>Fernandez</v>
      </c>
      <c r="D28" s="88" t="str">
        <f>[1]Personas!C25</f>
        <v>Casa De Piedra 2628</v>
      </c>
      <c r="E28" s="88" t="str">
        <f>[1]Personas!D25</f>
        <v>Las Condes</v>
      </c>
      <c r="F28" s="88" t="str">
        <f>[1]Personas!E25</f>
        <v>San Carlos</v>
      </c>
      <c r="G28" s="88" t="str">
        <f>[1]Personas!F25</f>
        <v>UAndes</v>
      </c>
      <c r="H28" s="88" t="str">
        <f>[1]Personas!G25</f>
        <v>JEFE</v>
      </c>
      <c r="I28" s="94">
        <f>[1]Personas!H25</f>
        <v>56997550244</v>
      </c>
      <c r="J28" s="42" t="str">
        <f>[1]Personas!I25</f>
        <v>ifernandez1@miuandes.cl</v>
      </c>
      <c r="K28" s="42" t="str">
        <f>[1]Personas!J25</f>
        <v>Joaquin Eichholz</v>
      </c>
      <c r="L28" s="93"/>
      <c r="M28" s="93"/>
      <c r="N28" s="88">
        <f>SUMPRODUCT(Tabla523[[#This Row],[N 2 kg]:[N 500 gr]],O$82:U$82)</f>
        <v>0</v>
      </c>
      <c r="O28" s="93"/>
      <c r="P28" s="93"/>
      <c r="Q28" s="93"/>
      <c r="R28" s="93"/>
      <c r="S28" s="93"/>
      <c r="T28" s="93"/>
      <c r="U28" s="93"/>
      <c r="V28" s="93">
        <f>SUM(Tabla523[[#This Row],[N 2 kg]:[N 500 gr]])</f>
        <v>0</v>
      </c>
      <c r="W28" s="101"/>
    </row>
    <row r="29" spans="1:23" outlineLevel="1" x14ac:dyDescent="0.3">
      <c r="A29" s="202"/>
      <c r="B29" s="97" t="str">
        <f>[1]Personas!A26</f>
        <v>Maria Luisa</v>
      </c>
      <c r="C29" s="88" t="str">
        <f>[1]Personas!B26</f>
        <v>Fernandez</v>
      </c>
      <c r="D29" s="88" t="str">
        <f>[1]Personas!C26</f>
        <v>La Invernada 7005</v>
      </c>
      <c r="E29" s="88" t="str">
        <f>[1]Personas!D26</f>
        <v>Vitacura</v>
      </c>
      <c r="F29" s="88" t="str">
        <f>[1]Personas!E26</f>
        <v>Santa Maria</v>
      </c>
      <c r="G29" s="88" t="str">
        <f>[1]Personas!F26</f>
        <v>UCH</v>
      </c>
      <c r="H29" s="88" t="str">
        <f>[1]Personas!G26</f>
        <v>JEFE</v>
      </c>
      <c r="I29" s="94">
        <f>[1]Personas!H26</f>
        <v>56982978895</v>
      </c>
      <c r="J29" s="42" t="str">
        <f>[1]Personas!I26</f>
        <v>guisa97@hotmail.com</v>
      </c>
      <c r="K29" s="42" t="str">
        <f>[1]Personas!J26</f>
        <v>Lukas Quense</v>
      </c>
      <c r="L29" s="93"/>
      <c r="M29" s="93"/>
      <c r="N29" s="88">
        <f>SUMPRODUCT(Tabla523[[#This Row],[N 2 kg]:[N 500 gr]],O$82:U$82)</f>
        <v>0</v>
      </c>
      <c r="O29" s="93"/>
      <c r="P29" s="93"/>
      <c r="Q29" s="93"/>
      <c r="R29" s="93"/>
      <c r="S29" s="93"/>
      <c r="T29" s="93"/>
      <c r="U29" s="93"/>
      <c r="V29" s="93">
        <f>SUM(Tabla523[[#This Row],[N 2 kg]:[N 500 gr]])</f>
        <v>0</v>
      </c>
      <c r="W29" s="101"/>
    </row>
    <row r="30" spans="1:23" outlineLevel="1" x14ac:dyDescent="0.3">
      <c r="A30" s="202"/>
      <c r="B30" s="97" t="str">
        <f>[1]Personas!A27</f>
        <v>Rodrigo</v>
      </c>
      <c r="C30" s="88" t="str">
        <f>[1]Personas!B27</f>
        <v>Fernandez</v>
      </c>
      <c r="D30" s="88" t="str">
        <f>[1]Personas!C27</f>
        <v>Las Hualtatas 4555 Casa 9</v>
      </c>
      <c r="E30" s="88" t="str">
        <f>[1]Personas!D27</f>
        <v>Lo Barnechea</v>
      </c>
      <c r="F30" s="88" t="str">
        <f>[1]Personas!E27</f>
        <v>Los Trapenses</v>
      </c>
      <c r="G30" s="88" t="str">
        <f>[1]Personas!F27</f>
        <v>UC</v>
      </c>
      <c r="H30" s="88" t="str">
        <f>[1]Personas!G27</f>
        <v>JEFE</v>
      </c>
      <c r="I30" s="94">
        <f>[1]Personas!H27</f>
        <v>56986194003</v>
      </c>
      <c r="J30" s="42" t="str">
        <f>[1]Personas!I27</f>
        <v>rfernandezdelrio@uc.cl</v>
      </c>
      <c r="K30" s="42" t="str">
        <f>[1]Personas!J27</f>
        <v>Lukas Quense</v>
      </c>
      <c r="L30" s="93"/>
      <c r="M30" s="93"/>
      <c r="N30" s="88">
        <f>SUMPRODUCT(Tabla523[[#This Row],[N 2 kg]:[N 500 gr]],O$82:U$82)</f>
        <v>0</v>
      </c>
      <c r="O30" s="93"/>
      <c r="P30" s="93"/>
      <c r="Q30" s="93"/>
      <c r="R30" s="93"/>
      <c r="S30" s="93"/>
      <c r="T30" s="93"/>
      <c r="U30" s="93"/>
      <c r="V30" s="93">
        <f>SUM(Tabla523[[#This Row],[N 2 kg]:[N 500 gr]])</f>
        <v>0</v>
      </c>
      <c r="W30" s="101"/>
    </row>
    <row r="31" spans="1:23" outlineLevel="1" x14ac:dyDescent="0.3">
      <c r="A31" s="202"/>
      <c r="B31" s="97" t="str">
        <f>[1]Personas!A28</f>
        <v>Tere</v>
      </c>
      <c r="C31" s="88" t="str">
        <f>[1]Personas!B28</f>
        <v>Fernandez</v>
      </c>
      <c r="D31" s="88" t="str">
        <f>[1]Personas!C28</f>
        <v>Las Torcazas 3080</v>
      </c>
      <c r="E31" s="88" t="str">
        <f>[1]Personas!D28</f>
        <v>Chicureo</v>
      </c>
      <c r="F31" s="88" t="str">
        <f>[1]Personas!E28</f>
        <v>Colina</v>
      </c>
      <c r="G31" s="88" t="str">
        <f>[1]Personas!F28</f>
        <v>Highlands</v>
      </c>
      <c r="H31" s="88" t="str">
        <f>[1]Personas!G28</f>
        <v>JEFE</v>
      </c>
      <c r="I31" s="94">
        <f>[1]Personas!H28</f>
        <v>56965542496</v>
      </c>
      <c r="J31" s="42" t="str">
        <f>[1]Personas!I28</f>
        <v>terefernandez99@yahoo.com</v>
      </c>
      <c r="K31" s="42" t="str">
        <f>[1]Personas!J28</f>
        <v>Lukas Quense</v>
      </c>
      <c r="L31" s="93"/>
      <c r="M31" s="93"/>
      <c r="N31" s="88">
        <f>SUMPRODUCT(Tabla523[[#This Row],[N 2 kg]:[N 500 gr]],O$82:U$82)</f>
        <v>0</v>
      </c>
      <c r="O31" s="93"/>
      <c r="P31" s="93"/>
      <c r="Q31" s="93"/>
      <c r="R31" s="93"/>
      <c r="S31" s="93"/>
      <c r="T31" s="93"/>
      <c r="U31" s="93"/>
      <c r="V31" s="93">
        <f>SUM(Tabla523[[#This Row],[N 2 kg]:[N 500 gr]])</f>
        <v>0</v>
      </c>
      <c r="W31" s="101"/>
    </row>
    <row r="32" spans="1:23" outlineLevel="1" x14ac:dyDescent="0.3">
      <c r="A32" s="202"/>
      <c r="B32" s="97" t="str">
        <f>[1]Personas!A29</f>
        <v>Diego</v>
      </c>
      <c r="C32" s="88" t="str">
        <f>[1]Personas!B29</f>
        <v>Figueroa</v>
      </c>
      <c r="D32" s="88" t="str">
        <f>[1]Personas!C29</f>
        <v>Las Lavandulas 10006</v>
      </c>
      <c r="E32" s="88" t="str">
        <f>[1]Personas!D29</f>
        <v>Las Condes</v>
      </c>
      <c r="F32" s="88" t="str">
        <f>[1]Personas!E29</f>
        <v>San Carlos</v>
      </c>
      <c r="G32" s="88">
        <f>[1]Personas!F29</f>
        <v>0</v>
      </c>
      <c r="H32" s="88" t="str">
        <f>[1]Personas!G29</f>
        <v>JEFE</v>
      </c>
      <c r="I32" s="94">
        <f>[1]Personas!H29</f>
        <v>56979579233</v>
      </c>
      <c r="J32" s="42" t="str">
        <f>[1]Personas!I29</f>
        <v>diegofiba2@gmail.com</v>
      </c>
      <c r="K32" s="42" t="str">
        <f>[1]Personas!J29</f>
        <v>Joaquin Eichholz</v>
      </c>
      <c r="L32" s="93"/>
      <c r="M32" s="93"/>
      <c r="N32" s="88">
        <f>SUMPRODUCT(Tabla523[[#This Row],[N 2 kg]:[N 500 gr]],O$82:U$82)</f>
        <v>0</v>
      </c>
      <c r="O32" s="93"/>
      <c r="P32" s="93"/>
      <c r="Q32" s="93"/>
      <c r="R32" s="93"/>
      <c r="S32" s="93"/>
      <c r="T32" s="93"/>
      <c r="U32" s="93"/>
      <c r="V32" s="93">
        <f>SUM(Tabla523[[#This Row],[N 2 kg]:[N 500 gr]])</f>
        <v>0</v>
      </c>
      <c r="W32" s="101"/>
    </row>
    <row r="33" spans="1:23" outlineLevel="1" x14ac:dyDescent="0.3">
      <c r="A33" s="202"/>
      <c r="B33" s="97" t="str">
        <f>[1]Personas!A30</f>
        <v>Matias</v>
      </c>
      <c r="C33" s="88" t="str">
        <f>[1]Personas!B30</f>
        <v>Flores</v>
      </c>
      <c r="D33" s="88" t="str">
        <f>[1]Personas!C30</f>
        <v>Condominio Sta Teresita P14 Sta Ester De Liray</v>
      </c>
      <c r="E33" s="88" t="str">
        <f>[1]Personas!D30</f>
        <v>Chicureo</v>
      </c>
      <c r="F33" s="88" t="str">
        <f>[1]Personas!E30</f>
        <v>Lo Pinto</v>
      </c>
      <c r="G33" s="88" t="str">
        <f>[1]Personas!F30</f>
        <v>UDD</v>
      </c>
      <c r="H33" s="88" t="str">
        <f>[1]Personas!G30</f>
        <v>JEFE</v>
      </c>
      <c r="I33" s="94">
        <f>[1]Personas!H30</f>
        <v>56986351953</v>
      </c>
      <c r="J33" s="42" t="str">
        <f>[1]Personas!I30</f>
        <v>matifloresdonetch@hotmail.com</v>
      </c>
      <c r="K33" s="42" t="str">
        <f>[1]Personas!J30</f>
        <v>Ignacio Castañeda</v>
      </c>
      <c r="L33" s="93"/>
      <c r="M33" s="93"/>
      <c r="N33" s="88">
        <f>SUMPRODUCT(Tabla523[[#This Row],[N 2 kg]:[N 500 gr]],O$82:U$82)</f>
        <v>0</v>
      </c>
      <c r="O33" s="93"/>
      <c r="P33" s="93"/>
      <c r="Q33" s="93"/>
      <c r="R33" s="93"/>
      <c r="S33" s="93"/>
      <c r="T33" s="93"/>
      <c r="U33" s="93"/>
      <c r="V33" s="93">
        <f>SUM(Tabla523[[#This Row],[N 2 kg]:[N 500 gr]])</f>
        <v>0</v>
      </c>
      <c r="W33" s="101"/>
    </row>
    <row r="34" spans="1:23" outlineLevel="1" x14ac:dyDescent="0.3">
      <c r="A34" s="202"/>
      <c r="B34" s="97" t="str">
        <f>[1]Personas!A31</f>
        <v>Benjamin</v>
      </c>
      <c r="C34" s="88" t="str">
        <f>[1]Personas!B31</f>
        <v>Hartmann</v>
      </c>
      <c r="D34" s="88" t="str">
        <f>[1]Personas!C31</f>
        <v>Camino Otonal 1368 Casa 6</v>
      </c>
      <c r="E34" s="88" t="str">
        <f>[1]Personas!D31</f>
        <v>Las Condes</v>
      </c>
      <c r="F34" s="88" t="str">
        <f>[1]Personas!E31</f>
        <v>San Carlos</v>
      </c>
      <c r="G34" s="88" t="str">
        <f>[1]Personas!F31</f>
        <v>UC</v>
      </c>
      <c r="H34" s="88" t="str">
        <f>[1]Personas!G31</f>
        <v>JEFE</v>
      </c>
      <c r="I34" s="94">
        <f>[1]Personas!H31</f>
        <v>56982958975</v>
      </c>
      <c r="J34" s="42" t="str">
        <f>[1]Personas!I31</f>
        <v>hartmann12@gmail.com</v>
      </c>
      <c r="K34" s="42" t="str">
        <f>[1]Personas!J31</f>
        <v>Ignacio Castañeda</v>
      </c>
      <c r="L34" s="93"/>
      <c r="M34" s="93"/>
      <c r="N34" s="88">
        <f>SUMPRODUCT(Tabla523[[#This Row],[N 2 kg]:[N 500 gr]],O$82:U$82)</f>
        <v>0</v>
      </c>
      <c r="O34" s="93"/>
      <c r="P34" s="93"/>
      <c r="Q34" s="93"/>
      <c r="R34" s="93"/>
      <c r="S34" s="93"/>
      <c r="T34" s="93"/>
      <c r="U34" s="93"/>
      <c r="V34" s="93">
        <f>SUM(Tabla523[[#This Row],[N 2 kg]:[N 500 gr]])</f>
        <v>0</v>
      </c>
      <c r="W34" s="101"/>
    </row>
    <row r="35" spans="1:23" outlineLevel="1" x14ac:dyDescent="0.3">
      <c r="A35" s="202"/>
      <c r="B35" s="97" t="str">
        <f>[1]Personas!A32</f>
        <v>Mauricio</v>
      </c>
      <c r="C35" s="88" t="str">
        <f>[1]Personas!B32</f>
        <v>Hernandez</v>
      </c>
      <c r="D35" s="88" t="str">
        <f>[1]Personas!C32</f>
        <v>Julia Bernstein 607 Casa G-40</v>
      </c>
      <c r="E35" s="88" t="str">
        <f>[1]Personas!D32</f>
        <v>La Reina</v>
      </c>
      <c r="F35" s="88" t="str">
        <f>[1]Personas!E32</f>
        <v>La Reina</v>
      </c>
      <c r="G35" s="88" t="str">
        <f>[1]Personas!F32</f>
        <v>UCH</v>
      </c>
      <c r="H35" s="88" t="str">
        <f>[1]Personas!G32</f>
        <v>JEFE</v>
      </c>
      <c r="I35" s="94">
        <f>[1]Personas!H32</f>
        <v>56965951459</v>
      </c>
      <c r="J35" s="42" t="str">
        <f>[1]Personas!I32</f>
        <v>mauhernand@fen.uchile.cl</v>
      </c>
      <c r="K35" s="42" t="str">
        <f>[1]Personas!J32</f>
        <v>Lukas Quense</v>
      </c>
      <c r="L35" s="93"/>
      <c r="M35" s="93"/>
      <c r="N35" s="88">
        <f>SUMPRODUCT(Tabla523[[#This Row],[N 2 kg]:[N 500 gr]],O$82:U$82)</f>
        <v>0</v>
      </c>
      <c r="O35" s="93"/>
      <c r="P35" s="93"/>
      <c r="Q35" s="93"/>
      <c r="R35" s="93"/>
      <c r="S35" s="93"/>
      <c r="T35" s="93"/>
      <c r="U35" s="93"/>
      <c r="V35" s="93">
        <f>SUM(Tabla523[[#This Row],[N 2 kg]:[N 500 gr]])</f>
        <v>0</v>
      </c>
      <c r="W35" s="101"/>
    </row>
    <row r="36" spans="1:23" outlineLevel="1" x14ac:dyDescent="0.3">
      <c r="A36" s="202"/>
      <c r="B36" s="97" t="str">
        <f>[1]Personas!A33</f>
        <v>Andres</v>
      </c>
      <c r="C36" s="88" t="str">
        <f>[1]Personas!B33</f>
        <v>Infante</v>
      </c>
      <c r="D36" s="88" t="str">
        <f>[1]Personas!C33</f>
        <v>Camino De Las Ermitas 3804</v>
      </c>
      <c r="E36" s="88" t="str">
        <f>[1]Personas!D33</f>
        <v>Lo Barnechea</v>
      </c>
      <c r="F36" s="88" t="str">
        <f>[1]Personas!E33</f>
        <v>Los Trapenses</v>
      </c>
      <c r="G36" s="88" t="str">
        <f>[1]Personas!F33</f>
        <v>UAI</v>
      </c>
      <c r="H36" s="88" t="str">
        <f>[1]Personas!G33</f>
        <v>JEFE</v>
      </c>
      <c r="I36" s="94">
        <f>[1]Personas!H33</f>
        <v>56979891544</v>
      </c>
      <c r="J36" s="42" t="str">
        <f>[1]Personas!I33</f>
        <v>andres_infanter@hotmail.com</v>
      </c>
      <c r="K36" s="42" t="str">
        <f>[1]Personas!J33</f>
        <v>Lukas Quense</v>
      </c>
      <c r="L36" s="93"/>
      <c r="M36" s="93"/>
      <c r="N36" s="88">
        <f>SUMPRODUCT(Tabla523[[#This Row],[N 2 kg]:[N 500 gr]],O$82:U$82)</f>
        <v>0</v>
      </c>
      <c r="O36" s="93"/>
      <c r="P36" s="93"/>
      <c r="Q36" s="93"/>
      <c r="R36" s="93"/>
      <c r="S36" s="93"/>
      <c r="T36" s="93"/>
      <c r="U36" s="93"/>
      <c r="V36" s="93">
        <f>SUM(Tabla523[[#This Row],[N 2 kg]:[N 500 gr]])</f>
        <v>0</v>
      </c>
      <c r="W36" s="101"/>
    </row>
    <row r="37" spans="1:23" outlineLevel="1" x14ac:dyDescent="0.3">
      <c r="A37" s="202"/>
      <c r="B37" s="97" t="str">
        <f>[1]Personas!A34</f>
        <v>Cata</v>
      </c>
      <c r="C37" s="88" t="str">
        <f>[1]Personas!B34</f>
        <v>Izcue</v>
      </c>
      <c r="D37" s="88" t="str">
        <f>[1]Personas!C34</f>
        <v>Los Pumas 11996</v>
      </c>
      <c r="E37" s="88" t="str">
        <f>[1]Personas!D34</f>
        <v>Las Condes</v>
      </c>
      <c r="F37" s="88" t="str">
        <f>[1]Personas!E34</f>
        <v>San Carlos</v>
      </c>
      <c r="G37" s="88" t="str">
        <f>[1]Personas!F34</f>
        <v>Los Andes</v>
      </c>
      <c r="H37" s="88" t="str">
        <f>[1]Personas!G34</f>
        <v>JEFE</v>
      </c>
      <c r="I37" s="94">
        <f>[1]Personas!H34</f>
        <v>56995952212</v>
      </c>
      <c r="J37" s="42" t="str">
        <f>[1]Personas!I34</f>
        <v>cataizcue@gmail.com</v>
      </c>
      <c r="K37" s="42" t="str">
        <f>[1]Personas!J34</f>
        <v>Lukas Quense</v>
      </c>
      <c r="L37" s="93"/>
      <c r="M37" s="93"/>
      <c r="N37" s="88">
        <f>SUMPRODUCT(Tabla523[[#This Row],[N 2 kg]:[N 500 gr]],O$82:U$82)</f>
        <v>0</v>
      </c>
      <c r="O37" s="93"/>
      <c r="P37" s="93"/>
      <c r="Q37" s="93"/>
      <c r="R37" s="93"/>
      <c r="S37" s="93"/>
      <c r="T37" s="93"/>
      <c r="U37" s="93"/>
      <c r="V37" s="93">
        <f>SUM(Tabla523[[#This Row],[N 2 kg]:[N 500 gr]])</f>
        <v>0</v>
      </c>
      <c r="W37" s="101"/>
    </row>
    <row r="38" spans="1:23" outlineLevel="1" x14ac:dyDescent="0.3">
      <c r="A38" s="202"/>
      <c r="B38" s="97" t="str">
        <f>[1]Personas!A35</f>
        <v>Margarita</v>
      </c>
      <c r="C38" s="88" t="str">
        <f>[1]Personas!B35</f>
        <v>Joglar</v>
      </c>
      <c r="D38" s="88" t="str">
        <f>[1]Personas!C35</f>
        <v>Camino Los Trapenses 4860 Casa 9</v>
      </c>
      <c r="E38" s="88" t="str">
        <f>[1]Personas!D35</f>
        <v>Lo Barnechea</v>
      </c>
      <c r="F38" s="88" t="str">
        <f>[1]Personas!E35</f>
        <v>Los Trapenses</v>
      </c>
      <c r="G38" s="88">
        <f>[1]Personas!F35</f>
        <v>0</v>
      </c>
      <c r="H38" s="88" t="str">
        <f>[1]Personas!G35</f>
        <v>JEFE</v>
      </c>
      <c r="I38" s="94">
        <f>[1]Personas!H35</f>
        <v>56963124612</v>
      </c>
      <c r="J38" s="42" t="str">
        <f>[1]Personas!I35</f>
        <v>magui.joglar22@gmail.com</v>
      </c>
      <c r="K38" s="42" t="str">
        <f>[1]Personas!J35</f>
        <v>Lukas Quense</v>
      </c>
      <c r="L38" s="93"/>
      <c r="M38" s="93"/>
      <c r="N38" s="88">
        <f>SUMPRODUCT(Tabla523[[#This Row],[N 2 kg]:[N 500 gr]],O$82:U$82)</f>
        <v>0</v>
      </c>
      <c r="O38" s="93"/>
      <c r="P38" s="93"/>
      <c r="Q38" s="93"/>
      <c r="R38" s="93"/>
      <c r="S38" s="93"/>
      <c r="T38" s="93"/>
      <c r="U38" s="93"/>
      <c r="V38" s="93">
        <f>SUM(Tabla523[[#This Row],[N 2 kg]:[N 500 gr]])</f>
        <v>0</v>
      </c>
      <c r="W38" s="101"/>
    </row>
    <row r="39" spans="1:23" outlineLevel="1" x14ac:dyDescent="0.3">
      <c r="A39" s="202"/>
      <c r="B39" s="97" t="str">
        <f>[1]Personas!A36</f>
        <v>Ric</v>
      </c>
      <c r="C39" s="88" t="str">
        <f>[1]Personas!B36</f>
        <v>Jungk</v>
      </c>
      <c r="D39" s="88" t="str">
        <f>[1]Personas!C36</f>
        <v>Pasaje Pie Andino 4209A</v>
      </c>
      <c r="E39" s="88" t="str">
        <f>[1]Personas!D36</f>
        <v>Lo Barnechea</v>
      </c>
      <c r="F39" s="88" t="str">
        <f>[1]Personas!E36</f>
        <v>La Dehesa</v>
      </c>
      <c r="G39" s="88" t="str">
        <f>[1]Personas!F36</f>
        <v>UAndes</v>
      </c>
      <c r="H39" s="88" t="str">
        <f>[1]Personas!G36</f>
        <v>JEFE</v>
      </c>
      <c r="I39" s="94">
        <f>[1]Personas!H36</f>
        <v>56966477967</v>
      </c>
      <c r="J39" s="42" t="str">
        <f>[1]Personas!I36</f>
        <v>rtjungk@miuandes.cl</v>
      </c>
      <c r="K39" s="42" t="str">
        <f>[1]Personas!J36</f>
        <v>Ignacio Castañeda</v>
      </c>
      <c r="L39" s="93"/>
      <c r="M39" s="93"/>
      <c r="N39" s="88">
        <f>SUMPRODUCT(Tabla523[[#This Row],[N 2 kg]:[N 500 gr]],O$82:U$82)</f>
        <v>0</v>
      </c>
      <c r="O39" s="93"/>
      <c r="P39" s="93"/>
      <c r="Q39" s="93"/>
      <c r="R39" s="93"/>
      <c r="S39" s="93"/>
      <c r="T39" s="93"/>
      <c r="U39" s="93"/>
      <c r="V39" s="93">
        <f>SUM(Tabla523[[#This Row],[N 2 kg]:[N 500 gr]])</f>
        <v>0</v>
      </c>
      <c r="W39" s="101"/>
    </row>
    <row r="40" spans="1:23" outlineLevel="1" x14ac:dyDescent="0.3">
      <c r="A40" s="202"/>
      <c r="B40" s="97" t="str">
        <f>[1]Personas!A37</f>
        <v>Matias</v>
      </c>
      <c r="C40" s="88" t="str">
        <f>[1]Personas!B37</f>
        <v>Krumm</v>
      </c>
      <c r="D40" s="88" t="str">
        <f>[1]Personas!C37</f>
        <v>La Cienaga 12315</v>
      </c>
      <c r="E40" s="88" t="str">
        <f>[1]Personas!D37</f>
        <v>Lo Barnechea</v>
      </c>
      <c r="F40" s="88" t="str">
        <f>[1]Personas!E37</f>
        <v>La Dehesa</v>
      </c>
      <c r="G40" s="88" t="str">
        <f>[1]Personas!F37</f>
        <v>UAI</v>
      </c>
      <c r="H40" s="88" t="str">
        <f>[1]Personas!G37</f>
        <v>JEFE</v>
      </c>
      <c r="I40" s="94">
        <f>[1]Personas!H37</f>
        <v>56988587944</v>
      </c>
      <c r="J40" s="42" t="str">
        <f>[1]Personas!I37</f>
        <v>matiask7@gmail.com</v>
      </c>
      <c r="K40" s="42" t="str">
        <f>[1]Personas!J37</f>
        <v>Lukas Quense</v>
      </c>
      <c r="L40" s="93"/>
      <c r="M40" s="93"/>
      <c r="N40" s="88">
        <f>SUMPRODUCT(Tabla523[[#This Row],[N 2 kg]:[N 500 gr]],O$82:U$82)</f>
        <v>0</v>
      </c>
      <c r="O40" s="93"/>
      <c r="P40" s="93"/>
      <c r="Q40" s="93"/>
      <c r="R40" s="93"/>
      <c r="S40" s="93"/>
      <c r="T40" s="93"/>
      <c r="U40" s="93"/>
      <c r="V40" s="93">
        <f>SUM(Tabla523[[#This Row],[N 2 kg]:[N 500 gr]])</f>
        <v>0</v>
      </c>
      <c r="W40" s="101"/>
    </row>
    <row r="41" spans="1:23" outlineLevel="1" x14ac:dyDescent="0.3">
      <c r="A41" s="202"/>
      <c r="B41" s="97" t="str">
        <f>[1]Personas!A38</f>
        <v>Juan Diego</v>
      </c>
      <c r="C41" s="88" t="str">
        <f>[1]Personas!B38</f>
        <v>Lyon</v>
      </c>
      <c r="D41" s="88" t="str">
        <f>[1]Personas!C38</f>
        <v>Las Hualtatas 10725</v>
      </c>
      <c r="E41" s="88" t="str">
        <f>[1]Personas!D38</f>
        <v>Vitacura</v>
      </c>
      <c r="F41" s="88" t="str">
        <f>[1]Personas!E38</f>
        <v>Estoril</v>
      </c>
      <c r="G41" s="88" t="str">
        <f>[1]Personas!F38</f>
        <v>UAndes</v>
      </c>
      <c r="H41" s="88" t="str">
        <f>[1]Personas!G38</f>
        <v>JEFE</v>
      </c>
      <c r="I41" s="94">
        <f>[1]Personas!H38</f>
        <v>56977684576</v>
      </c>
      <c r="J41" s="42" t="str">
        <f>[1]Personas!I38</f>
        <v>juandiegolyon@gmail.com</v>
      </c>
      <c r="K41" s="42" t="str">
        <f>[1]Personas!J38</f>
        <v>Joaquin Eichholz</v>
      </c>
      <c r="L41" s="93"/>
      <c r="M41" s="93"/>
      <c r="N41" s="88">
        <f>SUMPRODUCT(Tabla523[[#This Row],[N 2 kg]:[N 500 gr]],O$82:U$82)</f>
        <v>0</v>
      </c>
      <c r="O41" s="93"/>
      <c r="P41" s="93"/>
      <c r="Q41" s="93"/>
      <c r="R41" s="93"/>
      <c r="S41" s="93"/>
      <c r="T41" s="93"/>
      <c r="U41" s="93"/>
      <c r="V41" s="93">
        <f>SUM(Tabla523[[#This Row],[N 2 kg]:[N 500 gr]])</f>
        <v>0</v>
      </c>
      <c r="W41" s="101"/>
    </row>
    <row r="42" spans="1:23" outlineLevel="1" x14ac:dyDescent="0.3">
      <c r="A42" s="202"/>
      <c r="B42" s="97" t="str">
        <f>[1]Personas!A39</f>
        <v>Bernardita</v>
      </c>
      <c r="C42" s="88" t="str">
        <f>[1]Personas!B39</f>
        <v>Mackenney</v>
      </c>
      <c r="D42" s="88" t="str">
        <f>[1]Personas!C39</f>
        <v>La Fontana 11221</v>
      </c>
      <c r="E42" s="88" t="str">
        <f>[1]Personas!D39</f>
        <v>Las Condes</v>
      </c>
      <c r="F42" s="88" t="str">
        <f>[1]Personas!E39</f>
        <v>San Carlos</v>
      </c>
      <c r="G42" s="88" t="str">
        <f>[1]Personas!F39</f>
        <v>UC</v>
      </c>
      <c r="H42" s="88" t="str">
        <f>[1]Personas!G39</f>
        <v>JEFE</v>
      </c>
      <c r="I42" s="94">
        <f>[1]Personas!H39</f>
        <v>56978785698</v>
      </c>
      <c r="J42" s="42" t="str">
        <f>[1]Personas!I39</f>
        <v>bmackenney@uc.cl</v>
      </c>
      <c r="K42" s="42" t="str">
        <f>[1]Personas!J39</f>
        <v>Joaquin Eichholz</v>
      </c>
      <c r="L42" s="93"/>
      <c r="M42" s="93"/>
      <c r="N42" s="88">
        <f>SUMPRODUCT(Tabla523[[#This Row],[N 2 kg]:[N 500 gr]],O$82:U$82)</f>
        <v>0</v>
      </c>
      <c r="O42" s="93"/>
      <c r="P42" s="93"/>
      <c r="Q42" s="93"/>
      <c r="R42" s="93"/>
      <c r="S42" s="93"/>
      <c r="T42" s="93"/>
      <c r="U42" s="93"/>
      <c r="V42" s="93">
        <f>SUM(Tabla523[[#This Row],[N 2 kg]:[N 500 gr]])</f>
        <v>0</v>
      </c>
      <c r="W42" s="101"/>
    </row>
    <row r="43" spans="1:23" outlineLevel="1" x14ac:dyDescent="0.3">
      <c r="A43" s="202"/>
      <c r="B43" s="97" t="str">
        <f>[1]Personas!A40</f>
        <v>Michella</v>
      </c>
      <c r="C43" s="88" t="str">
        <f>[1]Personas!B40</f>
        <v>Mascarello</v>
      </c>
      <c r="D43" s="88" t="str">
        <f>[1]Personas!C40</f>
        <v>Quinchamali 14336</v>
      </c>
      <c r="E43" s="88" t="str">
        <f>[1]Personas!D40</f>
        <v>Las Condes</v>
      </c>
      <c r="F43" s="88" t="str">
        <f>[1]Personas!E40</f>
        <v>Quinchamali</v>
      </c>
      <c r="G43" s="88" t="str">
        <f>[1]Personas!F40</f>
        <v>UC</v>
      </c>
      <c r="H43" s="88" t="str">
        <f>[1]Personas!G40</f>
        <v>JEFE</v>
      </c>
      <c r="I43" s="94">
        <f>[1]Personas!H40</f>
        <v>56979878976</v>
      </c>
      <c r="J43" s="42" t="str">
        <f>[1]Personas!I40</f>
        <v>miki.mascarello@gmail.com</v>
      </c>
      <c r="K43" s="42" t="str">
        <f>[1]Personas!J40</f>
        <v>Joaquin Eichholz</v>
      </c>
      <c r="L43" s="93"/>
      <c r="M43" s="93"/>
      <c r="N43" s="88">
        <f>SUMPRODUCT(Tabla523[[#This Row],[N 2 kg]:[N 500 gr]],O$82:U$82)</f>
        <v>0</v>
      </c>
      <c r="O43" s="93"/>
      <c r="P43" s="93"/>
      <c r="Q43" s="93"/>
      <c r="R43" s="93"/>
      <c r="S43" s="93"/>
      <c r="T43" s="93"/>
      <c r="U43" s="93"/>
      <c r="V43" s="93">
        <f>SUM(Tabla523[[#This Row],[N 2 kg]:[N 500 gr]])</f>
        <v>0</v>
      </c>
      <c r="W43" s="101"/>
    </row>
    <row r="44" spans="1:23" outlineLevel="1" x14ac:dyDescent="0.3">
      <c r="A44" s="202"/>
      <c r="B44" s="97" t="str">
        <f>[1]Personas!A41</f>
        <v>Vicente</v>
      </c>
      <c r="C44" s="88" t="str">
        <f>[1]Personas!B41</f>
        <v>Mayol</v>
      </c>
      <c r="D44" s="88" t="str">
        <f>[1]Personas!C41</f>
        <v>Paseo Pie Andino 6500 Casa O</v>
      </c>
      <c r="E44" s="88" t="str">
        <f>[1]Personas!D41</f>
        <v>Lo Barnechea</v>
      </c>
      <c r="F44" s="88" t="str">
        <f>[1]Personas!E41</f>
        <v>Los Trapenses</v>
      </c>
      <c r="G44" s="88" t="str">
        <f>[1]Personas!F41</f>
        <v>Monte Tabor</v>
      </c>
      <c r="H44" s="88" t="str">
        <f>[1]Personas!G41</f>
        <v>JEFE</v>
      </c>
      <c r="I44" s="94">
        <f>[1]Personas!H41</f>
        <v>56978189115</v>
      </c>
      <c r="J44" s="42" t="str">
        <f>[1]Personas!I41</f>
        <v>vmayol@live.cl</v>
      </c>
      <c r="K44" s="42" t="str">
        <f>[1]Personas!J41</f>
        <v>Lukas Quense</v>
      </c>
      <c r="L44" s="93"/>
      <c r="M44" s="93"/>
      <c r="N44" s="88">
        <f>SUMPRODUCT(Tabla523[[#This Row],[N 2 kg]:[N 500 gr]],O$82:U$82)</f>
        <v>0</v>
      </c>
      <c r="O44" s="93"/>
      <c r="P44" s="93"/>
      <c r="Q44" s="93"/>
      <c r="R44" s="93"/>
      <c r="S44" s="93"/>
      <c r="T44" s="93"/>
      <c r="U44" s="93"/>
      <c r="V44" s="93">
        <f>SUM(Tabla523[[#This Row],[N 2 kg]:[N 500 gr]])</f>
        <v>0</v>
      </c>
      <c r="W44" s="101"/>
    </row>
    <row r="45" spans="1:23" outlineLevel="1" x14ac:dyDescent="0.3">
      <c r="A45" s="202"/>
      <c r="B45" s="97" t="str">
        <f>[1]Personas!A42</f>
        <v>Jesu</v>
      </c>
      <c r="C45" s="88" t="str">
        <f>[1]Personas!B42</f>
        <v>Mckay</v>
      </c>
      <c r="D45" s="88" t="str">
        <f>[1]Personas!C42</f>
        <v>Blvd Jardin De Los Pajaros 4700 Casa 5</v>
      </c>
      <c r="E45" s="88" t="str">
        <f>[1]Personas!D42</f>
        <v>Lo Barnechea</v>
      </c>
      <c r="F45" s="88" t="str">
        <f>[1]Personas!E42</f>
        <v>Los Trapenses</v>
      </c>
      <c r="G45" s="88" t="str">
        <f>[1]Personas!F42</f>
        <v>CLA</v>
      </c>
      <c r="H45" s="88" t="str">
        <f>[1]Personas!G42</f>
        <v>JEFE</v>
      </c>
      <c r="I45" s="94">
        <f>[1]Personas!H42</f>
        <v>56971837517</v>
      </c>
      <c r="J45" s="42" t="str">
        <f>[1]Personas!I42</f>
        <v>jesumckayg@hotmail.com</v>
      </c>
      <c r="K45" s="42" t="str">
        <f>[1]Personas!J42</f>
        <v>Joaquin Eichholz</v>
      </c>
      <c r="L45" s="93"/>
      <c r="M45" s="93"/>
      <c r="N45" s="88">
        <f>SUMPRODUCT(Tabla523[[#This Row],[N 2 kg]:[N 500 gr]],O$82:U$82)</f>
        <v>0</v>
      </c>
      <c r="O45" s="93"/>
      <c r="P45" s="93"/>
      <c r="Q45" s="93"/>
      <c r="R45" s="93"/>
      <c r="S45" s="93"/>
      <c r="T45" s="93"/>
      <c r="U45" s="93"/>
      <c r="V45" s="93">
        <f>SUM(Tabla523[[#This Row],[N 2 kg]:[N 500 gr]])</f>
        <v>0</v>
      </c>
      <c r="W45" s="101"/>
    </row>
    <row r="46" spans="1:23" outlineLevel="1" x14ac:dyDescent="0.3">
      <c r="A46" s="202"/>
      <c r="B46" s="97" t="str">
        <f>[1]Personas!A43</f>
        <v>Ignacio</v>
      </c>
      <c r="C46" s="88" t="str">
        <f>[1]Personas!B43</f>
        <v>Montt</v>
      </c>
      <c r="D46" s="88" t="str">
        <f>[1]Personas!C43</f>
        <v>Rio Maule 475</v>
      </c>
      <c r="E46" s="88" t="str">
        <f>[1]Personas!D43</f>
        <v>Las Condes</v>
      </c>
      <c r="F46" s="88" t="str">
        <f>[1]Personas!E43</f>
        <v>Estoril</v>
      </c>
      <c r="G46" s="88">
        <f>[1]Personas!F43</f>
        <v>0</v>
      </c>
      <c r="H46" s="88" t="str">
        <f>[1]Personas!G43</f>
        <v>JEFE</v>
      </c>
      <c r="I46" s="94">
        <f>[1]Personas!H43</f>
        <v>56954243532</v>
      </c>
      <c r="J46" s="42" t="str">
        <f>[1]Personas!I43</f>
        <v>imontt@miuandes.cl</v>
      </c>
      <c r="K46" s="42" t="str">
        <f>[1]Personas!J43</f>
        <v>Joaquin Eichholz</v>
      </c>
      <c r="L46" s="93"/>
      <c r="M46" s="93"/>
      <c r="N46" s="88">
        <f>SUMPRODUCT(Tabla523[[#This Row],[N 2 kg]:[N 500 gr]],O$82:U$82)</f>
        <v>0</v>
      </c>
      <c r="O46" s="93"/>
      <c r="P46" s="93"/>
      <c r="Q46" s="93"/>
      <c r="R46" s="93"/>
      <c r="S46" s="93"/>
      <c r="T46" s="93"/>
      <c r="U46" s="93"/>
      <c r="V46" s="93">
        <f>SUM(Tabla523[[#This Row],[N 2 kg]:[N 500 gr]])</f>
        <v>0</v>
      </c>
      <c r="W46" s="101"/>
    </row>
    <row r="47" spans="1:23" outlineLevel="1" x14ac:dyDescent="0.3">
      <c r="A47" s="202"/>
      <c r="B47" s="97" t="str">
        <f>[1]Personas!A44</f>
        <v>Rodrigo</v>
      </c>
      <c r="C47" s="88" t="str">
        <f>[1]Personas!B44</f>
        <v>Morales</v>
      </c>
      <c r="D47" s="88" t="str">
        <f>[1]Personas!C44</f>
        <v>Los Trapenses 3230</v>
      </c>
      <c r="E47" s="88" t="str">
        <f>[1]Personas!D44</f>
        <v>Lo Barnechea</v>
      </c>
      <c r="F47" s="88" t="str">
        <f>[1]Personas!E44</f>
        <v>Los Trapenses</v>
      </c>
      <c r="G47" s="88" t="str">
        <f>[1]Personas!F44</f>
        <v>UDD</v>
      </c>
      <c r="H47" s="88" t="str">
        <f>[1]Personas!G44</f>
        <v>JEFE</v>
      </c>
      <c r="I47" s="94">
        <f>[1]Personas!H44</f>
        <v>56975684552</v>
      </c>
      <c r="J47" s="42" t="str">
        <f>[1]Personas!I44</f>
        <v>morales.villar25@gmail.com</v>
      </c>
      <c r="K47" s="42" t="str">
        <f>[1]Personas!J44</f>
        <v>Ignacio Castañeda</v>
      </c>
      <c r="L47" s="93"/>
      <c r="M47" s="93"/>
      <c r="N47" s="88">
        <f>SUMPRODUCT(Tabla523[[#This Row],[N 2 kg]:[N 500 gr]],O$82:U$82)</f>
        <v>0</v>
      </c>
      <c r="O47" s="93"/>
      <c r="P47" s="93"/>
      <c r="Q47" s="93"/>
      <c r="R47" s="93"/>
      <c r="S47" s="93"/>
      <c r="T47" s="93"/>
      <c r="U47" s="93"/>
      <c r="V47" s="93">
        <f>SUM(Tabla523[[#This Row],[N 2 kg]:[N 500 gr]])</f>
        <v>0</v>
      </c>
      <c r="W47" s="101"/>
    </row>
    <row r="48" spans="1:23" outlineLevel="1" x14ac:dyDescent="0.3">
      <c r="A48" s="202"/>
      <c r="B48" s="97" t="str">
        <f>[1]Personas!A45</f>
        <v>Ignacio</v>
      </c>
      <c r="C48" s="88" t="str">
        <f>[1]Personas!B45</f>
        <v>Morales</v>
      </c>
      <c r="D48" s="88" t="str">
        <f>[1]Personas!C45</f>
        <v>Cristobal Colon 4696 Dpto 1403</v>
      </c>
      <c r="E48" s="88" t="str">
        <f>[1]Personas!D45</f>
        <v>Las Condes</v>
      </c>
      <c r="F48" s="88" t="str">
        <f>[1]Personas!E45</f>
        <v>Colon</v>
      </c>
      <c r="G48" s="88" t="str">
        <f>[1]Personas!F45</f>
        <v>UC</v>
      </c>
      <c r="H48" s="88" t="str">
        <f>[1]Personas!G45</f>
        <v>JEFE</v>
      </c>
      <c r="I48" s="94">
        <f>[1]Personas!H45</f>
        <v>56993024442</v>
      </c>
      <c r="J48" s="42" t="str">
        <f>[1]Personas!I45</f>
        <v>ibmorales@uc.cl</v>
      </c>
      <c r="K48" s="42" t="str">
        <f>[1]Personas!J45</f>
        <v>Lukas Quense</v>
      </c>
      <c r="L48" s="93"/>
      <c r="M48" s="93"/>
      <c r="N48" s="88">
        <f>SUMPRODUCT(Tabla523[[#This Row],[N 2 kg]:[N 500 gr]],O$82:U$82)</f>
        <v>0</v>
      </c>
      <c r="O48" s="93"/>
      <c r="P48" s="93"/>
      <c r="Q48" s="93"/>
      <c r="R48" s="93"/>
      <c r="S48" s="93"/>
      <c r="T48" s="93"/>
      <c r="U48" s="93"/>
      <c r="V48" s="93">
        <f>SUM(Tabla523[[#This Row],[N 2 kg]:[N 500 gr]])</f>
        <v>0</v>
      </c>
      <c r="W48" s="101"/>
    </row>
    <row r="49" spans="1:23" outlineLevel="1" x14ac:dyDescent="0.3">
      <c r="A49" s="202"/>
      <c r="B49" s="97" t="str">
        <f>[1]Personas!A46</f>
        <v>Josefina</v>
      </c>
      <c r="C49" s="88" t="str">
        <f>[1]Personas!B46</f>
        <v>Nazer</v>
      </c>
      <c r="D49" s="88" t="str">
        <f>[1]Personas!C46</f>
        <v>Camino del ayuntamiento 2087</v>
      </c>
      <c r="E49" s="88" t="str">
        <f>[1]Personas!D46</f>
        <v>Lo Barnechea</v>
      </c>
      <c r="F49" s="88" t="str">
        <f>[1]Personas!E46</f>
        <v>La Dehesa</v>
      </c>
      <c r="G49" s="88" t="str">
        <f>[1]Personas!F46</f>
        <v>Newland</v>
      </c>
      <c r="H49" s="88" t="str">
        <f>[1]Personas!G46</f>
        <v>JEFE</v>
      </c>
      <c r="I49" s="94">
        <f>[1]Personas!H46</f>
        <v>56998246537</v>
      </c>
      <c r="J49" s="42" t="str">
        <f>[1]Personas!I46</f>
        <v>cotenazer@hotmail.com</v>
      </c>
      <c r="K49" s="42" t="str">
        <f>[1]Personas!J46</f>
        <v>Joaquin Eichholz</v>
      </c>
      <c r="L49" s="93"/>
      <c r="M49" s="93"/>
      <c r="N49" s="88">
        <f>SUMPRODUCT(Tabla523[[#This Row],[N 2 kg]:[N 500 gr]],O$82:U$82)</f>
        <v>0</v>
      </c>
      <c r="O49" s="93"/>
      <c r="P49" s="93"/>
      <c r="Q49" s="93"/>
      <c r="R49" s="93"/>
      <c r="S49" s="93"/>
      <c r="T49" s="93"/>
      <c r="U49" s="93"/>
      <c r="V49" s="93">
        <f>SUM(Tabla523[[#This Row],[N 2 kg]:[N 500 gr]])</f>
        <v>0</v>
      </c>
      <c r="W49" s="101"/>
    </row>
    <row r="50" spans="1:23" outlineLevel="1" x14ac:dyDescent="0.3">
      <c r="A50" s="202"/>
      <c r="B50" s="97" t="str">
        <f>[1]Personas!A47</f>
        <v>Raimundo</v>
      </c>
      <c r="C50" s="88" t="str">
        <f>[1]Personas!B47</f>
        <v>Opazo</v>
      </c>
      <c r="D50" s="88" t="str">
        <f>[1]Personas!C47</f>
        <v>Av Contralmirante Fernandez Vial 10455</v>
      </c>
      <c r="E50" s="88" t="str">
        <f>[1]Personas!D47</f>
        <v>Lo Barnechea</v>
      </c>
      <c r="F50" s="88" t="str">
        <f>[1]Personas!E47</f>
        <v>Los Trapenses</v>
      </c>
      <c r="G50" s="88" t="str">
        <f>[1]Personas!F47</f>
        <v>Monte Tabor</v>
      </c>
      <c r="H50" s="88" t="str">
        <f>[1]Personas!G47</f>
        <v>JEFE</v>
      </c>
      <c r="I50" s="94">
        <f>[1]Personas!H47</f>
        <v>56952304675</v>
      </c>
      <c r="J50" s="42" t="str">
        <f>[1]Personas!I47</f>
        <v>opazoraimundo@gmail.com</v>
      </c>
      <c r="K50" s="42" t="str">
        <f>[1]Personas!J47</f>
        <v>Lukas Quense</v>
      </c>
      <c r="L50" s="93"/>
      <c r="M50" s="93"/>
      <c r="N50" s="88">
        <f>SUMPRODUCT(Tabla523[[#This Row],[N 2 kg]:[N 500 gr]],O$82:U$82)</f>
        <v>0</v>
      </c>
      <c r="O50" s="93"/>
      <c r="P50" s="93"/>
      <c r="Q50" s="93"/>
      <c r="R50" s="93"/>
      <c r="S50" s="93"/>
      <c r="T50" s="93"/>
      <c r="U50" s="93"/>
      <c r="V50" s="93">
        <f>SUM(Tabla523[[#This Row],[N 2 kg]:[N 500 gr]])</f>
        <v>0</v>
      </c>
      <c r="W50" s="101"/>
    </row>
    <row r="51" spans="1:23" outlineLevel="1" x14ac:dyDescent="0.3">
      <c r="A51" s="202"/>
      <c r="B51" s="97" t="str">
        <f>[1]Personas!A48</f>
        <v>Trinidad</v>
      </c>
      <c r="C51" s="88" t="str">
        <f>[1]Personas!B48</f>
        <v>Ossa</v>
      </c>
      <c r="D51" s="88" t="str">
        <f>[1]Personas!C48</f>
        <v>Escribano Diego Rutal 2471</v>
      </c>
      <c r="E51" s="88" t="str">
        <f>[1]Personas!D48</f>
        <v>Vitacura</v>
      </c>
      <c r="F51" s="88" t="str">
        <f>[1]Personas!E48</f>
        <v>Vespucio</v>
      </c>
      <c r="G51" s="88">
        <f>[1]Personas!F48</f>
        <v>0</v>
      </c>
      <c r="H51" s="88" t="str">
        <f>[1]Personas!G48</f>
        <v>JEFE</v>
      </c>
      <c r="I51" s="94">
        <f>[1]Personas!H48</f>
        <v>56978647106</v>
      </c>
      <c r="J51" s="42" t="str">
        <f>[1]Personas!I48</f>
        <v>trinidadossag@gmail.com</v>
      </c>
      <c r="K51" s="42" t="str">
        <f>[1]Personas!J48</f>
        <v>Ignacio Castañeda</v>
      </c>
      <c r="L51" s="93"/>
      <c r="M51" s="93"/>
      <c r="N51" s="88">
        <f>SUMPRODUCT(Tabla523[[#This Row],[N 2 kg]:[N 500 gr]],O$82:U$82)</f>
        <v>0</v>
      </c>
      <c r="O51" s="93"/>
      <c r="P51" s="93"/>
      <c r="Q51" s="93"/>
      <c r="R51" s="93"/>
      <c r="S51" s="93"/>
      <c r="T51" s="93"/>
      <c r="U51" s="93"/>
      <c r="V51" s="93">
        <f>SUM(Tabla523[[#This Row],[N 2 kg]:[N 500 gr]])</f>
        <v>0</v>
      </c>
      <c r="W51" s="101"/>
    </row>
    <row r="52" spans="1:23" outlineLevel="1" x14ac:dyDescent="0.3">
      <c r="A52" s="202"/>
      <c r="B52" s="97" t="str">
        <f>[1]Personas!A49</f>
        <v>Sofia</v>
      </c>
      <c r="C52" s="88" t="str">
        <f>[1]Personas!B49</f>
        <v>Ovalle</v>
      </c>
      <c r="D52" s="88" t="str">
        <f>[1]Personas!C49</f>
        <v>Manuel Guzman Maturana 1900 Casa 9</v>
      </c>
      <c r="E52" s="88" t="str">
        <f>[1]Personas!D49</f>
        <v>Lo Barnechea</v>
      </c>
      <c r="F52" s="88" t="str">
        <f>[1]Personas!E49</f>
        <v>Los Trapenses</v>
      </c>
      <c r="G52" s="88" t="str">
        <f>[1]Personas!F49</f>
        <v>UDD</v>
      </c>
      <c r="H52" s="88" t="str">
        <f>[1]Personas!G49</f>
        <v>JEFE</v>
      </c>
      <c r="I52" s="94">
        <f>[1]Personas!H49</f>
        <v>56987143347</v>
      </c>
      <c r="J52" s="42" t="str">
        <f>[1]Personas!I49</f>
        <v>maovallel@udd.cl</v>
      </c>
      <c r="K52" s="42" t="str">
        <f>[1]Personas!J49</f>
        <v>Lukas Quense</v>
      </c>
      <c r="L52" s="93"/>
      <c r="M52" s="93"/>
      <c r="N52" s="88">
        <f>SUMPRODUCT(Tabla523[[#This Row],[N 2 kg]:[N 500 gr]],O$82:U$82)</f>
        <v>0</v>
      </c>
      <c r="O52" s="93"/>
      <c r="P52" s="93"/>
      <c r="Q52" s="93"/>
      <c r="R52" s="93"/>
      <c r="S52" s="93"/>
      <c r="T52" s="93"/>
      <c r="U52" s="93"/>
      <c r="V52" s="93">
        <f>SUM(Tabla523[[#This Row],[N 2 kg]:[N 500 gr]])</f>
        <v>0</v>
      </c>
      <c r="W52" s="101"/>
    </row>
    <row r="53" spans="1:23" outlineLevel="1" x14ac:dyDescent="0.3">
      <c r="A53" s="202"/>
      <c r="B53" s="97" t="str">
        <f>[1]Personas!A50</f>
        <v>Francesco</v>
      </c>
      <c r="C53" s="88" t="str">
        <f>[1]Personas!B50</f>
        <v>Pamparana</v>
      </c>
      <c r="D53" s="88" t="str">
        <f>[1]Personas!C50</f>
        <v>Parque Las Garzas 16, Condominio Las Banadadas</v>
      </c>
      <c r="E53" s="88" t="str">
        <f>[1]Personas!D50</f>
        <v>Chicureo</v>
      </c>
      <c r="F53" s="88" t="str">
        <f>[1]Personas!E50</f>
        <v>Piedra Roja</v>
      </c>
      <c r="G53" s="88" t="str">
        <f>[1]Personas!F50</f>
        <v>UDD</v>
      </c>
      <c r="H53" s="88" t="str">
        <f>[1]Personas!G50</f>
        <v>JEFE</v>
      </c>
      <c r="I53" s="94">
        <f>[1]Personas!H50</f>
        <v>56984695829</v>
      </c>
      <c r="J53" s="42" t="str">
        <f>[1]Personas!I50</f>
        <v>pancho.pamparana@gmail.com</v>
      </c>
      <c r="K53" s="42" t="str">
        <f>[1]Personas!J50</f>
        <v>Lukas Quense</v>
      </c>
      <c r="L53" s="93"/>
      <c r="M53" s="93"/>
      <c r="N53" s="88">
        <f>SUMPRODUCT(Tabla523[[#This Row],[N 2 kg]:[N 500 gr]],O$82:U$82)</f>
        <v>0</v>
      </c>
      <c r="O53" s="93"/>
      <c r="P53" s="93"/>
      <c r="Q53" s="93"/>
      <c r="R53" s="93"/>
      <c r="S53" s="93"/>
      <c r="T53" s="93"/>
      <c r="U53" s="93"/>
      <c r="V53" s="93">
        <f>SUM(Tabla523[[#This Row],[N 2 kg]:[N 500 gr]])</f>
        <v>0</v>
      </c>
      <c r="W53" s="101"/>
    </row>
    <row r="54" spans="1:23" outlineLevel="1" x14ac:dyDescent="0.3">
      <c r="A54" s="202"/>
      <c r="B54" s="97" t="str">
        <f>[1]Personas!A51</f>
        <v>Trinidad</v>
      </c>
      <c r="C54" s="88" t="str">
        <f>[1]Personas!B51</f>
        <v>Pereira</v>
      </c>
      <c r="D54" s="88" t="str">
        <f>[1]Personas!C51</f>
        <v>Punta de Aguilas 4311</v>
      </c>
      <c r="E54" s="88" t="str">
        <f>[1]Personas!D51</f>
        <v>Lo Barnechea</v>
      </c>
      <c r="F54" s="88" t="str">
        <f>[1]Personas!E51</f>
        <v>Los Trapenses</v>
      </c>
      <c r="G54" s="88" t="str">
        <f>[1]Personas!F51</f>
        <v>UAB</v>
      </c>
      <c r="H54" s="88" t="str">
        <f>[1]Personas!G51</f>
        <v>JEFE</v>
      </c>
      <c r="I54" s="94">
        <f>[1]Personas!H51</f>
        <v>56968320616</v>
      </c>
      <c r="J54" s="42" t="str">
        <f>[1]Personas!I51</f>
        <v>trinipereira@gmail.com</v>
      </c>
      <c r="K54" s="42" t="str">
        <f>[1]Personas!J51</f>
        <v>Ignacio Castañeda</v>
      </c>
      <c r="L54" s="93"/>
      <c r="M54" s="93"/>
      <c r="N54" s="88">
        <f>SUMPRODUCT(Tabla523[[#This Row],[N 2 kg]:[N 500 gr]],O$82:U$82)</f>
        <v>0</v>
      </c>
      <c r="O54" s="93"/>
      <c r="P54" s="93"/>
      <c r="Q54" s="93"/>
      <c r="R54" s="93"/>
      <c r="S54" s="93"/>
      <c r="T54" s="93"/>
      <c r="U54" s="93"/>
      <c r="V54" s="93">
        <f>SUM(Tabla523[[#This Row],[N 2 kg]:[N 500 gr]])</f>
        <v>0</v>
      </c>
      <c r="W54" s="101"/>
    </row>
    <row r="55" spans="1:23" outlineLevel="1" x14ac:dyDescent="0.3">
      <c r="A55" s="202"/>
      <c r="B55" s="97" t="str">
        <f>[1]Personas!A52</f>
        <v>Agustina</v>
      </c>
      <c r="C55" s="88" t="str">
        <f>[1]Personas!B52</f>
        <v>Pineda</v>
      </c>
      <c r="D55" s="88" t="str">
        <f>[1]Personas!C52</f>
        <v>Artigas 643</v>
      </c>
      <c r="E55" s="88" t="str">
        <f>[1]Personas!D52</f>
        <v>Vitacura</v>
      </c>
      <c r="F55" s="88" t="str">
        <f>[1]Personas!E52</f>
        <v>Santa Maria</v>
      </c>
      <c r="G55" s="88" t="str">
        <f>[1]Personas!F52</f>
        <v>Pacifico</v>
      </c>
      <c r="H55" s="88" t="str">
        <f>[1]Personas!G52</f>
        <v>JEFE</v>
      </c>
      <c r="I55" s="94">
        <f>[1]Personas!H52</f>
        <v>56991997991</v>
      </c>
      <c r="J55" s="42" t="str">
        <f>[1]Personas!I52</f>
        <v>agustina-pineda@hotmail.com</v>
      </c>
      <c r="K55" s="42" t="str">
        <f>[1]Personas!J52</f>
        <v>Lukas Quense</v>
      </c>
      <c r="L55" s="93"/>
      <c r="M55" s="93"/>
      <c r="N55" s="88">
        <f>SUMPRODUCT(Tabla523[[#This Row],[N 2 kg]:[N 500 gr]],O$82:U$82)</f>
        <v>0</v>
      </c>
      <c r="O55" s="93"/>
      <c r="P55" s="93"/>
      <c r="Q55" s="93"/>
      <c r="R55" s="93"/>
      <c r="S55" s="93"/>
      <c r="T55" s="93"/>
      <c r="U55" s="93"/>
      <c r="V55" s="93">
        <f>SUM(Tabla523[[#This Row],[N 2 kg]:[N 500 gr]])</f>
        <v>0</v>
      </c>
      <c r="W55" s="101"/>
    </row>
    <row r="56" spans="1:23" outlineLevel="1" x14ac:dyDescent="0.3">
      <c r="A56" s="202"/>
      <c r="B56" s="97" t="str">
        <f>[1]Personas!A53</f>
        <v>Benjamin</v>
      </c>
      <c r="C56" s="88" t="str">
        <f>[1]Personas!B53</f>
        <v>Piña</v>
      </c>
      <c r="D56" s="88" t="str">
        <f>[1]Personas!C53</f>
        <v>La Cienaga 12184</v>
      </c>
      <c r="E56" s="88" t="str">
        <f>[1]Personas!D53</f>
        <v>Lo Barnechea</v>
      </c>
      <c r="F56" s="88" t="str">
        <f>[1]Personas!E53</f>
        <v>La Dehesa</v>
      </c>
      <c r="G56" s="88" t="str">
        <f>[1]Personas!F53</f>
        <v>Uandes</v>
      </c>
      <c r="H56" s="88" t="str">
        <f>[1]Personas!G53</f>
        <v>JEFE</v>
      </c>
      <c r="I56" s="94">
        <f>[1]Personas!H53</f>
        <v>56974529859</v>
      </c>
      <c r="J56" s="42" t="str">
        <f>[1]Personas!I53</f>
        <v>pina.benjamin@gmail.com</v>
      </c>
      <c r="K56" s="42" t="str">
        <f>[1]Personas!J53</f>
        <v>Ignacio Castañeda</v>
      </c>
      <c r="L56" s="93"/>
      <c r="M56" s="93"/>
      <c r="N56" s="88">
        <f>SUMPRODUCT(Tabla523[[#This Row],[N 2 kg]:[N 500 gr]],O$82:U$82)</f>
        <v>0</v>
      </c>
      <c r="O56" s="93"/>
      <c r="P56" s="93"/>
      <c r="Q56" s="93"/>
      <c r="R56" s="93"/>
      <c r="S56" s="93"/>
      <c r="T56" s="93"/>
      <c r="U56" s="93"/>
      <c r="V56" s="93">
        <f>SUM(Tabla523[[#This Row],[N 2 kg]:[N 500 gr]])</f>
        <v>0</v>
      </c>
      <c r="W56" s="101"/>
    </row>
    <row r="57" spans="1:23" outlineLevel="1" x14ac:dyDescent="0.3">
      <c r="A57" s="202"/>
      <c r="B57" s="97" t="str">
        <f>[1]Personas!A54</f>
        <v>Lukas</v>
      </c>
      <c r="C57" s="88" t="str">
        <f>[1]Personas!B54</f>
        <v>Quense</v>
      </c>
      <c r="D57" s="88" t="str">
        <f>[1]Personas!C54</f>
        <v>Cerro Cortadera 9897</v>
      </c>
      <c r="E57" s="88" t="str">
        <f>[1]Personas!D54</f>
        <v>Lo Barnechea</v>
      </c>
      <c r="F57" s="88" t="str">
        <f>[1]Personas!E54</f>
        <v>Los Trapenses</v>
      </c>
      <c r="G57" s="88" t="str">
        <f>[1]Personas!F54</f>
        <v>UC</v>
      </c>
      <c r="H57" s="88" t="str">
        <f>[1]Personas!G54</f>
        <v>SOCIO</v>
      </c>
      <c r="I57" s="94">
        <f>[1]Personas!H54</f>
        <v>56987217393</v>
      </c>
      <c r="J57" s="42" t="str">
        <f>[1]Personas!I54</f>
        <v>lukas.quense@gmail.com</v>
      </c>
      <c r="K57" s="42" t="str">
        <f>[1]Personas!J54</f>
        <v>Lukas Quense</v>
      </c>
      <c r="L57" s="93"/>
      <c r="M57" s="93"/>
      <c r="N57" s="88">
        <f>SUMPRODUCT(Tabla523[[#This Row],[N 2 kg]:[N 500 gr]],O$82:U$82)</f>
        <v>0</v>
      </c>
      <c r="O57" s="93"/>
      <c r="P57" s="93"/>
      <c r="Q57" s="93"/>
      <c r="R57" s="93"/>
      <c r="S57" s="93"/>
      <c r="T57" s="93"/>
      <c r="U57" s="93"/>
      <c r="V57" s="93">
        <f>SUM(Tabla523[[#This Row],[N 2 kg]:[N 500 gr]])</f>
        <v>0</v>
      </c>
      <c r="W57" s="101"/>
    </row>
    <row r="58" spans="1:23" outlineLevel="1" x14ac:dyDescent="0.3">
      <c r="A58" s="202"/>
      <c r="B58" s="97" t="str">
        <f>[1]Personas!A55</f>
        <v>Josefina</v>
      </c>
      <c r="C58" s="88" t="str">
        <f>[1]Personas!B55</f>
        <v>Quiroga</v>
      </c>
      <c r="D58" s="88" t="str">
        <f>[1]Personas!C55</f>
        <v>Santa Rita 1017</v>
      </c>
      <c r="E58" s="88" t="str">
        <f>[1]Personas!D55</f>
        <v>Las Condes</v>
      </c>
      <c r="F58" s="88" t="str">
        <f>[1]Personas!E55</f>
        <v>San Carlos</v>
      </c>
      <c r="G58" s="88" t="str">
        <f>[1]Personas!F55</f>
        <v>UC</v>
      </c>
      <c r="H58" s="88" t="str">
        <f>[1]Personas!G55</f>
        <v>JEFE</v>
      </c>
      <c r="I58" s="94">
        <f>[1]Personas!H55</f>
        <v>56981207671</v>
      </c>
      <c r="J58" s="42" t="str">
        <f>[1]Personas!I55</f>
        <v>josefinaquiroga7@hotmail.com</v>
      </c>
      <c r="K58" s="42" t="str">
        <f>[1]Personas!J55</f>
        <v>Ignacio Castañeda</v>
      </c>
      <c r="L58" s="93"/>
      <c r="M58" s="93"/>
      <c r="N58" s="88">
        <f>SUMPRODUCT(Tabla523[[#This Row],[N 2 kg]:[N 500 gr]],O$82:U$82)</f>
        <v>0</v>
      </c>
      <c r="O58" s="93"/>
      <c r="P58" s="93"/>
      <c r="Q58" s="93"/>
      <c r="R58" s="93"/>
      <c r="S58" s="93"/>
      <c r="T58" s="93"/>
      <c r="U58" s="93"/>
      <c r="V58" s="93">
        <f>SUM(Tabla523[[#This Row],[N 2 kg]:[N 500 gr]])</f>
        <v>0</v>
      </c>
      <c r="W58" s="101"/>
    </row>
    <row r="59" spans="1:23" outlineLevel="1" x14ac:dyDescent="0.3">
      <c r="A59" s="202"/>
      <c r="B59" s="97" t="str">
        <f>[1]Personas!A56</f>
        <v>Rafa</v>
      </c>
      <c r="C59" s="88" t="str">
        <f>[1]Personas!B56</f>
        <v>Quiroga</v>
      </c>
      <c r="D59" s="88" t="str">
        <f>[1]Personas!C56</f>
        <v>Santa Rita 1017</v>
      </c>
      <c r="E59" s="88" t="str">
        <f>[1]Personas!D56</f>
        <v>Las Condes</v>
      </c>
      <c r="F59" s="88" t="str">
        <f>[1]Personas!E56</f>
        <v>San Carlos</v>
      </c>
      <c r="G59" s="88" t="str">
        <f>[1]Personas!F56</f>
        <v>CPH</v>
      </c>
      <c r="H59" s="88" t="str">
        <f>[1]Personas!G56</f>
        <v>JEFE</v>
      </c>
      <c r="I59" s="94">
        <f>[1]Personas!H56</f>
        <v>56995408498</v>
      </c>
      <c r="J59" s="42" t="str">
        <f>[1]Personas!I56</f>
        <v>rafaquiroga7@gmail.com</v>
      </c>
      <c r="K59" s="42" t="str">
        <f>[1]Personas!J56</f>
        <v>Ignacio Castañeda</v>
      </c>
      <c r="L59" s="93"/>
      <c r="M59" s="93"/>
      <c r="N59" s="88">
        <f>SUMPRODUCT(Tabla523[[#This Row],[N 2 kg]:[N 500 gr]],O$82:U$82)</f>
        <v>0</v>
      </c>
      <c r="O59" s="93"/>
      <c r="P59" s="93"/>
      <c r="Q59" s="93"/>
      <c r="R59" s="93"/>
      <c r="S59" s="93"/>
      <c r="T59" s="93"/>
      <c r="U59" s="93"/>
      <c r="V59" s="93">
        <f>SUM(Tabla523[[#This Row],[N 2 kg]:[N 500 gr]])</f>
        <v>0</v>
      </c>
      <c r="W59" s="101"/>
    </row>
    <row r="60" spans="1:23" outlineLevel="1" x14ac:dyDescent="0.3">
      <c r="A60" s="202"/>
      <c r="B60" s="97" t="str">
        <f>[1]Personas!A57</f>
        <v>Barbara</v>
      </c>
      <c r="C60" s="88" t="str">
        <f>[1]Personas!B57</f>
        <v>Rodriguez</v>
      </c>
      <c r="D60" s="88" t="str">
        <f>[1]Personas!C57</f>
        <v>Raimapu 6744</v>
      </c>
      <c r="E60" s="88" t="str">
        <f>[1]Personas!D57</f>
        <v>Vitacura</v>
      </c>
      <c r="F60" s="88" t="str">
        <f>[1]Personas!E57</f>
        <v>Santa Maria</v>
      </c>
      <c r="G60" s="88" t="str">
        <f>[1]Personas!F57</f>
        <v>Aleman</v>
      </c>
      <c r="H60" s="88" t="str">
        <f>[1]Personas!G57</f>
        <v>JEFE</v>
      </c>
      <c r="I60" s="94">
        <f>[1]Personas!H57</f>
        <v>56956481962</v>
      </c>
      <c r="J60" s="42" t="str">
        <f>[1]Personas!I57</f>
        <v>barodriguez@dsstgo.cl</v>
      </c>
      <c r="K60" s="42" t="str">
        <f>[1]Personas!J57</f>
        <v>Lukas Quense</v>
      </c>
      <c r="L60" s="93"/>
      <c r="M60" s="93"/>
      <c r="N60" s="88">
        <f>SUMPRODUCT(Tabla523[[#This Row],[N 2 kg]:[N 500 gr]],O$82:U$82)</f>
        <v>0</v>
      </c>
      <c r="O60" s="93"/>
      <c r="P60" s="93"/>
      <c r="Q60" s="93"/>
      <c r="R60" s="93"/>
      <c r="S60" s="93"/>
      <c r="T60" s="93"/>
      <c r="U60" s="93"/>
      <c r="V60" s="93">
        <f>SUM(Tabla523[[#This Row],[N 2 kg]:[N 500 gr]])</f>
        <v>0</v>
      </c>
      <c r="W60" s="101"/>
    </row>
    <row r="61" spans="1:23" outlineLevel="1" x14ac:dyDescent="0.3">
      <c r="A61" s="202"/>
      <c r="B61" s="97" t="str">
        <f>[1]Personas!A58</f>
        <v>Fede</v>
      </c>
      <c r="C61" s="88" t="str">
        <f>[1]Personas!B58</f>
        <v>Schilling</v>
      </c>
      <c r="D61" s="88" t="str">
        <f>[1]Personas!C58</f>
        <v>Laura Tromben 5754</v>
      </c>
      <c r="E61" s="88" t="str">
        <f>[1]Personas!D58</f>
        <v>Vitacura</v>
      </c>
      <c r="F61" s="88" t="str">
        <f>[1]Personas!E58</f>
        <v>Manquehue</v>
      </c>
      <c r="G61" s="88" t="str">
        <f>[1]Personas!F58</f>
        <v>Aleman</v>
      </c>
      <c r="H61" s="88" t="str">
        <f>[1]Personas!G58</f>
        <v>JEFE</v>
      </c>
      <c r="I61" s="94">
        <f>[1]Personas!H58</f>
        <v>56979980568</v>
      </c>
      <c r="J61" s="42" t="str">
        <f>[1]Personas!I58</f>
        <v>federico.schilling@gmail.com</v>
      </c>
      <c r="K61" s="42" t="str">
        <f>[1]Personas!J58</f>
        <v>Lukas Quense</v>
      </c>
      <c r="L61" s="93"/>
      <c r="M61" s="93"/>
      <c r="N61" s="88">
        <f>SUMPRODUCT(Tabla523[[#This Row],[N 2 kg]:[N 500 gr]],O$82:U$82)</f>
        <v>0</v>
      </c>
      <c r="O61" s="93"/>
      <c r="P61" s="93"/>
      <c r="Q61" s="93"/>
      <c r="R61" s="93"/>
      <c r="S61" s="93"/>
      <c r="T61" s="93"/>
      <c r="U61" s="93"/>
      <c r="V61" s="93">
        <f>SUM(Tabla523[[#This Row],[N 2 kg]:[N 500 gr]])</f>
        <v>0</v>
      </c>
      <c r="W61" s="101"/>
    </row>
    <row r="62" spans="1:23" outlineLevel="1" x14ac:dyDescent="0.3">
      <c r="A62" s="202"/>
      <c r="B62" s="97" t="str">
        <f>[1]Personas!A59</f>
        <v>Carola</v>
      </c>
      <c r="C62" s="88" t="str">
        <f>[1]Personas!B59</f>
        <v>Schumann</v>
      </c>
      <c r="D62" s="88" t="str">
        <f>[1]Personas!C59</f>
        <v>Pedro Canisio 1103 Dpto 142</v>
      </c>
      <c r="E62" s="88" t="str">
        <f>[1]Personas!D59</f>
        <v>Vitacura</v>
      </c>
      <c r="F62" s="88" t="str">
        <f>[1]Personas!E59</f>
        <v>Manquehue</v>
      </c>
      <c r="G62" s="88" t="str">
        <f>[1]Personas!F59</f>
        <v>UAI</v>
      </c>
      <c r="H62" s="88" t="str">
        <f>[1]Personas!G59</f>
        <v>JEFE</v>
      </c>
      <c r="I62" s="94">
        <f>[1]Personas!H59</f>
        <v>56998263560</v>
      </c>
      <c r="J62" s="42" t="str">
        <f>[1]Personas!I59</f>
        <v>cschumann@alumnos.uai.cl</v>
      </c>
      <c r="K62" s="42" t="str">
        <f>[1]Personas!J59</f>
        <v>Ignacio Castañeda</v>
      </c>
      <c r="L62" s="93"/>
      <c r="M62" s="93"/>
      <c r="N62" s="88">
        <f>SUMPRODUCT(Tabla523[[#This Row],[N 2 kg]:[N 500 gr]],O$82:U$82)</f>
        <v>0</v>
      </c>
      <c r="O62" s="93"/>
      <c r="P62" s="93"/>
      <c r="Q62" s="93"/>
      <c r="R62" s="93"/>
      <c r="S62" s="93"/>
      <c r="T62" s="93"/>
      <c r="U62" s="93"/>
      <c r="V62" s="93">
        <f>SUM(Tabla523[[#This Row],[N 2 kg]:[N 500 gr]])</f>
        <v>0</v>
      </c>
      <c r="W62" s="101"/>
    </row>
    <row r="63" spans="1:23" outlineLevel="1" x14ac:dyDescent="0.3">
      <c r="A63" s="202"/>
      <c r="B63" s="97" t="str">
        <f>[1]Personas!A60</f>
        <v>Cata</v>
      </c>
      <c r="C63" s="88" t="str">
        <f>[1]Personas!B60</f>
        <v>Tondreau</v>
      </c>
      <c r="D63" s="88" t="str">
        <f>[1]Personas!C60</f>
        <v>Francisco de Aguirre 4155</v>
      </c>
      <c r="E63" s="88" t="str">
        <f>[1]Personas!D60</f>
        <v>Vitacura</v>
      </c>
      <c r="F63" s="88" t="str">
        <f>[1]Personas!E60</f>
        <v>Vespucio</v>
      </c>
      <c r="G63" s="88" t="str">
        <f>[1]Personas!F60</f>
        <v>UC</v>
      </c>
      <c r="H63" s="88" t="str">
        <f>[1]Personas!G60</f>
        <v>JEFE</v>
      </c>
      <c r="I63" s="94">
        <f>[1]Personas!H60</f>
        <v>56942723186</v>
      </c>
      <c r="J63" s="42" t="str">
        <f>[1]Personas!I60</f>
        <v>catalinatp_97@hotmail.com</v>
      </c>
      <c r="K63" s="42" t="str">
        <f>[1]Personas!J60</f>
        <v>Joaquin Eichholz</v>
      </c>
      <c r="L63" s="93"/>
      <c r="M63" s="93"/>
      <c r="N63" s="88">
        <f>SUMPRODUCT(Tabla523[[#This Row],[N 2 kg]:[N 500 gr]],O$82:U$82)</f>
        <v>0</v>
      </c>
      <c r="O63" s="93"/>
      <c r="P63" s="93"/>
      <c r="Q63" s="93"/>
      <c r="R63" s="93"/>
      <c r="S63" s="93"/>
      <c r="T63" s="93"/>
      <c r="U63" s="93"/>
      <c r="V63" s="93">
        <f>SUM(Tabla523[[#This Row],[N 2 kg]:[N 500 gr]])</f>
        <v>0</v>
      </c>
      <c r="W63" s="101"/>
    </row>
    <row r="64" spans="1:23" outlineLevel="1" x14ac:dyDescent="0.3">
      <c r="A64" s="202"/>
      <c r="B64" s="97" t="str">
        <f>[1]Personas!A61</f>
        <v>Iñaki</v>
      </c>
      <c r="C64" s="88" t="str">
        <f>[1]Personas!B61</f>
        <v>Tramontana</v>
      </c>
      <c r="D64" s="88" t="str">
        <f>[1]Personas!C61</f>
        <v>Los Algarrobos 3 Casa 28</v>
      </c>
      <c r="E64" s="88" t="str">
        <f>[1]Personas!D61</f>
        <v>Chicureo</v>
      </c>
      <c r="F64" s="88" t="str">
        <f>[1]Personas!E61</f>
        <v>Piedra Roja</v>
      </c>
      <c r="G64" s="88" t="str">
        <f>[1]Personas!F61</f>
        <v>UDD</v>
      </c>
      <c r="H64" s="88" t="str">
        <f>[1]Personas!G61</f>
        <v>JEFE</v>
      </c>
      <c r="I64" s="94">
        <f>[1]Personas!H61</f>
        <v>56996310424</v>
      </c>
      <c r="J64" s="42" t="str">
        <f>[1]Personas!I61</f>
        <v>Itramontanae@udd.cl</v>
      </c>
      <c r="K64" s="42" t="str">
        <f>[1]Personas!J61</f>
        <v>Lukas Quense</v>
      </c>
      <c r="L64" s="93"/>
      <c r="M64" s="93"/>
      <c r="N64" s="88">
        <f>SUMPRODUCT(Tabla523[[#This Row],[N 2 kg]:[N 500 gr]],O$82:U$82)</f>
        <v>0</v>
      </c>
      <c r="O64" s="93"/>
      <c r="P64" s="93"/>
      <c r="Q64" s="93"/>
      <c r="R64" s="93"/>
      <c r="S64" s="93"/>
      <c r="T64" s="93"/>
      <c r="U64" s="93"/>
      <c r="V64" s="93">
        <f>SUM(Tabla523[[#This Row],[N 2 kg]:[N 500 gr]])</f>
        <v>0</v>
      </c>
      <c r="W64" s="101"/>
    </row>
    <row r="65" spans="1:23" outlineLevel="1" x14ac:dyDescent="0.3">
      <c r="A65" s="202"/>
      <c r="B65" s="97" t="str">
        <f>[1]Personas!A62</f>
        <v>Juan</v>
      </c>
      <c r="C65" s="88" t="str">
        <f>[1]Personas!B62</f>
        <v>Undurraga</v>
      </c>
      <c r="D65" s="88" t="str">
        <f>[1]Personas!C62</f>
        <v>Huilquehue 4367</v>
      </c>
      <c r="E65" s="88" t="str">
        <f>[1]Personas!D62</f>
        <v>Lo Barnechea</v>
      </c>
      <c r="F65" s="88" t="str">
        <f>[1]Personas!E62</f>
        <v>Los Trapenses</v>
      </c>
      <c r="G65" s="88" t="str">
        <f>[1]Personas!F62</f>
        <v>UAndes</v>
      </c>
      <c r="H65" s="88" t="str">
        <f>[1]Personas!G62</f>
        <v>JEFE</v>
      </c>
      <c r="I65" s="94">
        <f>[1]Personas!H62</f>
        <v>56974397201</v>
      </c>
      <c r="J65" s="42" t="str">
        <f>[1]Personas!I62</f>
        <v>jundurraga3@miuandes.cl</v>
      </c>
      <c r="K65" s="42" t="str">
        <f>[1]Personas!J62</f>
        <v>Ignacio Castañeda</v>
      </c>
      <c r="L65" s="93"/>
      <c r="M65" s="93"/>
      <c r="N65" s="88">
        <f>SUMPRODUCT(Tabla523[[#This Row],[N 2 kg]:[N 500 gr]],O$82:U$82)</f>
        <v>0</v>
      </c>
      <c r="O65" s="93"/>
      <c r="P65" s="93"/>
      <c r="Q65" s="93"/>
      <c r="R65" s="93"/>
      <c r="S65" s="93"/>
      <c r="T65" s="93"/>
      <c r="U65" s="93"/>
      <c r="V65" s="93">
        <f>SUM(Tabla523[[#This Row],[N 2 kg]:[N 500 gr]])</f>
        <v>0</v>
      </c>
      <c r="W65" s="101"/>
    </row>
    <row r="66" spans="1:23" outlineLevel="1" x14ac:dyDescent="0.3">
      <c r="A66" s="202"/>
      <c r="B66" s="97" t="str">
        <f>[1]Personas!A63</f>
        <v>Cristobal</v>
      </c>
      <c r="C66" s="88" t="str">
        <f>[1]Personas!B63</f>
        <v>Valdes</v>
      </c>
      <c r="D66" s="88" t="str">
        <f>[1]Personas!C63</f>
        <v>Los Queltehues 11524</v>
      </c>
      <c r="E66" s="88" t="str">
        <f>[1]Personas!D63</f>
        <v>Lo Barnechea</v>
      </c>
      <c r="F66" s="88" t="str">
        <f>[1]Personas!E63</f>
        <v>Los Trapenses</v>
      </c>
      <c r="G66" s="88" t="str">
        <f>[1]Personas!F63</f>
        <v>Cordillera</v>
      </c>
      <c r="H66" s="88" t="str">
        <f>[1]Personas!G63</f>
        <v>JEFE</v>
      </c>
      <c r="I66" s="94">
        <f>[1]Personas!H63</f>
        <v>56964829508</v>
      </c>
      <c r="J66" s="42" t="str">
        <f>[1]Personas!I63</f>
        <v>cristobalvaldes99@gmail.com</v>
      </c>
      <c r="K66" s="42" t="str">
        <f>[1]Personas!J63</f>
        <v>Lukas Quense</v>
      </c>
      <c r="L66" s="93"/>
      <c r="M66" s="93"/>
      <c r="N66" s="88">
        <f>SUMPRODUCT(Tabla523[[#This Row],[N 2 kg]:[N 500 gr]],O$82:U$82)</f>
        <v>0</v>
      </c>
      <c r="O66" s="93"/>
      <c r="P66" s="93"/>
      <c r="Q66" s="93"/>
      <c r="R66" s="93"/>
      <c r="S66" s="93"/>
      <c r="T66" s="93"/>
      <c r="U66" s="93"/>
      <c r="V66" s="93">
        <f>SUM(Tabla523[[#This Row],[N 2 kg]:[N 500 gr]])</f>
        <v>0</v>
      </c>
      <c r="W66" s="101"/>
    </row>
    <row r="67" spans="1:23" outlineLevel="1" x14ac:dyDescent="0.3">
      <c r="A67" s="202"/>
      <c r="B67" s="97" t="str">
        <f>[1]Personas!A64</f>
        <v>Antonia</v>
      </c>
      <c r="C67" s="88" t="str">
        <f>[1]Personas!B64</f>
        <v>Valencia</v>
      </c>
      <c r="D67" s="88" t="str">
        <f>[1]Personas!C64</f>
        <v>Las Campanas 681, Hacienda Chicureo</v>
      </c>
      <c r="E67" s="88" t="str">
        <f>[1]Personas!D64</f>
        <v>Chicureo</v>
      </c>
      <c r="F67" s="88" t="str">
        <f>[1]Personas!E64</f>
        <v>Piedra Roja</v>
      </c>
      <c r="G67" s="88" t="str">
        <f>[1]Personas!F64</f>
        <v>UAndes</v>
      </c>
      <c r="H67" s="88" t="str">
        <f>[1]Personas!G64</f>
        <v>JEFE</v>
      </c>
      <c r="I67" s="94">
        <f>[1]Personas!H64</f>
        <v>56979769748</v>
      </c>
      <c r="J67" s="42" t="str">
        <f>[1]Personas!I64</f>
        <v>antovalencia@mac.com</v>
      </c>
      <c r="K67" s="42" t="str">
        <f>[1]Personas!J64</f>
        <v>Joaquin Eichholz</v>
      </c>
      <c r="L67" s="93"/>
      <c r="M67" s="93"/>
      <c r="N67" s="88">
        <f>SUMPRODUCT(Tabla523[[#This Row],[N 2 kg]:[N 500 gr]],O$82:U$82)</f>
        <v>0</v>
      </c>
      <c r="O67" s="93"/>
      <c r="P67" s="93"/>
      <c r="Q67" s="93"/>
      <c r="R67" s="93"/>
      <c r="S67" s="93"/>
      <c r="T67" s="93"/>
      <c r="U67" s="93"/>
      <c r="V67" s="93">
        <f>SUM(Tabla523[[#This Row],[N 2 kg]:[N 500 gr]])</f>
        <v>0</v>
      </c>
      <c r="W67" s="101"/>
    </row>
    <row r="68" spans="1:23" outlineLevel="1" x14ac:dyDescent="0.3">
      <c r="A68" s="202"/>
      <c r="B68" s="91" t="str">
        <f>[1]Personas!A65</f>
        <v>Jesu</v>
      </c>
      <c r="C68" s="89" t="str">
        <f>[1]Personas!B65</f>
        <v>Valenzuela</v>
      </c>
      <c r="D68" s="104" t="str">
        <f>[1]Personas!C65</f>
        <v>Bombay 8825</v>
      </c>
      <c r="E68" s="104" t="str">
        <f>[1]Personas!D65</f>
        <v>Las Condes</v>
      </c>
      <c r="F68" s="104" t="str">
        <f>[1]Personas!E65</f>
        <v>Alto Las Condes</v>
      </c>
      <c r="G68" s="104" t="str">
        <f>[1]Personas!F65</f>
        <v>UC</v>
      </c>
      <c r="H68" s="104" t="str">
        <f>[1]Personas!G65</f>
        <v>JEFE</v>
      </c>
      <c r="I68" s="105">
        <f>[1]Personas!H65</f>
        <v>56999699652</v>
      </c>
      <c r="J68" s="42" t="str">
        <f>[1]Personas!I65</f>
        <v>mjvalenzuela3@uc.cl</v>
      </c>
      <c r="K68" s="42" t="str">
        <f>[1]Personas!J65</f>
        <v>Joaquin Eichholz</v>
      </c>
      <c r="L68" s="93"/>
      <c r="M68" s="93"/>
      <c r="N68" s="88">
        <f>SUMPRODUCT(Tabla523[[#This Row],[N 2 kg]:[N 500 gr]],O$82:U$82)</f>
        <v>0</v>
      </c>
      <c r="O68" s="93"/>
      <c r="P68" s="93"/>
      <c r="Q68" s="93"/>
      <c r="R68" s="93"/>
      <c r="S68" s="93"/>
      <c r="T68" s="93"/>
      <c r="U68" s="93"/>
      <c r="V68" s="93">
        <f>SUM(Tabla523[[#This Row],[N 2 kg]:[N 500 gr]])</f>
        <v>0</v>
      </c>
      <c r="W68" s="101"/>
    </row>
    <row r="69" spans="1:23" outlineLevel="1" x14ac:dyDescent="0.3">
      <c r="A69" s="202"/>
      <c r="B69" s="91" t="str">
        <f>[1]Personas!A66</f>
        <v>Pablo</v>
      </c>
      <c r="C69" s="89" t="str">
        <f>[1]Personas!B66</f>
        <v>Vial</v>
      </c>
      <c r="D69" s="104" t="str">
        <f>[1]Personas!C66</f>
        <v>Pachica 8279</v>
      </c>
      <c r="E69" s="104" t="str">
        <f>[1]Personas!D66</f>
        <v>Las Condes</v>
      </c>
      <c r="F69" s="104" t="str">
        <f>[1]Personas!E66</f>
        <v>Colon</v>
      </c>
      <c r="G69" s="104" t="str">
        <f>[1]Personas!F66</f>
        <v>UDD</v>
      </c>
      <c r="H69" s="104" t="str">
        <f>[1]Personas!G66</f>
        <v>JEFE</v>
      </c>
      <c r="I69" s="105">
        <f>[1]Personas!H66</f>
        <v>56957230044</v>
      </c>
      <c r="J69" s="42" t="str">
        <f>[1]Personas!I66</f>
        <v>pabcontrerasm@udd.cl</v>
      </c>
      <c r="K69" s="42" t="str">
        <f>[1]Personas!J66</f>
        <v>Joaquin Eichholz</v>
      </c>
      <c r="L69" s="93"/>
      <c r="M69" s="93"/>
      <c r="N69" s="88">
        <f>SUMPRODUCT(Tabla523[[#This Row],[N 2 kg]:[N 500 gr]],O$82:U$82)</f>
        <v>0</v>
      </c>
      <c r="O69" s="93"/>
      <c r="P69" s="93"/>
      <c r="Q69" s="93"/>
      <c r="R69" s="93"/>
      <c r="S69" s="93"/>
      <c r="T69" s="93"/>
      <c r="U69" s="93"/>
      <c r="V69" s="93">
        <f>SUM(Tabla523[[#This Row],[N 2 kg]:[N 500 gr]])</f>
        <v>0</v>
      </c>
      <c r="W69" s="101"/>
    </row>
    <row r="70" spans="1:23" outlineLevel="1" x14ac:dyDescent="0.3">
      <c r="A70" s="202"/>
      <c r="B70" s="91" t="str">
        <f>[1]Personas!A67</f>
        <v>Pedro</v>
      </c>
      <c r="C70" s="89" t="str">
        <f>[1]Personas!B67</f>
        <v>Vial</v>
      </c>
      <c r="D70" s="104" t="str">
        <f>[1]Personas!C67</f>
        <v>Padre Ted Huard 4144</v>
      </c>
      <c r="E70" s="104" t="str">
        <f>[1]Personas!D67</f>
        <v>Lo Barnechea</v>
      </c>
      <c r="F70" s="104" t="str">
        <f>[1]Personas!E67</f>
        <v>Los Trapenses</v>
      </c>
      <c r="G70" s="104" t="str">
        <f>[1]Personas!F67</f>
        <v>Monte Tabor</v>
      </c>
      <c r="H70" s="104" t="str">
        <f>[1]Personas!G67</f>
        <v>JEFE</v>
      </c>
      <c r="I70" s="105">
        <f>[1]Personas!H67</f>
        <v>56966640363</v>
      </c>
      <c r="J70" s="42" t="str">
        <f>[1]Personas!I67</f>
        <v>pedrovialbo@gmail.com</v>
      </c>
      <c r="K70" s="42" t="str">
        <f>[1]Personas!J67</f>
        <v>Lukas Quense</v>
      </c>
      <c r="L70" s="93"/>
      <c r="M70" s="93"/>
      <c r="N70" s="88">
        <f>SUMPRODUCT(Tabla523[[#This Row],[N 2 kg]:[N 500 gr]],O$82:U$82)</f>
        <v>0</v>
      </c>
      <c r="O70" s="93"/>
      <c r="P70" s="93"/>
      <c r="Q70" s="93"/>
      <c r="R70" s="93"/>
      <c r="S70" s="93"/>
      <c r="T70" s="93"/>
      <c r="U70" s="93"/>
      <c r="V70" s="93">
        <f>SUM(Tabla523[[#This Row],[N 2 kg]:[N 500 gr]])</f>
        <v>0</v>
      </c>
      <c r="W70" s="101"/>
    </row>
    <row r="71" spans="1:23" outlineLevel="1" x14ac:dyDescent="0.3">
      <c r="A71" s="202"/>
      <c r="B71" s="91" t="str">
        <f>[1]Personas!A68</f>
        <v>Paula</v>
      </c>
      <c r="C71" s="89" t="str">
        <f>[1]Personas!B68</f>
        <v>Villela</v>
      </c>
      <c r="D71" s="104" t="str">
        <f>[1]Personas!C68</f>
        <v>Camino La Fuente 2174</v>
      </c>
      <c r="E71" s="104" t="str">
        <f>[1]Personas!D68</f>
        <v>Las Condes</v>
      </c>
      <c r="F71" s="104" t="str">
        <f>[1]Personas!E68</f>
        <v>San Carlos</v>
      </c>
      <c r="G71" s="104">
        <f>[1]Personas!F68</f>
        <v>0</v>
      </c>
      <c r="H71" s="104" t="str">
        <f>[1]Personas!G68</f>
        <v>JEFE</v>
      </c>
      <c r="I71" s="105">
        <f>[1]Personas!H68</f>
        <v>56957850035</v>
      </c>
      <c r="J71" s="42" t="str">
        <f>[1]Personas!I68</f>
        <v>pvillelacaerols@gmail.com</v>
      </c>
      <c r="K71" s="42" t="str">
        <f>[1]Personas!J68</f>
        <v>Joaquin Eichholz</v>
      </c>
      <c r="L71" s="93"/>
      <c r="M71" s="93"/>
      <c r="N71" s="88">
        <f>SUMPRODUCT(Tabla523[[#This Row],[N 2 kg]:[N 500 gr]],O$82:U$82)</f>
        <v>0</v>
      </c>
      <c r="O71" s="93"/>
      <c r="P71" s="93"/>
      <c r="Q71" s="93"/>
      <c r="R71" s="93"/>
      <c r="S71" s="93"/>
      <c r="T71" s="93"/>
      <c r="U71" s="93"/>
      <c r="V71" s="93">
        <f>SUM(Tabla523[[#This Row],[N 2 kg]:[N 500 gr]])</f>
        <v>0</v>
      </c>
      <c r="W71" s="101"/>
    </row>
    <row r="72" spans="1:23" ht="15" outlineLevel="1" thickBot="1" x14ac:dyDescent="0.35">
      <c r="A72" s="203"/>
      <c r="B72" s="21" t="str">
        <f>[1]Personas!A69</f>
        <v>Gabriel</v>
      </c>
      <c r="C72" s="22" t="str">
        <f>[1]Personas!B69</f>
        <v>Villela</v>
      </c>
      <c r="D72" s="118" t="str">
        <f>[1]Personas!C69</f>
        <v>Las Estrellas 14043</v>
      </c>
      <c r="E72" s="118" t="str">
        <f>[1]Personas!D69</f>
        <v>Las Condes</v>
      </c>
      <c r="F72" s="118" t="str">
        <f>[1]Personas!E69</f>
        <v>Quinchamali</v>
      </c>
      <c r="G72" s="118" t="str">
        <f>[1]Personas!F69</f>
        <v>TIPS</v>
      </c>
      <c r="H72" s="118" t="str">
        <f>[1]Personas!G69</f>
        <v>JEFE</v>
      </c>
      <c r="I72" s="119">
        <f>[1]Personas!H69</f>
        <v>56973979384</v>
      </c>
      <c r="J72" s="77" t="str">
        <f>[1]Personas!I69</f>
        <v>gk.alaluf@icloud.com</v>
      </c>
      <c r="K72" s="77" t="str">
        <f>[1]Personas!J69</f>
        <v>Lukas Quense</v>
      </c>
      <c r="L72" s="27"/>
      <c r="M72" s="27"/>
      <c r="N72" s="88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3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" thickBot="1" x14ac:dyDescent="0.35"/>
    <row r="75" spans="1:23" ht="14.7" customHeight="1" thickBot="1" x14ac:dyDescent="0.35">
      <c r="A75" s="213" t="s">
        <v>21</v>
      </c>
      <c r="B75" s="195" t="s">
        <v>7</v>
      </c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7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90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7" customHeight="1" thickBot="1" x14ac:dyDescent="0.35">
      <c r="A76" s="214"/>
      <c r="B76" s="204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6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7" customHeight="1" thickBot="1" x14ac:dyDescent="0.35">
      <c r="A77" s="214"/>
      <c r="B77" s="204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6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93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" thickBot="1" x14ac:dyDescent="0.35">
      <c r="A78" s="214"/>
      <c r="B78" s="198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200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" thickBot="1" x14ac:dyDescent="0.35">
      <c r="A79" s="214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" thickBot="1" x14ac:dyDescent="0.35">
      <c r="A80" s="214"/>
      <c r="B80" s="195" t="s">
        <v>13</v>
      </c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7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92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" thickBot="1" x14ac:dyDescent="0.35">
      <c r="A81" s="214"/>
      <c r="B81" s="204"/>
      <c r="C81" s="205"/>
      <c r="D81" s="205"/>
      <c r="E81" s="205"/>
      <c r="F81" s="205"/>
      <c r="G81" s="205"/>
      <c r="H81" s="205"/>
      <c r="I81" s="205"/>
      <c r="J81" s="205"/>
      <c r="K81" s="205"/>
      <c r="L81" s="205"/>
      <c r="M81" s="206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88">
        <f>12000/6</f>
        <v>2000</v>
      </c>
      <c r="T81" s="3">
        <v>2300</v>
      </c>
      <c r="U81" s="46">
        <v>7500</v>
      </c>
    </row>
    <row r="82" spans="1:21" ht="15" thickBot="1" x14ac:dyDescent="0.35">
      <c r="A82" s="214"/>
      <c r="B82" s="198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200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" thickBot="1" x14ac:dyDescent="0.35">
      <c r="A83" s="214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7" customHeight="1" thickBot="1" x14ac:dyDescent="0.35">
      <c r="A84" s="214"/>
      <c r="B84" s="195" t="s">
        <v>16</v>
      </c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7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" thickBot="1" x14ac:dyDescent="0.35">
      <c r="A85" s="214"/>
      <c r="B85" s="198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200"/>
      <c r="N85" s="60" t="s">
        <v>17</v>
      </c>
      <c r="O85" s="216">
        <f>SUM(O84:U84)</f>
        <v>0</v>
      </c>
      <c r="P85" s="217"/>
      <c r="Q85" s="217"/>
      <c r="R85" s="217"/>
      <c r="S85" s="217"/>
      <c r="T85" s="217"/>
      <c r="U85" s="218"/>
    </row>
    <row r="86" spans="1:21" ht="15" thickBot="1" x14ac:dyDescent="0.35">
      <c r="A86" s="214"/>
      <c r="B86" s="195" t="s">
        <v>18</v>
      </c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7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89">
        <f t="shared" si="5"/>
        <v>0</v>
      </c>
      <c r="T86" s="4">
        <f t="shared" si="5"/>
        <v>0</v>
      </c>
      <c r="U86" s="7">
        <f t="shared" si="5"/>
        <v>0</v>
      </c>
    </row>
    <row r="87" spans="1:21" ht="15" thickBot="1" x14ac:dyDescent="0.35">
      <c r="A87" s="214"/>
      <c r="B87" s="198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200"/>
      <c r="N87" s="60" t="s">
        <v>17</v>
      </c>
      <c r="O87" s="216">
        <f>SUM(O86:U86)</f>
        <v>0</v>
      </c>
      <c r="P87" s="217"/>
      <c r="Q87" s="217"/>
      <c r="R87" s="217"/>
      <c r="S87" s="217"/>
      <c r="T87" s="217"/>
      <c r="U87" s="218"/>
    </row>
    <row r="88" spans="1:21" ht="14.7" customHeight="1" thickBot="1" x14ac:dyDescent="0.35">
      <c r="A88" s="214"/>
      <c r="B88" s="195" t="s">
        <v>19</v>
      </c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7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7" customHeight="1" thickBot="1" x14ac:dyDescent="0.35">
      <c r="A89" s="214"/>
      <c r="B89" s="198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200"/>
      <c r="N89" s="60" t="s">
        <v>31</v>
      </c>
      <c r="O89" s="231">
        <f>SUM(O88:U88)</f>
        <v>0</v>
      </c>
      <c r="P89" s="232"/>
      <c r="Q89" s="232"/>
      <c r="R89" s="232"/>
      <c r="S89" s="232"/>
      <c r="T89" s="232"/>
      <c r="U89" s="233"/>
    </row>
    <row r="90" spans="1:21" ht="15" thickBot="1" x14ac:dyDescent="0.35">
      <c r="A90" s="214"/>
    </row>
    <row r="91" spans="1:21" ht="14.7" customHeight="1" thickBot="1" x14ac:dyDescent="0.35">
      <c r="A91" s="214"/>
      <c r="B91" s="234" t="s">
        <v>27</v>
      </c>
      <c r="C91" s="235"/>
      <c r="D91" s="235"/>
      <c r="E91" s="235"/>
      <c r="F91" s="235"/>
      <c r="G91" s="235"/>
      <c r="H91" s="235"/>
      <c r="I91" s="235"/>
      <c r="J91" s="235"/>
      <c r="K91" s="235"/>
      <c r="L91" s="235"/>
      <c r="M91" s="235"/>
      <c r="N91" s="236"/>
      <c r="O91" s="225" t="s">
        <v>28</v>
      </c>
      <c r="P91" s="226"/>
      <c r="Q91" s="227"/>
      <c r="R91" s="44" t="s">
        <v>29</v>
      </c>
      <c r="S91" s="110"/>
      <c r="T91" s="11"/>
      <c r="U91" s="11"/>
    </row>
    <row r="92" spans="1:21" ht="15" customHeight="1" x14ac:dyDescent="0.3">
      <c r="A92" s="214"/>
      <c r="B92" s="237"/>
      <c r="C92" s="238"/>
      <c r="D92" s="238"/>
      <c r="E92" s="238"/>
      <c r="F92" s="238"/>
      <c r="G92" s="238"/>
      <c r="H92" s="238"/>
      <c r="I92" s="238"/>
      <c r="J92" s="238"/>
      <c r="K92" s="238"/>
      <c r="L92" s="238"/>
      <c r="M92" s="238"/>
      <c r="N92" s="239"/>
      <c r="O92" s="243"/>
      <c r="P92" s="244"/>
      <c r="Q92" s="245"/>
      <c r="R92" s="52"/>
      <c r="S92" s="111"/>
      <c r="T92" s="12"/>
      <c r="U92" s="12"/>
    </row>
    <row r="93" spans="1:21" ht="15" customHeight="1" x14ac:dyDescent="0.3">
      <c r="A93" s="214"/>
      <c r="B93" s="237"/>
      <c r="C93" s="238"/>
      <c r="D93" s="238"/>
      <c r="E93" s="238"/>
      <c r="F93" s="238"/>
      <c r="G93" s="238"/>
      <c r="H93" s="238"/>
      <c r="I93" s="238"/>
      <c r="J93" s="238"/>
      <c r="K93" s="238"/>
      <c r="L93" s="238"/>
      <c r="M93" s="238"/>
      <c r="N93" s="239"/>
      <c r="O93" s="192"/>
      <c r="P93" s="193"/>
      <c r="Q93" s="194"/>
      <c r="R93" s="53"/>
      <c r="S93" s="111"/>
      <c r="T93" s="12"/>
      <c r="U93" s="12"/>
    </row>
    <row r="94" spans="1:21" ht="15" customHeight="1" x14ac:dyDescent="0.3">
      <c r="A94" s="214"/>
      <c r="B94" s="237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9"/>
      <c r="O94" s="192"/>
      <c r="P94" s="193"/>
      <c r="Q94" s="194"/>
      <c r="R94" s="53"/>
      <c r="S94" s="111"/>
      <c r="T94" s="12"/>
      <c r="U94" s="12"/>
    </row>
    <row r="95" spans="1:21" ht="15" customHeight="1" x14ac:dyDescent="0.3">
      <c r="A95" s="214"/>
      <c r="B95" s="237"/>
      <c r="C95" s="238"/>
      <c r="D95" s="238"/>
      <c r="E95" s="238"/>
      <c r="F95" s="238"/>
      <c r="G95" s="238"/>
      <c r="H95" s="238"/>
      <c r="I95" s="238"/>
      <c r="J95" s="238"/>
      <c r="K95" s="238"/>
      <c r="L95" s="238"/>
      <c r="M95" s="238"/>
      <c r="N95" s="239"/>
      <c r="O95" s="192"/>
      <c r="P95" s="193"/>
      <c r="Q95" s="194"/>
      <c r="R95" s="53"/>
      <c r="S95" s="111"/>
      <c r="T95" s="12"/>
      <c r="U95" s="12"/>
    </row>
    <row r="96" spans="1:21" ht="15" customHeight="1" x14ac:dyDescent="0.3">
      <c r="A96" s="214"/>
      <c r="B96" s="237"/>
      <c r="C96" s="238"/>
      <c r="D96" s="238"/>
      <c r="E96" s="238"/>
      <c r="F96" s="238"/>
      <c r="G96" s="238"/>
      <c r="H96" s="238"/>
      <c r="I96" s="238"/>
      <c r="J96" s="238"/>
      <c r="K96" s="238"/>
      <c r="L96" s="238"/>
      <c r="M96" s="238"/>
      <c r="N96" s="239"/>
      <c r="O96" s="192"/>
      <c r="P96" s="193"/>
      <c r="Q96" s="194"/>
      <c r="R96" s="53"/>
      <c r="S96" s="111"/>
      <c r="T96" s="12"/>
      <c r="U96" s="12"/>
    </row>
    <row r="97" spans="1:21" ht="15" customHeight="1" x14ac:dyDescent="0.3">
      <c r="A97" s="214"/>
      <c r="B97" s="237"/>
      <c r="C97" s="238"/>
      <c r="D97" s="238"/>
      <c r="E97" s="238"/>
      <c r="F97" s="238"/>
      <c r="G97" s="238"/>
      <c r="H97" s="238"/>
      <c r="I97" s="238"/>
      <c r="J97" s="238"/>
      <c r="K97" s="238"/>
      <c r="L97" s="238"/>
      <c r="M97" s="238"/>
      <c r="N97" s="239"/>
      <c r="O97" s="192"/>
      <c r="P97" s="193"/>
      <c r="Q97" s="194"/>
      <c r="R97" s="53"/>
      <c r="S97" s="111"/>
      <c r="T97" s="12"/>
      <c r="U97" s="12"/>
    </row>
    <row r="98" spans="1:21" ht="15" customHeight="1" thickBot="1" x14ac:dyDescent="0.35">
      <c r="A98" s="214"/>
      <c r="B98" s="237"/>
      <c r="C98" s="238"/>
      <c r="D98" s="238"/>
      <c r="E98" s="238"/>
      <c r="F98" s="238"/>
      <c r="G98" s="238"/>
      <c r="H98" s="238"/>
      <c r="I98" s="238"/>
      <c r="J98" s="238"/>
      <c r="K98" s="238"/>
      <c r="L98" s="238"/>
      <c r="M98" s="238"/>
      <c r="N98" s="239"/>
      <c r="O98" s="219"/>
      <c r="P98" s="220"/>
      <c r="Q98" s="221"/>
      <c r="R98" s="53"/>
      <c r="S98" s="111"/>
      <c r="T98" s="12"/>
      <c r="U98" s="12"/>
    </row>
    <row r="99" spans="1:21" ht="15.75" customHeight="1" thickBot="1" x14ac:dyDescent="0.35">
      <c r="A99" s="214"/>
      <c r="B99" s="240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2"/>
      <c r="O99" s="222" t="s">
        <v>17</v>
      </c>
      <c r="P99" s="223"/>
      <c r="Q99" s="224"/>
      <c r="R99" s="54">
        <f>SUM(R92:R98)</f>
        <v>0</v>
      </c>
      <c r="S99" s="112"/>
      <c r="T99" s="12"/>
      <c r="U99" s="12"/>
    </row>
    <row r="100" spans="1:21" ht="15" thickBot="1" x14ac:dyDescent="0.35">
      <c r="A100" s="214"/>
    </row>
    <row r="101" spans="1:21" ht="51.75" customHeight="1" thickBot="1" x14ac:dyDescent="0.35">
      <c r="A101" s="215"/>
      <c r="B101" s="225" t="s">
        <v>19</v>
      </c>
      <c r="C101" s="226"/>
      <c r="D101" s="226"/>
      <c r="E101" s="226"/>
      <c r="F101" s="226"/>
      <c r="G101" s="226"/>
      <c r="H101" s="226"/>
      <c r="I101" s="226"/>
      <c r="J101" s="226"/>
      <c r="K101" s="226"/>
      <c r="L101" s="227"/>
      <c r="M101" s="117"/>
      <c r="N101" s="59" t="s">
        <v>17</v>
      </c>
      <c r="O101" s="228">
        <f>O89-SUM(R92:R98)</f>
        <v>0</v>
      </c>
      <c r="P101" s="229"/>
      <c r="Q101" s="229"/>
      <c r="R101" s="229"/>
      <c r="S101" s="229"/>
      <c r="T101" s="229"/>
      <c r="U101" s="230"/>
    </row>
    <row r="102" spans="1:21" ht="15.75" customHeight="1" x14ac:dyDescent="0.3">
      <c r="A102" s="45"/>
      <c r="P102" s="43"/>
      <c r="Q102" s="43"/>
      <c r="R102" s="43"/>
      <c r="S102" s="43"/>
      <c r="U102" s="62"/>
    </row>
    <row r="103" spans="1:21" ht="15" customHeight="1" x14ac:dyDescent="0.3">
      <c r="A103" s="45"/>
      <c r="P103" s="43"/>
      <c r="Q103" s="43"/>
      <c r="R103" s="43"/>
      <c r="S103" s="43"/>
      <c r="U103" s="13"/>
    </row>
    <row r="104" spans="1:21" ht="15" customHeight="1" x14ac:dyDescent="0.3">
      <c r="P104" s="43"/>
      <c r="Q104" s="43"/>
      <c r="R104" s="43"/>
      <c r="S104" s="43"/>
      <c r="U104" s="13"/>
    </row>
    <row r="105" spans="1:21" ht="15" customHeight="1" x14ac:dyDescent="0.3">
      <c r="P105" s="43"/>
      <c r="Q105" s="43"/>
      <c r="R105" s="43"/>
      <c r="S105" s="43"/>
      <c r="U105" s="13"/>
    </row>
    <row r="106" spans="1:21" ht="15" customHeight="1" x14ac:dyDescent="0.3">
      <c r="P106" s="43"/>
      <c r="Q106" s="43"/>
      <c r="R106" s="43"/>
      <c r="S106" s="43"/>
      <c r="U106" s="13"/>
    </row>
    <row r="107" spans="1:21" ht="15" customHeight="1" x14ac:dyDescent="0.3">
      <c r="P107" s="43"/>
      <c r="Q107" s="43"/>
      <c r="R107" s="43"/>
      <c r="S107" s="43"/>
      <c r="U107" s="13"/>
    </row>
    <row r="108" spans="1:21" ht="15" customHeight="1" x14ac:dyDescent="0.3">
      <c r="P108" s="43"/>
      <c r="Q108" s="43"/>
      <c r="R108" s="43"/>
      <c r="S108" s="43"/>
      <c r="U108" s="13"/>
    </row>
    <row r="109" spans="1:21" ht="15" customHeight="1" x14ac:dyDescent="0.3">
      <c r="P109" s="43"/>
      <c r="Q109" s="43"/>
      <c r="R109" s="43"/>
      <c r="S109" s="43"/>
      <c r="U109" s="13"/>
    </row>
    <row r="110" spans="1:21" ht="15.75" customHeight="1" x14ac:dyDescent="0.3">
      <c r="P110" s="43"/>
      <c r="Q110" s="43"/>
      <c r="R110" s="43"/>
      <c r="S110" s="43"/>
      <c r="U110" s="13"/>
    </row>
  </sheetData>
  <mergeCells count="24"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  <mergeCell ref="O96:Q96"/>
    <mergeCell ref="O97:Q97"/>
    <mergeCell ref="B88:M89"/>
    <mergeCell ref="A5:A72"/>
    <mergeCell ref="B75:M78"/>
    <mergeCell ref="B80:M82"/>
    <mergeCell ref="B84:M85"/>
    <mergeCell ref="B86:M87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2" sqref="B2:N11"/>
    </sheetView>
  </sheetViews>
  <sheetFormatPr baseColWidth="10" defaultColWidth="11.44140625" defaultRowHeight="14.4" outlineLevelRow="1" outlineLevelCol="1" x14ac:dyDescent="0.3"/>
  <cols>
    <col min="1" max="1" width="11.44140625" customWidth="1"/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77734375" customWidth="1"/>
    <col min="15" max="20" width="15.44140625" customWidth="1"/>
    <col min="21" max="21" width="11.44140625" customWidth="1"/>
    <col min="22" max="22" width="71.44140625" style="58" customWidth="1"/>
  </cols>
  <sheetData>
    <row r="1" spans="1:22" ht="15" thickBot="1" x14ac:dyDescent="0.35"/>
    <row r="2" spans="1:22" ht="29.7" customHeight="1" thickBot="1" x14ac:dyDescent="0.35">
      <c r="B2" s="207" t="s">
        <v>264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9"/>
      <c r="O2" s="210" t="s">
        <v>12</v>
      </c>
      <c r="P2" s="211"/>
      <c r="Q2" s="211"/>
      <c r="R2" s="211"/>
      <c r="S2" s="211"/>
      <c r="T2" s="212"/>
    </row>
    <row r="3" spans="1:22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7" customHeight="1" outlineLevel="1" x14ac:dyDescent="0.3">
      <c r="A5" s="246" t="s">
        <v>45</v>
      </c>
      <c r="B5" s="70" t="s">
        <v>133</v>
      </c>
      <c r="C5" s="92" t="s">
        <v>134</v>
      </c>
      <c r="D5" s="92" t="s">
        <v>135</v>
      </c>
      <c r="E5" s="92" t="s">
        <v>52</v>
      </c>
      <c r="F5" s="92" t="s">
        <v>97</v>
      </c>
      <c r="G5" s="92" t="s">
        <v>69</v>
      </c>
      <c r="H5" s="92" t="s">
        <v>55</v>
      </c>
      <c r="I5" s="96">
        <v>56982328251</v>
      </c>
      <c r="J5" s="41" t="s">
        <v>136</v>
      </c>
      <c r="K5" s="41" t="s">
        <v>119</v>
      </c>
      <c r="L5" s="90" t="s">
        <v>190</v>
      </c>
      <c r="M5" s="90" t="s">
        <v>196</v>
      </c>
      <c r="N5" s="88">
        <f>SUMPRODUCT(Tabla5232[[#This Row],[Naranjas]:[Nueces]],O$45:T$45)</f>
        <v>18400</v>
      </c>
      <c r="O5" s="90">
        <v>0</v>
      </c>
      <c r="P5" s="90">
        <v>0</v>
      </c>
      <c r="Q5" s="90">
        <v>2</v>
      </c>
      <c r="R5" s="90">
        <v>0</v>
      </c>
      <c r="S5" s="90">
        <v>2</v>
      </c>
      <c r="T5" s="90">
        <v>0</v>
      </c>
      <c r="U5" s="26">
        <f>SUM(Tabla5232[[#This Row],[Naranjas]:[Nueces]])</f>
        <v>4</v>
      </c>
      <c r="V5" s="100"/>
    </row>
    <row r="6" spans="1:22" outlineLevel="1" x14ac:dyDescent="0.3">
      <c r="A6" s="247"/>
      <c r="B6" s="71" t="s">
        <v>141</v>
      </c>
      <c r="C6" s="88" t="s">
        <v>145</v>
      </c>
      <c r="D6" s="88" t="s">
        <v>146</v>
      </c>
      <c r="E6" s="88" t="s">
        <v>74</v>
      </c>
      <c r="F6" s="88" t="s">
        <v>147</v>
      </c>
      <c r="G6" s="88" t="s">
        <v>113</v>
      </c>
      <c r="H6" s="88" t="s">
        <v>55</v>
      </c>
      <c r="I6" s="94">
        <v>56986351953</v>
      </c>
      <c r="J6" s="42" t="s">
        <v>148</v>
      </c>
      <c r="K6" s="42" t="s">
        <v>119</v>
      </c>
      <c r="L6" s="93" t="s">
        <v>190</v>
      </c>
      <c r="M6" s="93" t="s">
        <v>196</v>
      </c>
      <c r="N6" s="88">
        <f>SUMPRODUCT(Tabla5232[[#This Row],[Naranjas]:[Nueces]],O$45:T$45)</f>
        <v>40600</v>
      </c>
      <c r="O6" s="93">
        <v>0</v>
      </c>
      <c r="P6" s="93">
        <v>2</v>
      </c>
      <c r="Q6" s="93">
        <v>3</v>
      </c>
      <c r="R6" s="93">
        <v>1</v>
      </c>
      <c r="S6" s="93">
        <v>2</v>
      </c>
      <c r="T6" s="93">
        <v>0</v>
      </c>
      <c r="U6" s="26">
        <f>SUM(Tabla5232[[#This Row],[Naranjas]:[Nueces]])</f>
        <v>8</v>
      </c>
      <c r="V6" s="101"/>
    </row>
    <row r="7" spans="1:22" outlineLevel="1" x14ac:dyDescent="0.3">
      <c r="A7" s="247"/>
      <c r="B7" s="71" t="s">
        <v>203</v>
      </c>
      <c r="C7" s="3" t="s">
        <v>204</v>
      </c>
      <c r="D7" s="3" t="s">
        <v>205</v>
      </c>
      <c r="E7" s="3" t="s">
        <v>52</v>
      </c>
      <c r="F7" s="3" t="s">
        <v>97</v>
      </c>
      <c r="G7" s="3" t="s">
        <v>69</v>
      </c>
      <c r="H7" s="3" t="s">
        <v>55</v>
      </c>
      <c r="I7" s="35">
        <v>56974397201</v>
      </c>
      <c r="J7" s="42" t="s">
        <v>206</v>
      </c>
      <c r="K7" s="42" t="s">
        <v>119</v>
      </c>
      <c r="L7" s="26" t="s">
        <v>190</v>
      </c>
      <c r="M7" s="26" t="s">
        <v>196</v>
      </c>
      <c r="N7" s="88">
        <f>SUMPRODUCT(Tabla5232[[#This Row],[Naranjas]:[Nueces]],O$45:T$45)</f>
        <v>59900</v>
      </c>
      <c r="O7" s="26">
        <v>0</v>
      </c>
      <c r="P7" s="26">
        <v>3</v>
      </c>
      <c r="Q7" s="26">
        <v>7</v>
      </c>
      <c r="R7" s="26">
        <v>0</v>
      </c>
      <c r="S7" s="26">
        <v>3</v>
      </c>
      <c r="T7" s="26">
        <v>0</v>
      </c>
      <c r="U7" s="26">
        <f>SUM(Tabla5232[[#This Row],[Naranjas]:[Nueces]])</f>
        <v>13</v>
      </c>
      <c r="V7" s="64"/>
    </row>
    <row r="8" spans="1:22" outlineLevel="1" x14ac:dyDescent="0.3">
      <c r="A8" s="247"/>
      <c r="B8" s="71" t="s">
        <v>186</v>
      </c>
      <c r="C8" s="3" t="s">
        <v>158</v>
      </c>
      <c r="D8" s="3" t="s">
        <v>187</v>
      </c>
      <c r="E8" s="3" t="s">
        <v>61</v>
      </c>
      <c r="F8" s="3" t="s">
        <v>188</v>
      </c>
      <c r="G8" s="3" t="s">
        <v>108</v>
      </c>
      <c r="H8" s="3" t="s">
        <v>55</v>
      </c>
      <c r="I8" s="35">
        <v>56998222891</v>
      </c>
      <c r="J8" s="42" t="s">
        <v>189</v>
      </c>
      <c r="K8" s="42" t="s">
        <v>119</v>
      </c>
      <c r="L8" s="26" t="s">
        <v>190</v>
      </c>
      <c r="M8" s="26" t="s">
        <v>196</v>
      </c>
      <c r="N8" s="88">
        <f>SUMPRODUCT(Tabla5232[[#This Row],[Naranjas]:[Nueces]],O$45:T$45)</f>
        <v>252200</v>
      </c>
      <c r="O8" s="26">
        <v>0</v>
      </c>
      <c r="P8" s="26">
        <v>11</v>
      </c>
      <c r="Q8" s="26">
        <v>16</v>
      </c>
      <c r="R8" s="26">
        <v>10</v>
      </c>
      <c r="S8" s="26">
        <v>7</v>
      </c>
      <c r="T8" s="26">
        <v>2</v>
      </c>
      <c r="U8" s="26">
        <f>SUM(Tabla5232[[#This Row],[Naranjas]:[Nueces]])</f>
        <v>46</v>
      </c>
      <c r="V8" s="64"/>
    </row>
    <row r="9" spans="1:22" outlineLevel="1" x14ac:dyDescent="0.3">
      <c r="A9" s="247"/>
      <c r="B9" s="71" t="s">
        <v>71</v>
      </c>
      <c r="C9" s="3" t="s">
        <v>72</v>
      </c>
      <c r="D9" s="3" t="s">
        <v>73</v>
      </c>
      <c r="E9" s="3" t="s">
        <v>74</v>
      </c>
      <c r="F9" s="3" t="s">
        <v>75</v>
      </c>
      <c r="G9" s="3" t="s">
        <v>69</v>
      </c>
      <c r="H9" s="3" t="s">
        <v>55</v>
      </c>
      <c r="I9" s="35">
        <v>56979769748</v>
      </c>
      <c r="J9" s="42" t="s">
        <v>76</v>
      </c>
      <c r="K9" s="42" t="s">
        <v>57</v>
      </c>
      <c r="L9" s="26" t="s">
        <v>190</v>
      </c>
      <c r="M9" s="26" t="s">
        <v>196</v>
      </c>
      <c r="N9" s="88">
        <f>SUMPRODUCT(Tabla5232[[#This Row],[Naranjas]:[Nueces]],O$45:T$45)</f>
        <v>35700</v>
      </c>
      <c r="O9" s="26">
        <v>0</v>
      </c>
      <c r="P9" s="26">
        <v>0</v>
      </c>
      <c r="Q9" s="26">
        <v>1</v>
      </c>
      <c r="R9" s="26">
        <v>1</v>
      </c>
      <c r="S9" s="26">
        <v>5</v>
      </c>
      <c r="T9" s="26">
        <v>0</v>
      </c>
      <c r="U9" s="26">
        <f>SUM(Tabla5232[[#This Row],[Naranjas]:[Nueces]])</f>
        <v>7</v>
      </c>
      <c r="V9" s="64" t="s">
        <v>198</v>
      </c>
    </row>
    <row r="10" spans="1:22" outlineLevel="1" x14ac:dyDescent="0.3">
      <c r="A10" s="247"/>
      <c r="B10" s="71" t="s">
        <v>178</v>
      </c>
      <c r="C10" s="3" t="s">
        <v>179</v>
      </c>
      <c r="D10" s="3" t="s">
        <v>180</v>
      </c>
      <c r="E10" s="3" t="s">
        <v>80</v>
      </c>
      <c r="F10" s="3" t="s">
        <v>68</v>
      </c>
      <c r="G10" s="3">
        <v>0</v>
      </c>
      <c r="H10" s="3" t="s">
        <v>55</v>
      </c>
      <c r="I10" s="35">
        <v>56954243532</v>
      </c>
      <c r="J10" s="88" t="s">
        <v>181</v>
      </c>
      <c r="K10" s="88" t="s">
        <v>57</v>
      </c>
      <c r="L10" s="26" t="s">
        <v>190</v>
      </c>
      <c r="M10" s="26" t="s">
        <v>196</v>
      </c>
      <c r="N10" s="88">
        <f>SUMPRODUCT(Tabla5232[[#This Row],[Naranjas]:[Nueces]],O$45:T$45)</f>
        <v>152200</v>
      </c>
      <c r="O10" s="26">
        <v>0</v>
      </c>
      <c r="P10" s="26">
        <v>7</v>
      </c>
      <c r="Q10" s="26">
        <v>11</v>
      </c>
      <c r="R10" s="26">
        <v>3</v>
      </c>
      <c r="S10" s="26">
        <v>6</v>
      </c>
      <c r="T10" s="26">
        <v>3</v>
      </c>
      <c r="U10" s="26">
        <f>SUM(Tabla5232[[#This Row],[Naranjas]:[Nueces]])</f>
        <v>30</v>
      </c>
      <c r="V10" s="64"/>
    </row>
    <row r="11" spans="1:22" outlineLevel="1" x14ac:dyDescent="0.3">
      <c r="A11" s="247"/>
      <c r="B11" s="71" t="s">
        <v>110</v>
      </c>
      <c r="C11" s="3" t="s">
        <v>111</v>
      </c>
      <c r="D11" s="3" t="s">
        <v>112</v>
      </c>
      <c r="E11" s="3" t="s">
        <v>52</v>
      </c>
      <c r="F11" s="3" t="s">
        <v>97</v>
      </c>
      <c r="G11" s="3" t="s">
        <v>113</v>
      </c>
      <c r="H11" s="3" t="s">
        <v>55</v>
      </c>
      <c r="I11" s="35">
        <v>56987143347</v>
      </c>
      <c r="J11" s="42" t="s">
        <v>114</v>
      </c>
      <c r="K11" s="42" t="s">
        <v>89</v>
      </c>
      <c r="L11" s="26" t="s">
        <v>190</v>
      </c>
      <c r="M11" s="26" t="s">
        <v>196</v>
      </c>
      <c r="N11" s="88">
        <f>SUMPRODUCT(Tabla5232[[#This Row],[Naranjas]:[Nueces]],O$45:T$45)</f>
        <v>87500</v>
      </c>
      <c r="O11" s="26">
        <v>0</v>
      </c>
      <c r="P11" s="26">
        <v>3</v>
      </c>
      <c r="Q11" s="26">
        <v>0</v>
      </c>
      <c r="R11" s="26">
        <v>4</v>
      </c>
      <c r="S11" s="26">
        <v>4</v>
      </c>
      <c r="T11" s="26">
        <v>4</v>
      </c>
      <c r="U11" s="26">
        <f>SUM(Tabla5232[[#This Row],[Naranjas]:[Nueces]])</f>
        <v>15</v>
      </c>
      <c r="V11" s="64" t="s">
        <v>46</v>
      </c>
    </row>
    <row r="12" spans="1:22" outlineLevel="1" x14ac:dyDescent="0.3">
      <c r="A12" s="247"/>
      <c r="B12" s="71" t="s">
        <v>199</v>
      </c>
      <c r="C12" s="3" t="s">
        <v>200</v>
      </c>
      <c r="D12" s="3" t="s">
        <v>201</v>
      </c>
      <c r="E12" s="3" t="s">
        <v>61</v>
      </c>
      <c r="F12" s="3" t="s">
        <v>86</v>
      </c>
      <c r="G12" s="3" t="s">
        <v>113</v>
      </c>
      <c r="H12" s="3" t="s">
        <v>55</v>
      </c>
      <c r="I12" s="35">
        <v>56968348679</v>
      </c>
      <c r="J12" s="42" t="s">
        <v>202</v>
      </c>
      <c r="K12" s="42" t="s">
        <v>119</v>
      </c>
      <c r="L12" s="93" t="s">
        <v>190</v>
      </c>
      <c r="M12" s="26" t="s">
        <v>190</v>
      </c>
      <c r="N12" s="88">
        <f>SUMPRODUCT(Tabla5232[[#This Row],[Naranjas]:[Nueces]],O$45:T$45)</f>
        <v>22500</v>
      </c>
      <c r="O12" s="93">
        <v>0</v>
      </c>
      <c r="P12" s="93">
        <v>3</v>
      </c>
      <c r="Q12" s="93">
        <v>0</v>
      </c>
      <c r="R12" s="93">
        <v>0</v>
      </c>
      <c r="S12" s="93">
        <v>2</v>
      </c>
      <c r="T12" s="93">
        <v>0</v>
      </c>
      <c r="U12" s="93">
        <f>SUM(Tabla5232[[#This Row],[Naranjas]:[Nueces]])</f>
        <v>5</v>
      </c>
      <c r="V12" s="101"/>
    </row>
    <row r="13" spans="1:22" outlineLevel="1" x14ac:dyDescent="0.3">
      <c r="A13" s="247"/>
      <c r="B13" s="71" t="s">
        <v>128</v>
      </c>
      <c r="C13" s="3" t="s">
        <v>158</v>
      </c>
      <c r="D13" s="3" t="s">
        <v>159</v>
      </c>
      <c r="E13" s="3" t="s">
        <v>52</v>
      </c>
      <c r="F13" s="3" t="s">
        <v>97</v>
      </c>
      <c r="G13" s="3" t="s">
        <v>63</v>
      </c>
      <c r="H13" s="3" t="s">
        <v>55</v>
      </c>
      <c r="I13" s="35">
        <v>56967898535</v>
      </c>
      <c r="J13" s="42" t="s">
        <v>160</v>
      </c>
      <c r="K13" s="42" t="s">
        <v>119</v>
      </c>
      <c r="L13" s="26" t="s">
        <v>190</v>
      </c>
      <c r="M13" s="26" t="s">
        <v>190</v>
      </c>
      <c r="N13" s="88">
        <f>SUMPRODUCT(Tabla5232[[#This Row],[Naranjas]:[Nueces]],O$45:T$45)</f>
        <v>79900</v>
      </c>
      <c r="O13" s="26">
        <v>0</v>
      </c>
      <c r="P13" s="26">
        <v>1</v>
      </c>
      <c r="Q13" s="26">
        <v>12</v>
      </c>
      <c r="R13" s="26">
        <v>0</v>
      </c>
      <c r="S13" s="26">
        <v>3</v>
      </c>
      <c r="T13" s="26">
        <v>1</v>
      </c>
      <c r="U13" s="26">
        <f>SUM(Tabla5232[[#This Row],[Naranjas]:[Nueces]])</f>
        <v>17</v>
      </c>
      <c r="V13" s="64"/>
    </row>
    <row r="14" spans="1:22" outlineLevel="1" x14ac:dyDescent="0.3">
      <c r="A14" s="247"/>
      <c r="B14" s="71" t="s">
        <v>115</v>
      </c>
      <c r="C14" s="3" t="s">
        <v>116</v>
      </c>
      <c r="D14" s="3" t="s">
        <v>117</v>
      </c>
      <c r="E14" s="3" t="s">
        <v>52</v>
      </c>
      <c r="F14" s="3" t="s">
        <v>53</v>
      </c>
      <c r="G14" s="3" t="s">
        <v>69</v>
      </c>
      <c r="H14" s="3" t="s">
        <v>55</v>
      </c>
      <c r="I14" s="35">
        <v>56966477967</v>
      </c>
      <c r="J14" s="42" t="s">
        <v>118</v>
      </c>
      <c r="K14" s="42" t="s">
        <v>119</v>
      </c>
      <c r="L14" s="26" t="s">
        <v>190</v>
      </c>
      <c r="M14" s="26" t="s">
        <v>190</v>
      </c>
      <c r="N14" s="88">
        <f>SUMPRODUCT(Tabla5232[[#This Row],[Naranjas]:[Nueces]],O$45:T$45)</f>
        <v>102100</v>
      </c>
      <c r="O14" s="26">
        <v>0</v>
      </c>
      <c r="P14" s="26">
        <v>4</v>
      </c>
      <c r="Q14" s="26">
        <v>8</v>
      </c>
      <c r="R14" s="26">
        <v>1</v>
      </c>
      <c r="S14" s="26">
        <v>6</v>
      </c>
      <c r="T14" s="26">
        <v>2</v>
      </c>
      <c r="U14" s="26">
        <f>SUM(Tabla5232[[#This Row],[Naranjas]:[Nueces]])</f>
        <v>21</v>
      </c>
      <c r="V14" s="64" t="s">
        <v>47</v>
      </c>
    </row>
    <row r="15" spans="1:22" outlineLevel="1" x14ac:dyDescent="0.3">
      <c r="A15" s="247"/>
      <c r="B15" s="71" t="s">
        <v>128</v>
      </c>
      <c r="C15" s="3" t="s">
        <v>129</v>
      </c>
      <c r="D15" s="3" t="s">
        <v>130</v>
      </c>
      <c r="E15" s="3" t="s">
        <v>52</v>
      </c>
      <c r="F15" s="3" t="s">
        <v>97</v>
      </c>
      <c r="G15" s="3" t="s">
        <v>131</v>
      </c>
      <c r="H15" s="3" t="s">
        <v>55</v>
      </c>
      <c r="I15" s="35">
        <v>56993333225</v>
      </c>
      <c r="J15" s="42" t="s">
        <v>132</v>
      </c>
      <c r="K15" s="42" t="s">
        <v>119</v>
      </c>
      <c r="L15" s="26" t="s">
        <v>190</v>
      </c>
      <c r="M15" s="26" t="s">
        <v>190</v>
      </c>
      <c r="N15" s="88">
        <f>SUMPRODUCT(Tabla5232[[#This Row],[Naranjas]:[Nueces]],O$45:T$45)</f>
        <v>20000</v>
      </c>
      <c r="O15" s="26">
        <v>0</v>
      </c>
      <c r="P15" s="26">
        <v>1</v>
      </c>
      <c r="Q15" s="26">
        <v>0</v>
      </c>
      <c r="R15" s="26">
        <v>0</v>
      </c>
      <c r="S15" s="26">
        <v>1</v>
      </c>
      <c r="T15" s="26">
        <v>2</v>
      </c>
      <c r="U15" s="26">
        <f>SUM(Tabla5232[[#This Row],[Naranjas]:[Nueces]])</f>
        <v>4</v>
      </c>
      <c r="V15" s="64"/>
    </row>
    <row r="16" spans="1:22" outlineLevel="1" x14ac:dyDescent="0.3">
      <c r="A16" s="247"/>
      <c r="B16" s="71" t="s">
        <v>161</v>
      </c>
      <c r="C16" s="3" t="s">
        <v>162</v>
      </c>
      <c r="D16" s="3" t="s">
        <v>163</v>
      </c>
      <c r="E16" s="3" t="s">
        <v>52</v>
      </c>
      <c r="F16" s="3" t="s">
        <v>53</v>
      </c>
      <c r="G16" s="3" t="s">
        <v>63</v>
      </c>
      <c r="H16" s="3" t="s">
        <v>55</v>
      </c>
      <c r="I16" s="35">
        <v>56991889995</v>
      </c>
      <c r="J16" s="42" t="s">
        <v>164</v>
      </c>
      <c r="K16" s="42" t="s">
        <v>119</v>
      </c>
      <c r="L16" s="26" t="s">
        <v>190</v>
      </c>
      <c r="M16" s="26" t="s">
        <v>190</v>
      </c>
      <c r="N16" s="88">
        <f>SUMPRODUCT(Tabla5232[[#This Row],[Naranjas]:[Nueces]],O$45:T$45)</f>
        <v>124800</v>
      </c>
      <c r="O16" s="26">
        <v>1</v>
      </c>
      <c r="P16" s="26">
        <v>5</v>
      </c>
      <c r="Q16" s="26">
        <v>9</v>
      </c>
      <c r="R16" s="26">
        <v>4</v>
      </c>
      <c r="S16" s="26">
        <v>4</v>
      </c>
      <c r="T16" s="26">
        <v>1</v>
      </c>
      <c r="U16" s="26">
        <f>SUM(Tabla5232[[#This Row],[Naranjas]:[Nueces]])</f>
        <v>24</v>
      </c>
      <c r="V16" s="64"/>
    </row>
    <row r="17" spans="1:22" outlineLevel="1" x14ac:dyDescent="0.3">
      <c r="A17" s="247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88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3">
      <c r="A18" s="247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88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3">
      <c r="A19" s="247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93" t="s">
        <v>190</v>
      </c>
      <c r="M19" s="26" t="s">
        <v>190</v>
      </c>
      <c r="N19" s="88">
        <f>SUMPRODUCT(Tabla5232[[#This Row],[Naranjas]:[Nueces]],O$45:T$45)</f>
        <v>31800</v>
      </c>
      <c r="O19" s="93">
        <v>0</v>
      </c>
      <c r="P19" s="93">
        <v>1</v>
      </c>
      <c r="Q19" s="93">
        <v>4</v>
      </c>
      <c r="R19" s="93">
        <v>1</v>
      </c>
      <c r="S19" s="93">
        <v>0</v>
      </c>
      <c r="T19" s="93">
        <v>0</v>
      </c>
      <c r="U19" s="93">
        <f>SUM(Tabla5232[[#This Row],[Naranjas]:[Nueces]])</f>
        <v>6</v>
      </c>
      <c r="V19" s="101" t="s">
        <v>46</v>
      </c>
    </row>
    <row r="20" spans="1:22" outlineLevel="1" x14ac:dyDescent="0.3">
      <c r="A20" s="247"/>
      <c r="B20" s="71" t="s">
        <v>120</v>
      </c>
      <c r="C20" s="88" t="s">
        <v>121</v>
      </c>
      <c r="D20" s="88" t="s">
        <v>122</v>
      </c>
      <c r="E20" s="88" t="s">
        <v>80</v>
      </c>
      <c r="F20" s="88" t="s">
        <v>81</v>
      </c>
      <c r="G20" s="88" t="s">
        <v>63</v>
      </c>
      <c r="H20" s="88" t="s">
        <v>55</v>
      </c>
      <c r="I20" s="94">
        <v>56978785698</v>
      </c>
      <c r="J20" s="42" t="s">
        <v>123</v>
      </c>
      <c r="K20" s="42" t="s">
        <v>57</v>
      </c>
      <c r="L20" s="93" t="s">
        <v>190</v>
      </c>
      <c r="M20" s="93" t="s">
        <v>190</v>
      </c>
      <c r="N20" s="88">
        <f>SUMPRODUCT(Tabla5232[[#This Row],[Naranjas]:[Nueces]],O$45:T$45)</f>
        <v>15700</v>
      </c>
      <c r="O20" s="93">
        <v>0</v>
      </c>
      <c r="P20" s="93">
        <v>0</v>
      </c>
      <c r="Q20" s="93">
        <v>1</v>
      </c>
      <c r="R20" s="93">
        <v>0</v>
      </c>
      <c r="S20" s="93">
        <v>0</v>
      </c>
      <c r="T20" s="93">
        <v>2</v>
      </c>
      <c r="U20" s="26">
        <f>SUM(Tabla5232[[#This Row],[Naranjas]:[Nueces]])</f>
        <v>3</v>
      </c>
      <c r="V20" s="101"/>
    </row>
    <row r="21" spans="1:22" outlineLevel="1" x14ac:dyDescent="0.3">
      <c r="A21" s="247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88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3">
      <c r="A22" s="247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88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3">
      <c r="A23" s="247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93" t="s">
        <v>190</v>
      </c>
      <c r="M23" s="26" t="s">
        <v>190</v>
      </c>
      <c r="N23" s="88">
        <f>SUMPRODUCT(Tabla5232[[#This Row],[Naranjas]:[Nueces]],O$45:T$45)</f>
        <v>40900</v>
      </c>
      <c r="O23" s="93">
        <v>0</v>
      </c>
      <c r="P23" s="93">
        <v>1</v>
      </c>
      <c r="Q23" s="93">
        <v>2</v>
      </c>
      <c r="R23" s="93">
        <v>2</v>
      </c>
      <c r="S23" s="93">
        <v>1</v>
      </c>
      <c r="T23" s="93">
        <v>1</v>
      </c>
      <c r="U23" s="93">
        <f>SUM(Tabla5232[[#This Row],[Naranjas]:[Nueces]])</f>
        <v>7</v>
      </c>
      <c r="V23" s="101" t="s">
        <v>46</v>
      </c>
    </row>
    <row r="24" spans="1:22" outlineLevel="1" x14ac:dyDescent="0.3">
      <c r="A24" s="247"/>
      <c r="B24" s="71" t="s">
        <v>65</v>
      </c>
      <c r="C24" s="88" t="s">
        <v>66</v>
      </c>
      <c r="D24" s="88" t="s">
        <v>67</v>
      </c>
      <c r="E24" s="88" t="s">
        <v>61</v>
      </c>
      <c r="F24" s="88" t="s">
        <v>68</v>
      </c>
      <c r="G24" s="88" t="s">
        <v>69</v>
      </c>
      <c r="H24" s="88" t="s">
        <v>55</v>
      </c>
      <c r="I24" s="94">
        <v>56977684576</v>
      </c>
      <c r="J24" s="42" t="s">
        <v>70</v>
      </c>
      <c r="K24" s="42" t="s">
        <v>57</v>
      </c>
      <c r="L24" s="93" t="s">
        <v>190</v>
      </c>
      <c r="M24" s="93" t="s">
        <v>190</v>
      </c>
      <c r="N24" s="88">
        <f>SUMPRODUCT(Tabla5232[[#This Row],[Naranjas]:[Nueces]],O$45:T$45)</f>
        <v>41000</v>
      </c>
      <c r="O24" s="93">
        <v>0</v>
      </c>
      <c r="P24" s="93">
        <v>2</v>
      </c>
      <c r="Q24" s="93">
        <v>5</v>
      </c>
      <c r="R24" s="93">
        <v>1</v>
      </c>
      <c r="S24" s="93">
        <v>0</v>
      </c>
      <c r="T24" s="93">
        <v>0</v>
      </c>
      <c r="U24" s="26">
        <f>SUM(Tabla5232[[#This Row],[Naranjas]:[Nueces]])</f>
        <v>8</v>
      </c>
      <c r="V24" s="101" t="s">
        <v>46</v>
      </c>
    </row>
    <row r="25" spans="1:22" outlineLevel="1" x14ac:dyDescent="0.3">
      <c r="A25" s="247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93" t="s">
        <v>190</v>
      </c>
      <c r="M25" s="26" t="s">
        <v>190</v>
      </c>
      <c r="N25" s="88">
        <f>SUMPRODUCT(Tabla5232[[#This Row],[Naranjas]:[Nueces]],O$45:T$45)</f>
        <v>41100</v>
      </c>
      <c r="O25" s="93">
        <v>0</v>
      </c>
      <c r="P25" s="93">
        <v>0</v>
      </c>
      <c r="Q25" s="93">
        <v>3</v>
      </c>
      <c r="R25" s="93">
        <v>2</v>
      </c>
      <c r="S25" s="93">
        <v>1</v>
      </c>
      <c r="T25" s="93">
        <v>1</v>
      </c>
      <c r="U25" s="93">
        <f>SUM(Tabla5232[[#This Row],[Naranjas]:[Nueces]])</f>
        <v>7</v>
      </c>
      <c r="V25" s="101" t="s">
        <v>46</v>
      </c>
    </row>
    <row r="26" spans="1:22" outlineLevel="1" x14ac:dyDescent="0.3">
      <c r="A26" s="247"/>
      <c r="B26" s="71" t="s">
        <v>90</v>
      </c>
      <c r="C26" s="3" t="s">
        <v>95</v>
      </c>
      <c r="D26" s="3" t="s">
        <v>96</v>
      </c>
      <c r="E26" s="3" t="s">
        <v>52</v>
      </c>
      <c r="F26" s="3" t="s">
        <v>97</v>
      </c>
      <c r="G26" s="3" t="s">
        <v>98</v>
      </c>
      <c r="H26" s="3" t="s">
        <v>55</v>
      </c>
      <c r="I26" s="35">
        <v>56971837517</v>
      </c>
      <c r="J26" s="42" t="s">
        <v>99</v>
      </c>
      <c r="K26" s="42" t="s">
        <v>57</v>
      </c>
      <c r="L26" s="26" t="s">
        <v>190</v>
      </c>
      <c r="M26" s="26" t="s">
        <v>190</v>
      </c>
      <c r="N26" s="88">
        <f>SUMPRODUCT(Tabla5232[[#This Row],[Naranjas]:[Nueces]],O$45:T$45)</f>
        <v>53100</v>
      </c>
      <c r="O26" s="26">
        <v>0</v>
      </c>
      <c r="P26" s="26">
        <v>2</v>
      </c>
      <c r="Q26" s="26">
        <v>3</v>
      </c>
      <c r="R26" s="26">
        <v>3</v>
      </c>
      <c r="S26" s="26">
        <v>1</v>
      </c>
      <c r="T26" s="26">
        <v>0</v>
      </c>
      <c r="U26" s="26">
        <f>SUM(Tabla5232[[#This Row],[Naranjas]:[Nueces]])</f>
        <v>9</v>
      </c>
      <c r="V26" s="64" t="s">
        <v>46</v>
      </c>
    </row>
    <row r="27" spans="1:22" outlineLevel="1" x14ac:dyDescent="0.3">
      <c r="A27" s="247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88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3">
      <c r="A28" s="247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88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3">
      <c r="A29" s="247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88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3">
      <c r="A30" s="247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88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3">
      <c r="A31" s="247"/>
      <c r="B31" s="71" t="s">
        <v>100</v>
      </c>
      <c r="C31" s="88" t="s">
        <v>101</v>
      </c>
      <c r="D31" s="88" t="s">
        <v>102</v>
      </c>
      <c r="E31" s="88" t="s">
        <v>52</v>
      </c>
      <c r="F31" s="88" t="s">
        <v>97</v>
      </c>
      <c r="G31" s="88" t="s">
        <v>103</v>
      </c>
      <c r="H31" s="88" t="s">
        <v>55</v>
      </c>
      <c r="I31" s="94">
        <v>56966640363</v>
      </c>
      <c r="J31" s="42" t="s">
        <v>104</v>
      </c>
      <c r="K31" s="42" t="s">
        <v>89</v>
      </c>
      <c r="L31" s="93" t="s">
        <v>190</v>
      </c>
      <c r="M31" s="93" t="s">
        <v>190</v>
      </c>
      <c r="N31" s="88">
        <f>SUMPRODUCT(Tabla5232[[#This Row],[Naranjas]:[Nueces]],O$45:T$45)</f>
        <v>64000</v>
      </c>
      <c r="O31" s="93">
        <v>0</v>
      </c>
      <c r="P31" s="93">
        <v>3</v>
      </c>
      <c r="Q31" s="93">
        <v>5</v>
      </c>
      <c r="R31" s="93">
        <v>2</v>
      </c>
      <c r="S31" s="93">
        <v>1</v>
      </c>
      <c r="T31" s="93">
        <v>1</v>
      </c>
      <c r="U31" s="26">
        <f>SUM(Tabla5232[[#This Row],[Naranjas]:[Nueces]])</f>
        <v>12</v>
      </c>
      <c r="V31" s="101" t="s">
        <v>191</v>
      </c>
    </row>
    <row r="32" spans="1:22" outlineLevel="1" x14ac:dyDescent="0.3">
      <c r="A32" s="247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88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3">
      <c r="A33" s="247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93" t="s">
        <v>190</v>
      </c>
      <c r="M33" s="26" t="s">
        <v>190</v>
      </c>
      <c r="N33" s="88">
        <f>SUMPRODUCT(Tabla5232[[#This Row],[Naranjas]:[Nueces]],O$45:T$45)</f>
        <v>122200</v>
      </c>
      <c r="O33" s="93">
        <v>0</v>
      </c>
      <c r="P33" s="93">
        <v>0</v>
      </c>
      <c r="Q33" s="93">
        <v>26</v>
      </c>
      <c r="R33" s="93">
        <v>0</v>
      </c>
      <c r="S33" s="93">
        <v>0</v>
      </c>
      <c r="T33" s="93">
        <v>0</v>
      </c>
      <c r="U33" s="93">
        <f>SUM(Tabla5232[[#This Row],[Naranjas]:[Nueces]])</f>
        <v>26</v>
      </c>
      <c r="V33" s="101"/>
    </row>
    <row r="34" spans="1:22" outlineLevel="1" x14ac:dyDescent="0.3">
      <c r="A34" s="247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102" t="s">
        <v>190</v>
      </c>
      <c r="M34" s="26" t="s">
        <v>190</v>
      </c>
      <c r="N34" s="88">
        <f>SUMPRODUCT(Tabla5232[[#This Row],[Naranjas]:[Nueces]],O$45:T$45)</f>
        <v>153600</v>
      </c>
      <c r="O34" s="102">
        <v>0</v>
      </c>
      <c r="P34" s="102">
        <v>8</v>
      </c>
      <c r="Q34" s="102">
        <v>13</v>
      </c>
      <c r="R34" s="102">
        <v>4</v>
      </c>
      <c r="S34" s="102">
        <v>5</v>
      </c>
      <c r="T34" s="102">
        <v>0</v>
      </c>
      <c r="U34" s="102">
        <f>SUM(Tabla5232[[#This Row],[Naranjas]:[Nueces]])</f>
        <v>30</v>
      </c>
      <c r="V34" s="103"/>
    </row>
    <row r="35" spans="1:22" ht="15" outlineLevel="1" thickBot="1" x14ac:dyDescent="0.35">
      <c r="A35" s="248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102" t="s">
        <v>190</v>
      </c>
      <c r="M35" s="26" t="s">
        <v>190</v>
      </c>
      <c r="N35" s="88">
        <f>SUMPRODUCT(Tabla5232[[#This Row],[Naranjas]:[Nueces]],O$45:T$45)</f>
        <v>178200</v>
      </c>
      <c r="O35" s="102">
        <v>0</v>
      </c>
      <c r="P35" s="102">
        <v>15</v>
      </c>
      <c r="Q35" s="102">
        <v>11</v>
      </c>
      <c r="R35" s="102">
        <v>3</v>
      </c>
      <c r="S35" s="102">
        <v>5</v>
      </c>
      <c r="T35" s="102">
        <v>2</v>
      </c>
      <c r="U35" s="102">
        <f>SUM(Tabla5232[[#This Row],[Naranjas]:[Nueces]])</f>
        <v>36</v>
      </c>
      <c r="V35" s="103"/>
    </row>
    <row r="36" spans="1:22" outlineLevel="1" x14ac:dyDescent="0.3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" thickBot="1" x14ac:dyDescent="0.35"/>
    <row r="38" spans="1:22" ht="14.7" customHeight="1" thickBot="1" x14ac:dyDescent="0.35">
      <c r="A38" s="213" t="s">
        <v>21</v>
      </c>
      <c r="B38" s="195" t="s">
        <v>7</v>
      </c>
      <c r="C38" s="196"/>
      <c r="D38" s="196"/>
      <c r="E38" s="196"/>
      <c r="F38" s="196"/>
      <c r="G38" s="196"/>
      <c r="H38" s="196"/>
      <c r="I38" s="196"/>
      <c r="J38" s="196"/>
      <c r="K38" s="196"/>
      <c r="L38" s="197"/>
      <c r="M38" s="113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7" customHeight="1" thickBot="1" x14ac:dyDescent="0.35">
      <c r="A39" s="214"/>
      <c r="B39" s="204"/>
      <c r="C39" s="205"/>
      <c r="D39" s="205"/>
      <c r="E39" s="205"/>
      <c r="F39" s="205"/>
      <c r="G39" s="205"/>
      <c r="H39" s="205"/>
      <c r="I39" s="205"/>
      <c r="J39" s="205"/>
      <c r="K39" s="205"/>
      <c r="L39" s="206"/>
      <c r="M39" s="114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7" customHeight="1" thickBot="1" x14ac:dyDescent="0.35">
      <c r="A40" s="214"/>
      <c r="B40" s="204"/>
      <c r="C40" s="205"/>
      <c r="D40" s="205"/>
      <c r="E40" s="205"/>
      <c r="F40" s="205"/>
      <c r="G40" s="205"/>
      <c r="H40" s="205"/>
      <c r="I40" s="205"/>
      <c r="J40" s="205"/>
      <c r="K40" s="205"/>
      <c r="L40" s="206"/>
      <c r="M40" s="114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" thickBot="1" x14ac:dyDescent="0.35">
      <c r="A41" s="214"/>
      <c r="B41" s="198"/>
      <c r="C41" s="199"/>
      <c r="D41" s="199"/>
      <c r="E41" s="199"/>
      <c r="F41" s="199"/>
      <c r="G41" s="199"/>
      <c r="H41" s="199"/>
      <c r="I41" s="199"/>
      <c r="J41" s="199"/>
      <c r="K41" s="199"/>
      <c r="L41" s="200"/>
      <c r="M41" s="115"/>
      <c r="N41" s="67" t="s">
        <v>10</v>
      </c>
      <c r="O41" s="16"/>
      <c r="P41" s="27"/>
      <c r="Q41" s="27"/>
      <c r="R41" s="27"/>
      <c r="S41" s="27"/>
      <c r="T41" s="20"/>
    </row>
    <row r="42" spans="1:22" ht="15" thickBot="1" x14ac:dyDescent="0.35">
      <c r="A42" s="214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" thickBot="1" x14ac:dyDescent="0.35">
      <c r="A43" s="214"/>
      <c r="B43" s="195" t="s">
        <v>13</v>
      </c>
      <c r="C43" s="196"/>
      <c r="D43" s="196"/>
      <c r="E43" s="196"/>
      <c r="F43" s="196"/>
      <c r="G43" s="196"/>
      <c r="H43" s="196"/>
      <c r="I43" s="196"/>
      <c r="J43" s="196"/>
      <c r="K43" s="196"/>
      <c r="L43" s="197"/>
      <c r="M43" s="113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" thickBot="1" x14ac:dyDescent="0.35">
      <c r="A44" s="214"/>
      <c r="B44" s="204"/>
      <c r="C44" s="205"/>
      <c r="D44" s="205"/>
      <c r="E44" s="205"/>
      <c r="F44" s="205"/>
      <c r="G44" s="205"/>
      <c r="H44" s="205"/>
      <c r="I44" s="205"/>
      <c r="J44" s="205"/>
      <c r="K44" s="205"/>
      <c r="L44" s="206"/>
      <c r="M44" s="114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" thickBot="1" x14ac:dyDescent="0.35">
      <c r="A45" s="214"/>
      <c r="B45" s="198"/>
      <c r="C45" s="199"/>
      <c r="D45" s="199"/>
      <c r="E45" s="199"/>
      <c r="F45" s="199"/>
      <c r="G45" s="199"/>
      <c r="H45" s="199"/>
      <c r="I45" s="199"/>
      <c r="J45" s="199"/>
      <c r="K45" s="199"/>
      <c r="L45" s="200"/>
      <c r="M45" s="115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" thickBot="1" x14ac:dyDescent="0.35">
      <c r="A46" s="214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7" customHeight="1" thickBot="1" x14ac:dyDescent="0.35">
      <c r="A47" s="214"/>
      <c r="B47" s="195" t="s">
        <v>16</v>
      </c>
      <c r="C47" s="196"/>
      <c r="D47" s="196"/>
      <c r="E47" s="196"/>
      <c r="F47" s="196"/>
      <c r="G47" s="196"/>
      <c r="H47" s="196"/>
      <c r="I47" s="196"/>
      <c r="J47" s="196"/>
      <c r="K47" s="196"/>
      <c r="L47" s="197"/>
      <c r="M47" s="113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" thickBot="1" x14ac:dyDescent="0.35">
      <c r="A48" s="214"/>
      <c r="B48" s="198"/>
      <c r="C48" s="199"/>
      <c r="D48" s="199"/>
      <c r="E48" s="199"/>
      <c r="F48" s="199"/>
      <c r="G48" s="199"/>
      <c r="H48" s="199"/>
      <c r="I48" s="199"/>
      <c r="J48" s="199"/>
      <c r="K48" s="199"/>
      <c r="L48" s="200"/>
      <c r="M48" s="115"/>
      <c r="N48" s="67" t="s">
        <v>17</v>
      </c>
      <c r="O48" s="216">
        <f>SUM(O47:T47)</f>
        <v>1431571</v>
      </c>
      <c r="P48" s="217"/>
      <c r="Q48" s="217"/>
      <c r="R48" s="217"/>
      <c r="S48" s="217"/>
      <c r="T48" s="218"/>
    </row>
    <row r="49" spans="1:20" ht="15" thickBot="1" x14ac:dyDescent="0.35">
      <c r="A49" s="214"/>
      <c r="B49" s="195" t="s">
        <v>18</v>
      </c>
      <c r="C49" s="196"/>
      <c r="D49" s="196"/>
      <c r="E49" s="196"/>
      <c r="F49" s="196"/>
      <c r="G49" s="196"/>
      <c r="H49" s="196"/>
      <c r="I49" s="196"/>
      <c r="J49" s="196"/>
      <c r="K49" s="196"/>
      <c r="L49" s="197"/>
      <c r="M49" s="113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" thickBot="1" x14ac:dyDescent="0.35">
      <c r="A50" s="214"/>
      <c r="B50" s="198"/>
      <c r="C50" s="199"/>
      <c r="D50" s="199"/>
      <c r="E50" s="199"/>
      <c r="F50" s="199"/>
      <c r="G50" s="199"/>
      <c r="H50" s="199"/>
      <c r="I50" s="199"/>
      <c r="J50" s="199"/>
      <c r="K50" s="199"/>
      <c r="L50" s="200"/>
      <c r="M50" s="115"/>
      <c r="N50" s="67" t="s">
        <v>17</v>
      </c>
      <c r="O50" s="216">
        <f>SUM(O49:T49)</f>
        <v>2257100</v>
      </c>
      <c r="P50" s="217"/>
      <c r="Q50" s="217"/>
      <c r="R50" s="217"/>
      <c r="S50" s="217"/>
      <c r="T50" s="218"/>
    </row>
    <row r="51" spans="1:20" ht="14.7" customHeight="1" thickBot="1" x14ac:dyDescent="0.35">
      <c r="A51" s="214"/>
      <c r="B51" s="195" t="s">
        <v>19</v>
      </c>
      <c r="C51" s="196"/>
      <c r="D51" s="196"/>
      <c r="E51" s="196"/>
      <c r="F51" s="196"/>
      <c r="G51" s="196"/>
      <c r="H51" s="196"/>
      <c r="I51" s="196"/>
      <c r="J51" s="196"/>
      <c r="K51" s="196"/>
      <c r="L51" s="197"/>
      <c r="M51" s="113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7" customHeight="1" thickBot="1" x14ac:dyDescent="0.35">
      <c r="A52" s="214"/>
      <c r="B52" s="198"/>
      <c r="C52" s="199"/>
      <c r="D52" s="199"/>
      <c r="E52" s="199"/>
      <c r="F52" s="199"/>
      <c r="G52" s="199"/>
      <c r="H52" s="199"/>
      <c r="I52" s="199"/>
      <c r="J52" s="199"/>
      <c r="K52" s="199"/>
      <c r="L52" s="200"/>
      <c r="M52" s="115"/>
      <c r="N52" s="67" t="s">
        <v>31</v>
      </c>
      <c r="O52" s="231">
        <f>SUM(O51:T51)</f>
        <v>825529</v>
      </c>
      <c r="P52" s="232"/>
      <c r="Q52" s="232"/>
      <c r="R52" s="232"/>
      <c r="S52" s="232"/>
      <c r="T52" s="233"/>
    </row>
    <row r="53" spans="1:20" ht="15" thickBot="1" x14ac:dyDescent="0.35">
      <c r="A53" s="214"/>
    </row>
    <row r="54" spans="1:20" ht="14.7" customHeight="1" thickBot="1" x14ac:dyDescent="0.35">
      <c r="A54" s="214"/>
      <c r="B54" s="234" t="s">
        <v>27</v>
      </c>
      <c r="C54" s="235"/>
      <c r="D54" s="235"/>
      <c r="E54" s="235"/>
      <c r="F54" s="235"/>
      <c r="G54" s="235"/>
      <c r="H54" s="235"/>
      <c r="I54" s="235"/>
      <c r="J54" s="235"/>
      <c r="K54" s="235"/>
      <c r="L54" s="235"/>
      <c r="M54" s="235"/>
      <c r="N54" s="236"/>
      <c r="O54" s="225" t="s">
        <v>28</v>
      </c>
      <c r="P54" s="226"/>
      <c r="Q54" s="227"/>
      <c r="R54" s="44" t="s">
        <v>29</v>
      </c>
      <c r="S54" s="11"/>
      <c r="T54" s="11"/>
    </row>
    <row r="55" spans="1:20" ht="15" customHeight="1" x14ac:dyDescent="0.3">
      <c r="A55" s="214"/>
      <c r="B55" s="237"/>
      <c r="C55" s="238"/>
      <c r="D55" s="238"/>
      <c r="E55" s="238"/>
      <c r="F55" s="238"/>
      <c r="G55" s="238"/>
      <c r="H55" s="238"/>
      <c r="I55" s="238"/>
      <c r="J55" s="238"/>
      <c r="K55" s="238"/>
      <c r="L55" s="238"/>
      <c r="M55" s="238"/>
      <c r="N55" s="239"/>
      <c r="O55" s="243" t="s">
        <v>48</v>
      </c>
      <c r="P55" s="244"/>
      <c r="Q55" s="245"/>
      <c r="R55" s="52">
        <v>30000</v>
      </c>
      <c r="S55" s="12"/>
      <c r="T55" s="12"/>
    </row>
    <row r="56" spans="1:20" ht="15" customHeight="1" x14ac:dyDescent="0.3">
      <c r="A56" s="214"/>
      <c r="B56" s="237"/>
      <c r="C56" s="238"/>
      <c r="D56" s="238"/>
      <c r="E56" s="238"/>
      <c r="F56" s="238"/>
      <c r="G56" s="238"/>
      <c r="H56" s="238"/>
      <c r="I56" s="238"/>
      <c r="J56" s="238"/>
      <c r="K56" s="238"/>
      <c r="L56" s="238"/>
      <c r="M56" s="238"/>
      <c r="N56" s="239"/>
      <c r="O56" s="192" t="s">
        <v>115</v>
      </c>
      <c r="P56" s="193"/>
      <c r="Q56" s="194"/>
      <c r="R56" s="53">
        <v>50000</v>
      </c>
      <c r="S56" s="12"/>
      <c r="T56" s="12"/>
    </row>
    <row r="57" spans="1:20" ht="15" customHeight="1" x14ac:dyDescent="0.3">
      <c r="A57" s="214"/>
      <c r="B57" s="237"/>
      <c r="C57" s="238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9"/>
      <c r="O57" s="192" t="s">
        <v>192</v>
      </c>
      <c r="P57" s="193"/>
      <c r="Q57" s="194"/>
      <c r="R57" s="53">
        <v>30000</v>
      </c>
      <c r="S57" s="12"/>
      <c r="T57" s="12"/>
    </row>
    <row r="58" spans="1:20" ht="15" customHeight="1" x14ac:dyDescent="0.3">
      <c r="A58" s="214"/>
      <c r="B58" s="237"/>
      <c r="C58" s="238"/>
      <c r="D58" s="238"/>
      <c r="E58" s="238"/>
      <c r="F58" s="238"/>
      <c r="G58" s="238"/>
      <c r="H58" s="238"/>
      <c r="I58" s="238"/>
      <c r="J58" s="238"/>
      <c r="K58" s="238"/>
      <c r="L58" s="238"/>
      <c r="M58" s="238"/>
      <c r="N58" s="239"/>
      <c r="O58" s="192" t="s">
        <v>193</v>
      </c>
      <c r="P58" s="193"/>
      <c r="Q58" s="194"/>
      <c r="R58" s="53">
        <v>30000</v>
      </c>
      <c r="S58" s="12"/>
      <c r="T58" s="12"/>
    </row>
    <row r="59" spans="1:20" ht="15" customHeight="1" x14ac:dyDescent="0.3">
      <c r="A59" s="214"/>
      <c r="B59" s="237"/>
      <c r="C59" s="238"/>
      <c r="D59" s="238"/>
      <c r="E59" s="238"/>
      <c r="F59" s="238"/>
      <c r="G59" s="238"/>
      <c r="H59" s="238"/>
      <c r="I59" s="238"/>
      <c r="J59" s="238"/>
      <c r="K59" s="238"/>
      <c r="L59" s="238"/>
      <c r="M59" s="238"/>
      <c r="N59" s="239"/>
      <c r="O59" s="192" t="s">
        <v>194</v>
      </c>
      <c r="P59" s="193"/>
      <c r="Q59" s="194"/>
      <c r="R59" s="53">
        <v>30000</v>
      </c>
      <c r="S59" s="12"/>
      <c r="T59" s="12"/>
    </row>
    <row r="60" spans="1:20" ht="15" customHeight="1" x14ac:dyDescent="0.3">
      <c r="A60" s="214"/>
      <c r="B60" s="237"/>
      <c r="C60" s="238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9"/>
      <c r="O60" s="192" t="s">
        <v>195</v>
      </c>
      <c r="P60" s="193"/>
      <c r="Q60" s="194"/>
      <c r="R60" s="53">
        <v>50000</v>
      </c>
      <c r="S60" s="12"/>
      <c r="T60" s="12"/>
    </row>
    <row r="61" spans="1:20" ht="15" customHeight="1" thickBot="1" x14ac:dyDescent="0.35">
      <c r="A61" s="214"/>
      <c r="B61" s="237"/>
      <c r="C61" s="238"/>
      <c r="D61" s="238"/>
      <c r="E61" s="238"/>
      <c r="F61" s="238"/>
      <c r="G61" s="238"/>
      <c r="H61" s="238"/>
      <c r="I61" s="238"/>
      <c r="J61" s="238"/>
      <c r="K61" s="238"/>
      <c r="L61" s="238"/>
      <c r="M61" s="238"/>
      <c r="N61" s="239"/>
      <c r="O61" s="219"/>
      <c r="P61" s="220"/>
      <c r="Q61" s="221"/>
      <c r="R61" s="53"/>
      <c r="S61" s="12"/>
      <c r="T61" s="12"/>
    </row>
    <row r="62" spans="1:20" ht="15.75" customHeight="1" thickBot="1" x14ac:dyDescent="0.35">
      <c r="A62" s="214"/>
      <c r="B62" s="240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2"/>
      <c r="O62" s="222" t="s">
        <v>17</v>
      </c>
      <c r="P62" s="223"/>
      <c r="Q62" s="224"/>
      <c r="R62" s="54">
        <f>SUM(R55:R61)</f>
        <v>220000</v>
      </c>
      <c r="S62" s="12"/>
      <c r="T62" s="12"/>
    </row>
    <row r="63" spans="1:20" ht="15" thickBot="1" x14ac:dyDescent="0.35">
      <c r="A63" s="214"/>
    </row>
    <row r="64" spans="1:20" ht="51.75" customHeight="1" thickBot="1" x14ac:dyDescent="0.35">
      <c r="A64" s="215"/>
      <c r="B64" s="225" t="s">
        <v>19</v>
      </c>
      <c r="C64" s="226"/>
      <c r="D64" s="226"/>
      <c r="E64" s="226"/>
      <c r="F64" s="226"/>
      <c r="G64" s="226"/>
      <c r="H64" s="226"/>
      <c r="I64" s="226"/>
      <c r="J64" s="226"/>
      <c r="K64" s="226"/>
      <c r="L64" s="227"/>
      <c r="M64" s="116"/>
      <c r="N64" s="66" t="s">
        <v>17</v>
      </c>
      <c r="O64" s="228">
        <f>O52-SUM(R55:R61)</f>
        <v>605529</v>
      </c>
      <c r="P64" s="229"/>
      <c r="Q64" s="229"/>
      <c r="R64" s="229"/>
      <c r="S64" s="229"/>
      <c r="T64" s="230"/>
    </row>
    <row r="65" spans="1:20" ht="15.75" customHeight="1" x14ac:dyDescent="0.3">
      <c r="A65" s="45"/>
      <c r="P65" s="43"/>
      <c r="Q65" s="43"/>
      <c r="R65" s="43"/>
      <c r="T65" s="69"/>
    </row>
    <row r="66" spans="1:20" ht="15" customHeight="1" x14ac:dyDescent="0.3">
      <c r="A66" s="45"/>
      <c r="P66" s="43"/>
      <c r="Q66" s="43"/>
      <c r="R66" s="43"/>
      <c r="T66" s="13"/>
    </row>
    <row r="67" spans="1:20" ht="15" customHeight="1" x14ac:dyDescent="0.3">
      <c r="P67" s="43"/>
      <c r="Q67" s="43"/>
      <c r="R67" s="43"/>
      <c r="T67" s="13"/>
    </row>
    <row r="68" spans="1:20" ht="15" customHeight="1" x14ac:dyDescent="0.3">
      <c r="P68" s="43"/>
      <c r="Q68" s="43"/>
      <c r="R68" s="43"/>
      <c r="T68" s="13"/>
    </row>
    <row r="69" spans="1:20" ht="15" customHeight="1" x14ac:dyDescent="0.3">
      <c r="P69" s="43"/>
      <c r="Q69" s="43"/>
      <c r="R69" s="43"/>
      <c r="T69" s="13"/>
    </row>
    <row r="70" spans="1:20" ht="15" customHeight="1" x14ac:dyDescent="0.3">
      <c r="P70" s="43"/>
      <c r="Q70" s="43"/>
      <c r="R70" s="43"/>
      <c r="T70" s="13"/>
    </row>
    <row r="71" spans="1:20" ht="15" customHeight="1" x14ac:dyDescent="0.3">
      <c r="P71" s="43"/>
      <c r="Q71" s="43"/>
      <c r="R71" s="43"/>
      <c r="T71" s="13"/>
    </row>
    <row r="72" spans="1:20" ht="15" customHeight="1" x14ac:dyDescent="0.3">
      <c r="P72" s="43"/>
      <c r="Q72" s="43"/>
      <c r="R72" s="43"/>
      <c r="T72" s="13"/>
    </row>
    <row r="73" spans="1:20" ht="15.75" customHeight="1" x14ac:dyDescent="0.3">
      <c r="P73" s="43"/>
      <c r="Q73" s="43"/>
      <c r="R73" s="43"/>
      <c r="T73" s="13"/>
    </row>
  </sheetData>
  <mergeCells count="24"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  <mergeCell ref="B54:N62"/>
    <mergeCell ref="O54:Q54"/>
    <mergeCell ref="O55:Q55"/>
    <mergeCell ref="O56:Q56"/>
    <mergeCell ref="O57:Q57"/>
    <mergeCell ref="O58:Q58"/>
    <mergeCell ref="O59:Q59"/>
    <mergeCell ref="O60:Q60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2" sqref="B2:N16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77734375" customWidth="1"/>
    <col min="15" max="20" width="15.44140625" customWidth="1"/>
    <col min="22" max="22" width="71.44140625" style="58" customWidth="1"/>
  </cols>
  <sheetData>
    <row r="1" spans="1:22" ht="15" thickBot="1" x14ac:dyDescent="0.35"/>
    <row r="2" spans="1:22" ht="29.7" customHeight="1" thickBot="1" x14ac:dyDescent="0.35">
      <c r="B2" s="207" t="s">
        <v>265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9"/>
      <c r="O2" s="210" t="s">
        <v>12</v>
      </c>
      <c r="P2" s="211"/>
      <c r="Q2" s="211"/>
      <c r="R2" s="211"/>
      <c r="S2" s="211"/>
      <c r="T2" s="212"/>
    </row>
    <row r="3" spans="1:22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7" customHeight="1" outlineLevel="1" x14ac:dyDescent="0.3">
      <c r="A5" s="246" t="s">
        <v>45</v>
      </c>
      <c r="B5" s="95" t="s">
        <v>133</v>
      </c>
      <c r="C5" s="92" t="s">
        <v>134</v>
      </c>
      <c r="D5" s="92" t="s">
        <v>135</v>
      </c>
      <c r="E5" s="92" t="s">
        <v>52</v>
      </c>
      <c r="F5" s="92" t="s">
        <v>97</v>
      </c>
      <c r="G5" s="92" t="s">
        <v>69</v>
      </c>
      <c r="H5" s="92" t="s">
        <v>55</v>
      </c>
      <c r="I5" s="96">
        <v>56982328251</v>
      </c>
      <c r="J5" s="98" t="s">
        <v>136</v>
      </c>
      <c r="K5" s="98" t="s">
        <v>119</v>
      </c>
      <c r="L5" s="90" t="s">
        <v>190</v>
      </c>
      <c r="M5" s="90" t="s">
        <v>196</v>
      </c>
      <c r="N5" s="88">
        <f>SUMPRODUCT(Tabla5234[[#This Row],[Naranjas]:[Nueces]],O$47:T$47)</f>
        <v>12900</v>
      </c>
      <c r="O5" s="90">
        <v>1</v>
      </c>
      <c r="P5" s="90">
        <v>0</v>
      </c>
      <c r="Q5" s="90">
        <v>2</v>
      </c>
      <c r="R5" s="90">
        <v>0</v>
      </c>
      <c r="S5" s="90">
        <v>0</v>
      </c>
      <c r="T5" s="90">
        <v>0</v>
      </c>
      <c r="U5" s="90">
        <f>SUM(Tabla5234[[#This Row],[Naranjas]:[Nueces]])</f>
        <v>3</v>
      </c>
      <c r="V5" s="100"/>
    </row>
    <row r="6" spans="1:22" outlineLevel="1" x14ac:dyDescent="0.3">
      <c r="A6" s="247"/>
      <c r="B6" s="86" t="s">
        <v>227</v>
      </c>
      <c r="C6" s="83" t="s">
        <v>228</v>
      </c>
      <c r="D6" s="83" t="s">
        <v>229</v>
      </c>
      <c r="E6" s="83" t="s">
        <v>80</v>
      </c>
      <c r="F6" s="83" t="s">
        <v>62</v>
      </c>
      <c r="G6" s="83" t="s">
        <v>113</v>
      </c>
      <c r="H6" s="83" t="s">
        <v>55</v>
      </c>
      <c r="I6" s="85">
        <v>56967289638</v>
      </c>
      <c r="J6" s="87" t="s">
        <v>230</v>
      </c>
      <c r="K6" s="87" t="s">
        <v>119</v>
      </c>
      <c r="L6" s="84" t="s">
        <v>190</v>
      </c>
      <c r="M6" s="84" t="s">
        <v>196</v>
      </c>
      <c r="N6" s="88">
        <f>SUMPRODUCT(Tabla5234[[#This Row],[Naranjas]:[Nueces]],O$47:T$47)</f>
        <v>39500</v>
      </c>
      <c r="O6" s="84">
        <v>2</v>
      </c>
      <c r="P6" s="84">
        <v>1</v>
      </c>
      <c r="Q6" s="84">
        <v>5</v>
      </c>
      <c r="R6" s="84">
        <v>0</v>
      </c>
      <c r="S6" s="84">
        <v>1</v>
      </c>
      <c r="T6" s="84">
        <v>0</v>
      </c>
      <c r="U6" s="26">
        <f>SUM(Tabla5234[[#This Row],[Naranjas]:[Nueces]])</f>
        <v>9</v>
      </c>
      <c r="V6" s="64"/>
    </row>
    <row r="7" spans="1:22" outlineLevel="1" x14ac:dyDescent="0.3">
      <c r="A7" s="247"/>
      <c r="B7" s="86" t="s">
        <v>161</v>
      </c>
      <c r="C7" s="83" t="s">
        <v>162</v>
      </c>
      <c r="D7" s="83" t="s">
        <v>163</v>
      </c>
      <c r="E7" s="83" t="s">
        <v>52</v>
      </c>
      <c r="F7" s="83" t="s">
        <v>53</v>
      </c>
      <c r="G7" s="83" t="s">
        <v>63</v>
      </c>
      <c r="H7" s="83" t="s">
        <v>55</v>
      </c>
      <c r="I7" s="85">
        <v>56991889995</v>
      </c>
      <c r="J7" s="87" t="s">
        <v>164</v>
      </c>
      <c r="K7" s="87" t="s">
        <v>119</v>
      </c>
      <c r="L7" s="84" t="s">
        <v>190</v>
      </c>
      <c r="M7" s="84" t="s">
        <v>196</v>
      </c>
      <c r="N7" s="88">
        <f>SUMPRODUCT(Tabla5234[[#This Row],[Naranjas]:[Nueces]],O$47:T$47)</f>
        <v>78000</v>
      </c>
      <c r="O7" s="84">
        <v>4</v>
      </c>
      <c r="P7" s="84">
        <v>3</v>
      </c>
      <c r="Q7" s="84">
        <v>5</v>
      </c>
      <c r="R7" s="84">
        <v>2</v>
      </c>
      <c r="S7" s="84">
        <v>1</v>
      </c>
      <c r="T7" s="84">
        <v>1</v>
      </c>
      <c r="U7" s="26">
        <f>SUM(Tabla5234[[#This Row],[Naranjas]:[Nueces]])</f>
        <v>16</v>
      </c>
      <c r="V7" s="64"/>
    </row>
    <row r="8" spans="1:22" outlineLevel="1" x14ac:dyDescent="0.3">
      <c r="A8" s="247"/>
      <c r="B8" s="97" t="s">
        <v>203</v>
      </c>
      <c r="C8" s="88" t="s">
        <v>204</v>
      </c>
      <c r="D8" s="88" t="s">
        <v>205</v>
      </c>
      <c r="E8" s="88" t="s">
        <v>52</v>
      </c>
      <c r="F8" s="88" t="s">
        <v>97</v>
      </c>
      <c r="G8" s="88" t="s">
        <v>69</v>
      </c>
      <c r="H8" s="88" t="s">
        <v>55</v>
      </c>
      <c r="I8" s="94">
        <v>56974397201</v>
      </c>
      <c r="J8" s="99" t="s">
        <v>206</v>
      </c>
      <c r="K8" s="99" t="s">
        <v>119</v>
      </c>
      <c r="L8" s="93" t="s">
        <v>190</v>
      </c>
      <c r="M8" s="93" t="s">
        <v>196</v>
      </c>
      <c r="N8" s="88">
        <f>SUMPRODUCT(Tabla5234[[#This Row],[Naranjas]:[Nueces]],O$47:T$47)</f>
        <v>88700</v>
      </c>
      <c r="O8" s="93">
        <v>1</v>
      </c>
      <c r="P8" s="93">
        <v>2</v>
      </c>
      <c r="Q8" s="93">
        <v>6</v>
      </c>
      <c r="R8" s="93">
        <v>3</v>
      </c>
      <c r="S8" s="93">
        <v>5</v>
      </c>
      <c r="T8" s="93">
        <v>0</v>
      </c>
      <c r="U8" s="93">
        <f>SUM(Tabla5234[[#This Row],[Naranjas]:[Nueces]])</f>
        <v>17</v>
      </c>
      <c r="V8" s="101"/>
    </row>
    <row r="9" spans="1:22" outlineLevel="1" x14ac:dyDescent="0.3">
      <c r="A9" s="247"/>
      <c r="B9" s="97" t="s">
        <v>124</v>
      </c>
      <c r="C9" s="88" t="s">
        <v>125</v>
      </c>
      <c r="D9" s="88" t="s">
        <v>126</v>
      </c>
      <c r="E9" s="88" t="s">
        <v>80</v>
      </c>
      <c r="F9" s="88" t="s">
        <v>81</v>
      </c>
      <c r="G9" s="88">
        <v>0</v>
      </c>
      <c r="H9" s="88" t="s">
        <v>55</v>
      </c>
      <c r="I9" s="94">
        <v>56979579233</v>
      </c>
      <c r="J9" s="99" t="s">
        <v>127</v>
      </c>
      <c r="K9" s="99" t="s">
        <v>57</v>
      </c>
      <c r="L9" s="93" t="s">
        <v>190</v>
      </c>
      <c r="M9" s="93" t="s">
        <v>196</v>
      </c>
      <c r="N9" s="88">
        <f>SUMPRODUCT(Tabla5234[[#This Row],[Naranjas]:[Nueces]],O$47:T$47)</f>
        <v>53800</v>
      </c>
      <c r="O9" s="93">
        <v>0</v>
      </c>
      <c r="P9" s="93">
        <v>3</v>
      </c>
      <c r="Q9" s="93">
        <v>4</v>
      </c>
      <c r="R9" s="93">
        <v>2</v>
      </c>
      <c r="S9" s="93">
        <v>1</v>
      </c>
      <c r="T9" s="93">
        <v>0</v>
      </c>
      <c r="U9" s="93">
        <f>SUM(Tabla5234[[#This Row],[Naranjas]:[Nueces]])</f>
        <v>10</v>
      </c>
      <c r="V9" s="101"/>
    </row>
    <row r="10" spans="1:22" outlineLevel="1" x14ac:dyDescent="0.3">
      <c r="A10" s="247"/>
      <c r="B10" s="86" t="s">
        <v>178</v>
      </c>
      <c r="C10" s="83" t="s">
        <v>179</v>
      </c>
      <c r="D10" s="83" t="s">
        <v>180</v>
      </c>
      <c r="E10" s="83" t="s">
        <v>80</v>
      </c>
      <c r="F10" s="83" t="s">
        <v>68</v>
      </c>
      <c r="G10" s="83">
        <v>0</v>
      </c>
      <c r="H10" s="83" t="s">
        <v>55</v>
      </c>
      <c r="I10" s="85">
        <v>56954243532</v>
      </c>
      <c r="J10" s="87" t="s">
        <v>181</v>
      </c>
      <c r="K10" s="87" t="s">
        <v>57</v>
      </c>
      <c r="L10" s="84" t="s">
        <v>190</v>
      </c>
      <c r="M10" s="84" t="s">
        <v>196</v>
      </c>
      <c r="N10" s="88">
        <f>SUMPRODUCT(Tabla5234[[#This Row],[Naranjas]:[Nueces]],O$47:T$47)</f>
        <v>122300</v>
      </c>
      <c r="O10" s="84">
        <v>3</v>
      </c>
      <c r="P10" s="84">
        <v>4</v>
      </c>
      <c r="Q10" s="84">
        <v>9</v>
      </c>
      <c r="R10" s="84">
        <v>5</v>
      </c>
      <c r="S10" s="84">
        <v>2</v>
      </c>
      <c r="T10" s="84">
        <v>0</v>
      </c>
      <c r="U10" s="26">
        <f>SUM(Tabla5234[[#This Row],[Naranjas]:[Nueces]])</f>
        <v>23</v>
      </c>
      <c r="V10" s="64"/>
    </row>
    <row r="11" spans="1:22" outlineLevel="1" x14ac:dyDescent="0.3">
      <c r="A11" s="247"/>
      <c r="B11" s="86" t="s">
        <v>71</v>
      </c>
      <c r="C11" s="83" t="s">
        <v>72</v>
      </c>
      <c r="D11" s="83" t="s">
        <v>73</v>
      </c>
      <c r="E11" s="83" t="s">
        <v>74</v>
      </c>
      <c r="F11" s="83" t="s">
        <v>75</v>
      </c>
      <c r="G11" s="83" t="s">
        <v>69</v>
      </c>
      <c r="H11" s="83" t="s">
        <v>55</v>
      </c>
      <c r="I11" s="85">
        <v>56979769748</v>
      </c>
      <c r="J11" s="87" t="s">
        <v>76</v>
      </c>
      <c r="K11" s="87" t="s">
        <v>57</v>
      </c>
      <c r="L11" s="84" t="s">
        <v>190</v>
      </c>
      <c r="M11" s="84" t="s">
        <v>196</v>
      </c>
      <c r="N11" s="88">
        <f>SUMPRODUCT(Tabla5234[[#This Row],[Naranjas]:[Nueces]],O$47:T$47)</f>
        <v>17500</v>
      </c>
      <c r="O11" s="84">
        <v>5</v>
      </c>
      <c r="P11" s="84">
        <v>0</v>
      </c>
      <c r="Q11" s="84">
        <v>0</v>
      </c>
      <c r="R11" s="84">
        <v>0</v>
      </c>
      <c r="S11" s="84">
        <v>0</v>
      </c>
      <c r="T11" s="84">
        <v>0</v>
      </c>
      <c r="U11" s="26">
        <f>SUM(Tabla5234[[#This Row],[Naranjas]:[Nueces]])</f>
        <v>5</v>
      </c>
      <c r="V11" s="64"/>
    </row>
    <row r="12" spans="1:22" outlineLevel="1" x14ac:dyDescent="0.3">
      <c r="A12" s="247"/>
      <c r="B12" s="97" t="s">
        <v>90</v>
      </c>
      <c r="C12" s="88" t="s">
        <v>91</v>
      </c>
      <c r="D12" s="88" t="s">
        <v>92</v>
      </c>
      <c r="E12" s="88" t="s">
        <v>80</v>
      </c>
      <c r="F12" s="88" t="s">
        <v>93</v>
      </c>
      <c r="G12" s="88" t="s">
        <v>63</v>
      </c>
      <c r="H12" s="88" t="s">
        <v>55</v>
      </c>
      <c r="I12" s="94">
        <v>56999699652</v>
      </c>
      <c r="J12" s="87" t="s">
        <v>94</v>
      </c>
      <c r="K12" s="87" t="s">
        <v>57</v>
      </c>
      <c r="L12" s="84" t="s">
        <v>190</v>
      </c>
      <c r="M12" s="84" t="s">
        <v>196</v>
      </c>
      <c r="N12" s="88">
        <f>SUMPRODUCT(Tabla5234[[#This Row],[Naranjas]:[Nueces]],O$47:T$47)</f>
        <v>93700</v>
      </c>
      <c r="O12" s="84">
        <v>1</v>
      </c>
      <c r="P12" s="84">
        <v>3</v>
      </c>
      <c r="Q12" s="84">
        <v>6</v>
      </c>
      <c r="R12" s="84">
        <v>4</v>
      </c>
      <c r="S12" s="84">
        <v>2</v>
      </c>
      <c r="T12" s="84">
        <v>1</v>
      </c>
      <c r="U12" s="26">
        <f>SUM(Tabla5234[[#This Row],[Naranjas]:[Nueces]])</f>
        <v>17</v>
      </c>
      <c r="V12" s="64"/>
    </row>
    <row r="13" spans="1:22" outlineLevel="1" x14ac:dyDescent="0.3">
      <c r="A13" s="247"/>
      <c r="B13" s="86" t="s">
        <v>221</v>
      </c>
      <c r="C13" s="83" t="s">
        <v>222</v>
      </c>
      <c r="D13" s="83" t="s">
        <v>223</v>
      </c>
      <c r="E13" s="83" t="s">
        <v>74</v>
      </c>
      <c r="F13" s="83" t="s">
        <v>224</v>
      </c>
      <c r="G13" s="83" t="s">
        <v>225</v>
      </c>
      <c r="H13" s="83" t="s">
        <v>55</v>
      </c>
      <c r="I13" s="85">
        <v>56962094749</v>
      </c>
      <c r="J13" s="87" t="s">
        <v>226</v>
      </c>
      <c r="K13" s="87" t="s">
        <v>89</v>
      </c>
      <c r="L13" s="84" t="s">
        <v>190</v>
      </c>
      <c r="M13" s="84" t="s">
        <v>196</v>
      </c>
      <c r="N13" s="88">
        <f>SUMPRODUCT(Tabla5234[[#This Row],[Naranjas]:[Nueces]],O$47:T$47)</f>
        <v>67100</v>
      </c>
      <c r="O13" s="84">
        <v>1</v>
      </c>
      <c r="P13" s="84">
        <v>1</v>
      </c>
      <c r="Q13" s="84">
        <v>8</v>
      </c>
      <c r="R13" s="84">
        <v>2</v>
      </c>
      <c r="S13" s="84">
        <v>1</v>
      </c>
      <c r="T13" s="84">
        <v>0</v>
      </c>
      <c r="U13" s="26">
        <f>SUM(Tabla5234[[#This Row],[Naranjas]:[Nueces]])</f>
        <v>13</v>
      </c>
      <c r="V13" s="64"/>
    </row>
    <row r="14" spans="1:22" outlineLevel="1" x14ac:dyDescent="0.3">
      <c r="A14" s="247"/>
      <c r="B14" s="86" t="s">
        <v>165</v>
      </c>
      <c r="C14" s="83" t="s">
        <v>106</v>
      </c>
      <c r="D14" s="83" t="s">
        <v>166</v>
      </c>
      <c r="E14" s="83" t="s">
        <v>52</v>
      </c>
      <c r="F14" s="83" t="s">
        <v>97</v>
      </c>
      <c r="G14" s="83" t="s">
        <v>63</v>
      </c>
      <c r="H14" s="83" t="s">
        <v>55</v>
      </c>
      <c r="I14" s="85">
        <v>56986194003</v>
      </c>
      <c r="J14" s="87" t="s">
        <v>167</v>
      </c>
      <c r="K14" s="87" t="s">
        <v>89</v>
      </c>
      <c r="L14" s="84" t="s">
        <v>190</v>
      </c>
      <c r="M14" s="84" t="s">
        <v>196</v>
      </c>
      <c r="N14" s="88">
        <f>SUMPRODUCT(Tabla5234[[#This Row],[Naranjas]:[Nueces]],O$47:T$47)</f>
        <v>154400</v>
      </c>
      <c r="O14" s="84">
        <v>0</v>
      </c>
      <c r="P14" s="84">
        <v>0</v>
      </c>
      <c r="Q14" s="84">
        <f>12+10</f>
        <v>22</v>
      </c>
      <c r="R14" s="84">
        <v>6</v>
      </c>
      <c r="S14" s="84">
        <v>0</v>
      </c>
      <c r="T14" s="84">
        <v>0</v>
      </c>
      <c r="U14" s="26">
        <f>SUM(Tabla5234[[#This Row],[Naranjas]:[Nueces]])</f>
        <v>28</v>
      </c>
      <c r="V14" s="64"/>
    </row>
    <row r="15" spans="1:22" outlineLevel="1" x14ac:dyDescent="0.3">
      <c r="A15" s="247"/>
      <c r="B15" s="86" t="s">
        <v>149</v>
      </c>
      <c r="C15" s="83" t="s">
        <v>150</v>
      </c>
      <c r="D15" s="83" t="s">
        <v>151</v>
      </c>
      <c r="E15" s="83" t="s">
        <v>52</v>
      </c>
      <c r="F15" s="83" t="s">
        <v>97</v>
      </c>
      <c r="G15" s="83" t="s">
        <v>131</v>
      </c>
      <c r="H15" s="83" t="s">
        <v>55</v>
      </c>
      <c r="I15" s="85">
        <v>56979891544</v>
      </c>
      <c r="J15" s="87" t="s">
        <v>152</v>
      </c>
      <c r="K15" s="87" t="s">
        <v>89</v>
      </c>
      <c r="L15" s="84" t="s">
        <v>190</v>
      </c>
      <c r="M15" s="93" t="s">
        <v>196</v>
      </c>
      <c r="N15" s="88">
        <f>SUMPRODUCT(Tabla5234[[#This Row],[Naranjas]:[Nueces]],O$47:T$47)</f>
        <v>200500</v>
      </c>
      <c r="O15" s="93">
        <v>11</v>
      </c>
      <c r="P15" s="93">
        <v>5</v>
      </c>
      <c r="Q15" s="93">
        <v>5</v>
      </c>
      <c r="R15" s="93">
        <v>5</v>
      </c>
      <c r="S15" s="93">
        <v>9</v>
      </c>
      <c r="T15" s="93">
        <v>6</v>
      </c>
      <c r="U15" s="93">
        <f>SUM(Tabla5234[[#This Row],[Naranjas]:[Nueces]])</f>
        <v>41</v>
      </c>
      <c r="V15" s="101"/>
    </row>
    <row r="16" spans="1:22" outlineLevel="1" x14ac:dyDescent="0.3">
      <c r="A16" s="247"/>
      <c r="B16" s="97" t="s">
        <v>110</v>
      </c>
      <c r="C16" s="88" t="s">
        <v>111</v>
      </c>
      <c r="D16" s="88" t="s">
        <v>112</v>
      </c>
      <c r="E16" s="88" t="s">
        <v>52</v>
      </c>
      <c r="F16" s="88" t="s">
        <v>97</v>
      </c>
      <c r="G16" s="88" t="s">
        <v>113</v>
      </c>
      <c r="H16" s="88" t="s">
        <v>55</v>
      </c>
      <c r="I16" s="94">
        <v>56987143347</v>
      </c>
      <c r="J16" s="99" t="s">
        <v>114</v>
      </c>
      <c r="K16" s="99" t="s">
        <v>89</v>
      </c>
      <c r="L16" s="93" t="s">
        <v>190</v>
      </c>
      <c r="M16" s="93" t="s">
        <v>196</v>
      </c>
      <c r="N16" s="88">
        <f>SUMPRODUCT(Tabla5234[[#This Row],[Naranjas]:[Nueces]],O$47:T$47)</f>
        <v>78500</v>
      </c>
      <c r="O16" s="93">
        <v>5</v>
      </c>
      <c r="P16" s="93">
        <v>3</v>
      </c>
      <c r="Q16" s="93">
        <v>0</v>
      </c>
      <c r="R16" s="93">
        <v>4</v>
      </c>
      <c r="S16" s="93">
        <v>3</v>
      </c>
      <c r="T16" s="93">
        <v>0</v>
      </c>
      <c r="U16" s="93">
        <f>SUM(Tabla5234[[#This Row],[Naranjas]:[Nueces]])</f>
        <v>15</v>
      </c>
      <c r="V16" s="101"/>
    </row>
    <row r="17" spans="1:22" outlineLevel="1" x14ac:dyDescent="0.3">
      <c r="A17" s="247"/>
      <c r="B17" s="86" t="s">
        <v>241</v>
      </c>
      <c r="C17" s="83" t="s">
        <v>242</v>
      </c>
      <c r="D17" s="83" t="s">
        <v>243</v>
      </c>
      <c r="E17" s="83" t="s">
        <v>80</v>
      </c>
      <c r="F17" s="83" t="s">
        <v>81</v>
      </c>
      <c r="G17" s="83" t="s">
        <v>244</v>
      </c>
      <c r="H17" s="83" t="s">
        <v>55</v>
      </c>
      <c r="I17" s="85">
        <v>56995408498</v>
      </c>
      <c r="J17" s="87" t="s">
        <v>245</v>
      </c>
      <c r="K17" s="87" t="s">
        <v>119</v>
      </c>
      <c r="L17" s="84" t="s">
        <v>190</v>
      </c>
      <c r="M17" s="84" t="s">
        <v>190</v>
      </c>
      <c r="N17" s="88">
        <f>SUMPRODUCT(Tabla5234[[#This Row],[Naranjas]:[Nueces]],O$47:T$47)</f>
        <v>35200</v>
      </c>
      <c r="O17" s="84">
        <v>1</v>
      </c>
      <c r="P17" s="84">
        <v>5</v>
      </c>
      <c r="Q17" s="84">
        <v>1</v>
      </c>
      <c r="R17" s="84">
        <v>0</v>
      </c>
      <c r="S17" s="84">
        <v>1</v>
      </c>
      <c r="T17" s="84">
        <v>0</v>
      </c>
      <c r="U17" s="26">
        <f>SUM(Tabla5234[[#This Row],[Naranjas]:[Nueces]])</f>
        <v>8</v>
      </c>
      <c r="V17" s="64"/>
    </row>
    <row r="18" spans="1:22" outlineLevel="1" x14ac:dyDescent="0.3">
      <c r="A18" s="247"/>
      <c r="B18" s="86" t="s">
        <v>199</v>
      </c>
      <c r="C18" s="83" t="s">
        <v>200</v>
      </c>
      <c r="D18" s="83" t="s">
        <v>201</v>
      </c>
      <c r="E18" s="83" t="s">
        <v>61</v>
      </c>
      <c r="F18" s="83" t="s">
        <v>86</v>
      </c>
      <c r="G18" s="83" t="s">
        <v>113</v>
      </c>
      <c r="H18" s="83" t="s">
        <v>55</v>
      </c>
      <c r="I18" s="85">
        <v>56968348679</v>
      </c>
      <c r="J18" s="87" t="s">
        <v>202</v>
      </c>
      <c r="K18" s="99" t="s">
        <v>119</v>
      </c>
      <c r="L18" s="84" t="s">
        <v>190</v>
      </c>
      <c r="M18" s="84" t="s">
        <v>190</v>
      </c>
      <c r="N18" s="88">
        <f>SUMPRODUCT(Tabla5234[[#This Row],[Naranjas]:[Nueces]],O$47:T$47)</f>
        <v>27000</v>
      </c>
      <c r="O18" s="84">
        <v>0</v>
      </c>
      <c r="P18" s="84">
        <v>3</v>
      </c>
      <c r="Q18" s="84">
        <v>0</v>
      </c>
      <c r="R18" s="84">
        <v>0</v>
      </c>
      <c r="S18" s="84">
        <v>3</v>
      </c>
      <c r="T18" s="84">
        <v>0</v>
      </c>
      <c r="U18" s="26">
        <f>SUM(Tabla5234[[#This Row],[Naranjas]:[Nueces]])</f>
        <v>6</v>
      </c>
      <c r="V18" s="64"/>
    </row>
    <row r="19" spans="1:22" outlineLevel="1" x14ac:dyDescent="0.3">
      <c r="A19" s="247"/>
      <c r="B19" s="86" t="s">
        <v>128</v>
      </c>
      <c r="C19" s="83" t="s">
        <v>158</v>
      </c>
      <c r="D19" s="83" t="s">
        <v>159</v>
      </c>
      <c r="E19" s="83" t="s">
        <v>52</v>
      </c>
      <c r="F19" s="83" t="s">
        <v>97</v>
      </c>
      <c r="G19" s="83" t="s">
        <v>63</v>
      </c>
      <c r="H19" s="83" t="s">
        <v>55</v>
      </c>
      <c r="I19" s="85">
        <v>56967898535</v>
      </c>
      <c r="J19" s="87" t="s">
        <v>160</v>
      </c>
      <c r="K19" s="87" t="s">
        <v>119</v>
      </c>
      <c r="L19" s="84" t="s">
        <v>190</v>
      </c>
      <c r="M19" s="84" t="s">
        <v>190</v>
      </c>
      <c r="N19" s="88">
        <f>SUMPRODUCT(Tabla5234[[#This Row],[Naranjas]:[Nueces]],O$47:T$47)</f>
        <v>29500</v>
      </c>
      <c r="O19" s="84">
        <v>2</v>
      </c>
      <c r="P19" s="84">
        <v>2</v>
      </c>
      <c r="Q19" s="84">
        <v>0</v>
      </c>
      <c r="R19" s="84">
        <v>0</v>
      </c>
      <c r="S19" s="84">
        <v>3</v>
      </c>
      <c r="T19" s="84">
        <v>0</v>
      </c>
      <c r="U19" s="26">
        <f>SUM(Tabla5234[[#This Row],[Naranjas]:[Nueces]])</f>
        <v>7</v>
      </c>
      <c r="V19" s="64"/>
    </row>
    <row r="20" spans="1:22" outlineLevel="1" x14ac:dyDescent="0.3">
      <c r="A20" s="247"/>
      <c r="B20" s="86" t="s">
        <v>115</v>
      </c>
      <c r="C20" s="83" t="s">
        <v>116</v>
      </c>
      <c r="D20" s="83" t="s">
        <v>117</v>
      </c>
      <c r="E20" s="83" t="s">
        <v>52</v>
      </c>
      <c r="F20" s="83" t="s">
        <v>53</v>
      </c>
      <c r="G20" s="83" t="s">
        <v>69</v>
      </c>
      <c r="H20" s="83" t="s">
        <v>55</v>
      </c>
      <c r="I20" s="85">
        <v>56966477967</v>
      </c>
      <c r="J20" s="87" t="s">
        <v>118</v>
      </c>
      <c r="K20" s="87" t="s">
        <v>119</v>
      </c>
      <c r="L20" s="84" t="s">
        <v>190</v>
      </c>
      <c r="M20" s="84" t="s">
        <v>190</v>
      </c>
      <c r="N20" s="88">
        <f>SUMPRODUCT(Tabla5234[[#This Row],[Naranjas]:[Nueces]],O$47:T$47)</f>
        <v>54300</v>
      </c>
      <c r="O20" s="84">
        <v>5</v>
      </c>
      <c r="P20" s="84">
        <v>1</v>
      </c>
      <c r="Q20" s="84">
        <v>4</v>
      </c>
      <c r="R20" s="84">
        <v>0</v>
      </c>
      <c r="S20" s="84">
        <v>3</v>
      </c>
      <c r="T20" s="84">
        <v>0</v>
      </c>
      <c r="U20" s="26">
        <f>SUM(Tabla5234[[#This Row],[Naranjas]:[Nueces]])</f>
        <v>13</v>
      </c>
      <c r="V20" s="64"/>
    </row>
    <row r="21" spans="1:22" outlineLevel="1" x14ac:dyDescent="0.3">
      <c r="A21" s="247"/>
      <c r="B21" s="86" t="s">
        <v>239</v>
      </c>
      <c r="C21" s="83" t="s">
        <v>240</v>
      </c>
      <c r="D21" s="83" t="s">
        <v>253</v>
      </c>
      <c r="E21" s="83" t="s">
        <v>52</v>
      </c>
      <c r="F21" s="83" t="s">
        <v>53</v>
      </c>
      <c r="G21" s="83" t="s">
        <v>254</v>
      </c>
      <c r="H21" s="83" t="s">
        <v>55</v>
      </c>
      <c r="I21" s="85">
        <v>56974529859</v>
      </c>
      <c r="J21" s="87" t="s">
        <v>255</v>
      </c>
      <c r="K21" s="87" t="s">
        <v>119</v>
      </c>
      <c r="L21" s="84" t="s">
        <v>190</v>
      </c>
      <c r="M21" s="84" t="s">
        <v>190</v>
      </c>
      <c r="N21" s="88">
        <f>SUMPRODUCT(Tabla5234[[#This Row],[Naranjas]:[Nueces]],O$47:T$47)</f>
        <v>18600</v>
      </c>
      <c r="O21" s="84">
        <v>0</v>
      </c>
      <c r="P21" s="84">
        <v>0</v>
      </c>
      <c r="Q21" s="84">
        <v>3</v>
      </c>
      <c r="R21" s="84">
        <v>0</v>
      </c>
      <c r="S21" s="84">
        <v>1</v>
      </c>
      <c r="T21" s="84">
        <v>0</v>
      </c>
      <c r="U21" s="26">
        <f>SUM(Tabla5234[[#This Row],[Naranjas]:[Nueces]])</f>
        <v>4</v>
      </c>
      <c r="V21" s="64"/>
    </row>
    <row r="22" spans="1:22" outlineLevel="1" x14ac:dyDescent="0.3">
      <c r="A22" s="247"/>
      <c r="B22" s="97" t="s">
        <v>77</v>
      </c>
      <c r="C22" s="88" t="s">
        <v>78</v>
      </c>
      <c r="D22" s="88" t="s">
        <v>79</v>
      </c>
      <c r="E22" s="88" t="s">
        <v>80</v>
      </c>
      <c r="F22" s="88" t="s">
        <v>81</v>
      </c>
      <c r="G22" s="88" t="s">
        <v>63</v>
      </c>
      <c r="H22" s="88" t="s">
        <v>55</v>
      </c>
      <c r="I22" s="94">
        <v>56963061299</v>
      </c>
      <c r="J22" s="87" t="s">
        <v>82</v>
      </c>
      <c r="K22" s="87" t="s">
        <v>57</v>
      </c>
      <c r="L22" s="84" t="s">
        <v>190</v>
      </c>
      <c r="M22" s="84" t="s">
        <v>190</v>
      </c>
      <c r="N22" s="88">
        <f>SUMPRODUCT(Tabla5234[[#This Row],[Naranjas]:[Nueces]],O$47:T$47)</f>
        <v>142000</v>
      </c>
      <c r="O22" s="84">
        <v>8</v>
      </c>
      <c r="P22" s="84">
        <v>9</v>
      </c>
      <c r="Q22" s="84">
        <v>10</v>
      </c>
      <c r="R22" s="84">
        <v>1</v>
      </c>
      <c r="S22" s="84">
        <v>4</v>
      </c>
      <c r="T22" s="84">
        <v>0</v>
      </c>
      <c r="U22" s="26">
        <f>SUM(Tabla5234[[#This Row],[Naranjas]:[Nueces]])</f>
        <v>32</v>
      </c>
      <c r="V22" s="64"/>
    </row>
    <row r="23" spans="1:22" outlineLevel="1" x14ac:dyDescent="0.3">
      <c r="A23" s="247"/>
      <c r="B23" s="97" t="s">
        <v>137</v>
      </c>
      <c r="C23" s="88" t="s">
        <v>101</v>
      </c>
      <c r="D23" s="88" t="s">
        <v>138</v>
      </c>
      <c r="E23" s="88" t="s">
        <v>80</v>
      </c>
      <c r="F23" s="88" t="s">
        <v>139</v>
      </c>
      <c r="G23" s="88" t="s">
        <v>113</v>
      </c>
      <c r="H23" s="88" t="s">
        <v>55</v>
      </c>
      <c r="I23" s="94">
        <v>56957230044</v>
      </c>
      <c r="J23" s="87" t="s">
        <v>140</v>
      </c>
      <c r="K23" s="87" t="s">
        <v>57</v>
      </c>
      <c r="L23" s="84" t="s">
        <v>190</v>
      </c>
      <c r="M23" s="93" t="s">
        <v>190</v>
      </c>
      <c r="N23" s="88">
        <f>SUMPRODUCT(Tabla5234[[#This Row],[Naranjas]:[Nueces]],O$47:T$47)</f>
        <v>67100</v>
      </c>
      <c r="O23" s="93">
        <v>4</v>
      </c>
      <c r="P23" s="93">
        <v>2</v>
      </c>
      <c r="Q23" s="93">
        <v>3</v>
      </c>
      <c r="R23" s="93">
        <v>3</v>
      </c>
      <c r="S23" s="93">
        <v>1</v>
      </c>
      <c r="T23" s="93">
        <v>0</v>
      </c>
      <c r="U23" s="93">
        <f>SUM(Tabla5234[[#This Row],[Naranjas]:[Nueces]])</f>
        <v>13</v>
      </c>
      <c r="V23" s="101"/>
    </row>
    <row r="24" spans="1:22" outlineLevel="1" x14ac:dyDescent="0.3">
      <c r="A24" s="247"/>
      <c r="B24" s="97" t="s">
        <v>231</v>
      </c>
      <c r="C24" s="88" t="s">
        <v>232</v>
      </c>
      <c r="D24" s="88" t="s">
        <v>233</v>
      </c>
      <c r="E24" s="88" t="s">
        <v>61</v>
      </c>
      <c r="F24" s="88" t="s">
        <v>68</v>
      </c>
      <c r="G24" s="88" t="s">
        <v>113</v>
      </c>
      <c r="H24" s="88" t="s">
        <v>55</v>
      </c>
      <c r="I24" s="94">
        <v>56995483434</v>
      </c>
      <c r="J24" s="99" t="s">
        <v>234</v>
      </c>
      <c r="K24" s="99" t="s">
        <v>57</v>
      </c>
      <c r="L24" s="93" t="s">
        <v>190</v>
      </c>
      <c r="M24" s="93" t="s">
        <v>190</v>
      </c>
      <c r="N24" s="88">
        <f>SUMPRODUCT(Tabla5234[[#This Row],[Naranjas]:[Nueces]],O$47:T$47)</f>
        <v>217700</v>
      </c>
      <c r="O24" s="93">
        <v>5</v>
      </c>
      <c r="P24" s="93">
        <v>4</v>
      </c>
      <c r="Q24" s="93">
        <v>11</v>
      </c>
      <c r="R24" s="93">
        <v>10</v>
      </c>
      <c r="S24" s="93">
        <v>4</v>
      </c>
      <c r="T24" s="93">
        <v>5</v>
      </c>
      <c r="U24" s="93">
        <f>SUM(Tabla5234[[#This Row],[Naranjas]:[Nueces]])</f>
        <v>39</v>
      </c>
      <c r="V24" s="101"/>
    </row>
    <row r="25" spans="1:22" outlineLevel="1" x14ac:dyDescent="0.3">
      <c r="A25" s="247"/>
      <c r="B25" s="86" t="s">
        <v>65</v>
      </c>
      <c r="C25" s="83" t="s">
        <v>66</v>
      </c>
      <c r="D25" s="83" t="s">
        <v>67</v>
      </c>
      <c r="E25" s="83" t="s">
        <v>61</v>
      </c>
      <c r="F25" s="83" t="s">
        <v>68</v>
      </c>
      <c r="G25" s="83" t="s">
        <v>69</v>
      </c>
      <c r="H25" s="83" t="s">
        <v>55</v>
      </c>
      <c r="I25" s="85">
        <v>56977684576</v>
      </c>
      <c r="J25" s="87" t="s">
        <v>70</v>
      </c>
      <c r="K25" s="87" t="s">
        <v>57</v>
      </c>
      <c r="L25" s="84" t="s">
        <v>190</v>
      </c>
      <c r="M25" s="84" t="s">
        <v>190</v>
      </c>
      <c r="N25" s="88">
        <f>SUMPRODUCT(Tabla5234[[#This Row],[Naranjas]:[Nueces]],O$47:T$47)</f>
        <v>94400</v>
      </c>
      <c r="O25" s="84">
        <v>0</v>
      </c>
      <c r="P25" s="84">
        <v>1</v>
      </c>
      <c r="Q25" s="84">
        <v>7</v>
      </c>
      <c r="R25" s="84">
        <v>5</v>
      </c>
      <c r="S25" s="84">
        <v>2</v>
      </c>
      <c r="T25" s="84">
        <v>1</v>
      </c>
      <c r="U25" s="26">
        <f>SUM(Tabla5234[[#This Row],[Naranjas]:[Nueces]])</f>
        <v>16</v>
      </c>
      <c r="V25" s="64"/>
    </row>
    <row r="26" spans="1:22" outlineLevel="1" x14ac:dyDescent="0.3">
      <c r="A26" s="247"/>
      <c r="B26" s="97" t="s">
        <v>168</v>
      </c>
      <c r="C26" s="88" t="s">
        <v>169</v>
      </c>
      <c r="D26" s="88" t="s">
        <v>170</v>
      </c>
      <c r="E26" s="88" t="s">
        <v>80</v>
      </c>
      <c r="F26" s="88" t="s">
        <v>171</v>
      </c>
      <c r="G26" s="88" t="s">
        <v>63</v>
      </c>
      <c r="H26" s="88" t="s">
        <v>55</v>
      </c>
      <c r="I26" s="94">
        <v>56979878976</v>
      </c>
      <c r="J26" s="87" t="s">
        <v>172</v>
      </c>
      <c r="K26" s="87" t="s">
        <v>57</v>
      </c>
      <c r="L26" s="84" t="s">
        <v>190</v>
      </c>
      <c r="M26" s="84" t="s">
        <v>190</v>
      </c>
      <c r="N26" s="88">
        <f>SUMPRODUCT(Tabla5234[[#This Row],[Naranjas]:[Nueces]],O$47:T$47)</f>
        <v>188600</v>
      </c>
      <c r="O26" s="84">
        <v>12</v>
      </c>
      <c r="P26" s="84">
        <v>5</v>
      </c>
      <c r="Q26" s="84">
        <v>18</v>
      </c>
      <c r="R26" s="84">
        <v>2</v>
      </c>
      <c r="S26" s="84">
        <v>5</v>
      </c>
      <c r="T26" s="84">
        <v>0</v>
      </c>
      <c r="U26" s="26">
        <f>SUM(Tabla5234[[#This Row],[Naranjas]:[Nueces]])</f>
        <v>42</v>
      </c>
      <c r="V26" s="64"/>
    </row>
    <row r="27" spans="1:22" outlineLevel="1" x14ac:dyDescent="0.3">
      <c r="A27" s="247"/>
      <c r="B27" s="86" t="s">
        <v>58</v>
      </c>
      <c r="C27" s="83" t="s">
        <v>59</v>
      </c>
      <c r="D27" s="83" t="s">
        <v>60</v>
      </c>
      <c r="E27" s="83" t="s">
        <v>61</v>
      </c>
      <c r="F27" s="83" t="s">
        <v>62</v>
      </c>
      <c r="G27" s="83" t="s">
        <v>63</v>
      </c>
      <c r="H27" s="83" t="s">
        <v>55</v>
      </c>
      <c r="I27" s="85">
        <v>56942723186</v>
      </c>
      <c r="J27" s="87" t="s">
        <v>64</v>
      </c>
      <c r="K27" s="87" t="s">
        <v>57</v>
      </c>
      <c r="L27" s="84" t="s">
        <v>190</v>
      </c>
      <c r="M27" s="84" t="s">
        <v>190</v>
      </c>
      <c r="N27" s="88">
        <f>SUMPRODUCT(Tabla5234[[#This Row],[Naranjas]:[Nueces]],O$47:T$47)</f>
        <v>136100</v>
      </c>
      <c r="O27" s="84">
        <v>6</v>
      </c>
      <c r="P27" s="84">
        <v>4</v>
      </c>
      <c r="Q27" s="84">
        <v>8</v>
      </c>
      <c r="R27" s="84">
        <v>4</v>
      </c>
      <c r="S27" s="84">
        <v>2</v>
      </c>
      <c r="T27" s="84">
        <v>3</v>
      </c>
      <c r="U27" s="26">
        <f>SUM(Tabla5234[[#This Row],[Naranjas]:[Nueces]])</f>
        <v>27</v>
      </c>
      <c r="V27" s="64"/>
    </row>
    <row r="28" spans="1:22" outlineLevel="1" x14ac:dyDescent="0.3">
      <c r="A28" s="247"/>
      <c r="B28" s="97" t="s">
        <v>105</v>
      </c>
      <c r="C28" s="88" t="s">
        <v>106</v>
      </c>
      <c r="D28" s="88" t="s">
        <v>107</v>
      </c>
      <c r="E28" s="88" t="s">
        <v>61</v>
      </c>
      <c r="F28" s="88" t="s">
        <v>86</v>
      </c>
      <c r="G28" s="88" t="s">
        <v>108</v>
      </c>
      <c r="H28" s="88" t="s">
        <v>55</v>
      </c>
      <c r="I28" s="94">
        <v>56982978895</v>
      </c>
      <c r="J28" s="87" t="s">
        <v>109</v>
      </c>
      <c r="K28" s="87" t="s">
        <v>89</v>
      </c>
      <c r="L28" s="84" t="s">
        <v>190</v>
      </c>
      <c r="M28" s="84" t="s">
        <v>190</v>
      </c>
      <c r="N28" s="88">
        <f>SUMPRODUCT(Tabla5234[[#This Row],[Naranjas]:[Nueces]],O$47:T$47)</f>
        <v>141500</v>
      </c>
      <c r="O28" s="84">
        <v>8</v>
      </c>
      <c r="P28" s="84">
        <v>11</v>
      </c>
      <c r="Q28" s="84">
        <v>5</v>
      </c>
      <c r="R28" s="84">
        <v>2</v>
      </c>
      <c r="S28" s="84">
        <v>4</v>
      </c>
      <c r="T28" s="84">
        <v>1</v>
      </c>
      <c r="U28" s="26">
        <f>SUM(Tabla5234[[#This Row],[Naranjas]:[Nueces]])</f>
        <v>31</v>
      </c>
      <c r="V28" s="64"/>
    </row>
    <row r="29" spans="1:22" outlineLevel="1" x14ac:dyDescent="0.3">
      <c r="A29" s="247"/>
      <c r="B29" s="97" t="s">
        <v>212</v>
      </c>
      <c r="C29" s="88" t="s">
        <v>213</v>
      </c>
      <c r="D29" s="88" t="s">
        <v>214</v>
      </c>
      <c r="E29" s="88" t="s">
        <v>80</v>
      </c>
      <c r="F29" s="88" t="s">
        <v>171</v>
      </c>
      <c r="G29" s="88" t="s">
        <v>113</v>
      </c>
      <c r="H29" s="88" t="s">
        <v>55</v>
      </c>
      <c r="I29" s="94">
        <v>56955324629</v>
      </c>
      <c r="J29" s="99" t="s">
        <v>215</v>
      </c>
      <c r="K29" s="99" t="s">
        <v>89</v>
      </c>
      <c r="L29" s="93" t="s">
        <v>190</v>
      </c>
      <c r="M29" s="93" t="s">
        <v>190</v>
      </c>
      <c r="N29" s="88">
        <f>SUMPRODUCT(Tabla5234[[#This Row],[Naranjas]:[Nueces]],O$47:T$47)</f>
        <v>56000</v>
      </c>
      <c r="O29" s="93">
        <v>0</v>
      </c>
      <c r="P29" s="93">
        <v>0</v>
      </c>
      <c r="Q29" s="93">
        <v>5</v>
      </c>
      <c r="R29" s="93">
        <v>2</v>
      </c>
      <c r="S29" s="93">
        <v>1</v>
      </c>
      <c r="T29" s="93">
        <v>2</v>
      </c>
      <c r="U29" s="93">
        <f>SUM(Tabla5234[[#This Row],[Naranjas]:[Nueces]])</f>
        <v>10</v>
      </c>
      <c r="V29" s="101"/>
    </row>
    <row r="30" spans="1:22" outlineLevel="1" x14ac:dyDescent="0.3">
      <c r="A30" s="247"/>
      <c r="B30" s="91" t="s">
        <v>246</v>
      </c>
      <c r="C30" s="89" t="s">
        <v>247</v>
      </c>
      <c r="D30" s="104" t="s">
        <v>248</v>
      </c>
      <c r="E30" s="104" t="s">
        <v>74</v>
      </c>
      <c r="F30" s="104" t="s">
        <v>75</v>
      </c>
      <c r="G30" s="104" t="s">
        <v>113</v>
      </c>
      <c r="H30" s="104" t="s">
        <v>55</v>
      </c>
      <c r="I30" s="105">
        <v>56996310424</v>
      </c>
      <c r="J30" s="87" t="s">
        <v>249</v>
      </c>
      <c r="K30" s="87" t="s">
        <v>89</v>
      </c>
      <c r="L30" s="84" t="s">
        <v>190</v>
      </c>
      <c r="M30" s="84" t="s">
        <v>190</v>
      </c>
      <c r="N30" s="88">
        <f>SUMPRODUCT(Tabla5234[[#This Row],[Naranjas]:[Nueces]],O$47:T$47)</f>
        <v>202100</v>
      </c>
      <c r="O30" s="84">
        <v>13</v>
      </c>
      <c r="P30" s="84">
        <v>6</v>
      </c>
      <c r="Q30" s="84">
        <v>13</v>
      </c>
      <c r="R30" s="84">
        <v>7</v>
      </c>
      <c r="S30" s="84">
        <v>2</v>
      </c>
      <c r="T30" s="84">
        <v>0</v>
      </c>
      <c r="U30" s="26">
        <f>SUM(Tabla5234[[#This Row],[Naranjas]:[Nueces]])</f>
        <v>41</v>
      </c>
      <c r="V30" s="64"/>
    </row>
    <row r="31" spans="1:22" outlineLevel="1" x14ac:dyDescent="0.3">
      <c r="A31" s="247"/>
      <c r="B31" s="97" t="s">
        <v>58</v>
      </c>
      <c r="C31" s="88" t="s">
        <v>216</v>
      </c>
      <c r="D31" s="88" t="s">
        <v>250</v>
      </c>
      <c r="E31" s="88" t="s">
        <v>80</v>
      </c>
      <c r="F31" s="88" t="s">
        <v>81</v>
      </c>
      <c r="G31" s="88" t="s">
        <v>251</v>
      </c>
      <c r="H31" s="88" t="s">
        <v>55</v>
      </c>
      <c r="I31" s="94">
        <v>56995952212</v>
      </c>
      <c r="J31" s="87" t="s">
        <v>252</v>
      </c>
      <c r="K31" s="87" t="s">
        <v>89</v>
      </c>
      <c r="L31" s="84" t="s">
        <v>190</v>
      </c>
      <c r="M31" s="84" t="s">
        <v>190</v>
      </c>
      <c r="N31" s="88">
        <f>SUMPRODUCT(Tabla5234[[#This Row],[Naranjas]:[Nueces]],O$47:T$47)</f>
        <v>79500</v>
      </c>
      <c r="O31" s="84">
        <v>0</v>
      </c>
      <c r="P31" s="84">
        <v>3</v>
      </c>
      <c r="Q31" s="84">
        <v>5</v>
      </c>
      <c r="R31" s="84">
        <v>5</v>
      </c>
      <c r="S31" s="84">
        <v>0</v>
      </c>
      <c r="T31" s="84">
        <v>0</v>
      </c>
      <c r="U31" s="26">
        <f>SUM(Tabla5234[[#This Row],[Naranjas]:[Nueces]])</f>
        <v>13</v>
      </c>
      <c r="V31" s="64"/>
    </row>
    <row r="32" spans="1:22" outlineLevel="1" x14ac:dyDescent="0.3">
      <c r="A32" s="247"/>
      <c r="B32" s="97" t="s">
        <v>217</v>
      </c>
      <c r="C32" s="88" t="s">
        <v>218</v>
      </c>
      <c r="D32" s="88" t="s">
        <v>219</v>
      </c>
      <c r="E32" s="88" t="s">
        <v>80</v>
      </c>
      <c r="F32" s="88" t="s">
        <v>188</v>
      </c>
      <c r="G32" s="88" t="s">
        <v>113</v>
      </c>
      <c r="H32" s="88" t="s">
        <v>55</v>
      </c>
      <c r="I32" s="94">
        <v>56976237859</v>
      </c>
      <c r="J32" s="87" t="s">
        <v>220</v>
      </c>
      <c r="K32" s="99" t="s">
        <v>89</v>
      </c>
      <c r="L32" s="84" t="s">
        <v>190</v>
      </c>
      <c r="M32" s="84" t="s">
        <v>190</v>
      </c>
      <c r="N32" s="88">
        <f>SUMPRODUCT(Tabla5234[[#This Row],[Naranjas]:[Nueces]],O$47:T$47)</f>
        <v>101200</v>
      </c>
      <c r="O32" s="84">
        <v>1</v>
      </c>
      <c r="P32" s="84">
        <v>2</v>
      </c>
      <c r="Q32" s="84">
        <v>6</v>
      </c>
      <c r="R32" s="84">
        <v>4</v>
      </c>
      <c r="S32" s="84">
        <v>1</v>
      </c>
      <c r="T32" s="84">
        <v>4</v>
      </c>
      <c r="U32" s="26">
        <f>SUM(Tabla5234[[#This Row],[Naranjas]:[Nueces]])</f>
        <v>18</v>
      </c>
      <c r="V32" s="64"/>
    </row>
    <row r="33" spans="1:22" outlineLevel="1" x14ac:dyDescent="0.3">
      <c r="A33" s="247"/>
      <c r="B33" s="97" t="s">
        <v>173</v>
      </c>
      <c r="C33" s="88" t="s">
        <v>174</v>
      </c>
      <c r="D33" s="88" t="s">
        <v>175</v>
      </c>
      <c r="E33" s="88" t="s">
        <v>74</v>
      </c>
      <c r="F33" s="88" t="s">
        <v>75</v>
      </c>
      <c r="G33" s="88" t="s">
        <v>176</v>
      </c>
      <c r="H33" s="88" t="s">
        <v>55</v>
      </c>
      <c r="I33" s="94">
        <v>56979987750</v>
      </c>
      <c r="J33" s="87" t="s">
        <v>177</v>
      </c>
      <c r="K33" s="87" t="s">
        <v>89</v>
      </c>
      <c r="L33" s="84" t="s">
        <v>190</v>
      </c>
      <c r="M33" s="84" t="s">
        <v>190</v>
      </c>
      <c r="N33" s="88">
        <f>SUMPRODUCT(Tabla5234[[#This Row],[Naranjas]:[Nueces]],O$47:T$47)</f>
        <v>64200</v>
      </c>
      <c r="O33" s="84">
        <v>2</v>
      </c>
      <c r="P33" s="84">
        <v>3</v>
      </c>
      <c r="Q33" s="84">
        <v>6</v>
      </c>
      <c r="R33" s="84">
        <v>0</v>
      </c>
      <c r="S33" s="84">
        <v>1</v>
      </c>
      <c r="T33" s="84">
        <v>2</v>
      </c>
      <c r="U33" s="26">
        <f>SUM(Tabla5234[[#This Row],[Naranjas]:[Nueces]])</f>
        <v>14</v>
      </c>
      <c r="V33" s="64"/>
    </row>
    <row r="34" spans="1:22" outlineLevel="1" x14ac:dyDescent="0.3">
      <c r="A34" s="247"/>
      <c r="B34" s="86" t="s">
        <v>235</v>
      </c>
      <c r="C34" s="83" t="s">
        <v>236</v>
      </c>
      <c r="D34" s="83" t="s">
        <v>237</v>
      </c>
      <c r="E34" s="83" t="s">
        <v>52</v>
      </c>
      <c r="F34" s="83" t="s">
        <v>97</v>
      </c>
      <c r="G34" s="83">
        <v>0</v>
      </c>
      <c r="H34" s="83" t="s">
        <v>55</v>
      </c>
      <c r="I34" s="85">
        <v>56963124612</v>
      </c>
      <c r="J34" s="87" t="s">
        <v>238</v>
      </c>
      <c r="K34" s="87" t="s">
        <v>89</v>
      </c>
      <c r="L34" s="84" t="s">
        <v>190</v>
      </c>
      <c r="M34" s="84" t="s">
        <v>190</v>
      </c>
      <c r="N34" s="88">
        <f>SUMPRODUCT(Tabla5234[[#This Row],[Naranjas]:[Nueces]],O$47:T$47)</f>
        <v>219100</v>
      </c>
      <c r="O34" s="84">
        <v>2</v>
      </c>
      <c r="P34" s="84">
        <v>7</v>
      </c>
      <c r="Q34" s="84">
        <v>13</v>
      </c>
      <c r="R34" s="84">
        <v>7</v>
      </c>
      <c r="S34" s="84">
        <v>6</v>
      </c>
      <c r="T34" s="84">
        <v>6</v>
      </c>
      <c r="U34" s="26">
        <f>SUM(Tabla5234[[#This Row],[Naranjas]:[Nueces]])</f>
        <v>41</v>
      </c>
      <c r="V34" s="64"/>
    </row>
    <row r="35" spans="1:22" outlineLevel="1" x14ac:dyDescent="0.3">
      <c r="A35" s="247"/>
      <c r="B35" s="86" t="s">
        <v>141</v>
      </c>
      <c r="C35" s="83" t="s">
        <v>142</v>
      </c>
      <c r="D35" s="83" t="s">
        <v>143</v>
      </c>
      <c r="E35" s="83" t="s">
        <v>52</v>
      </c>
      <c r="F35" s="83" t="s">
        <v>97</v>
      </c>
      <c r="G35" s="83" t="s">
        <v>131</v>
      </c>
      <c r="H35" s="83" t="s">
        <v>55</v>
      </c>
      <c r="I35" s="85">
        <v>56988587944</v>
      </c>
      <c r="J35" s="87" t="s">
        <v>144</v>
      </c>
      <c r="K35" s="87" t="s">
        <v>89</v>
      </c>
      <c r="L35" s="84" t="s">
        <v>190</v>
      </c>
      <c r="M35" s="84" t="s">
        <v>190</v>
      </c>
      <c r="N35" s="88">
        <f>SUMPRODUCT(Tabla5234[[#This Row],[Naranjas]:[Nueces]],O$47:T$47)</f>
        <v>146000</v>
      </c>
      <c r="O35" s="84">
        <v>12</v>
      </c>
      <c r="P35" s="84">
        <v>4</v>
      </c>
      <c r="Q35" s="84">
        <v>10</v>
      </c>
      <c r="R35" s="84">
        <v>3</v>
      </c>
      <c r="S35" s="84">
        <v>3</v>
      </c>
      <c r="T35" s="84">
        <v>0</v>
      </c>
      <c r="U35" s="26">
        <f>SUM(Tabla5234[[#This Row],[Naranjas]:[Nueces]])</f>
        <v>32</v>
      </c>
      <c r="V35" s="64"/>
    </row>
    <row r="36" spans="1:22" outlineLevel="1" x14ac:dyDescent="0.3">
      <c r="A36" s="247"/>
      <c r="B36" s="97" t="s">
        <v>182</v>
      </c>
      <c r="C36" s="88" t="s">
        <v>183</v>
      </c>
      <c r="D36" s="88" t="s">
        <v>184</v>
      </c>
      <c r="E36" s="88" t="s">
        <v>52</v>
      </c>
      <c r="F36" s="88" t="s">
        <v>97</v>
      </c>
      <c r="G36" s="88" t="s">
        <v>103</v>
      </c>
      <c r="H36" s="88" t="s">
        <v>55</v>
      </c>
      <c r="I36" s="94">
        <v>56952304675</v>
      </c>
      <c r="J36" s="87" t="s">
        <v>185</v>
      </c>
      <c r="K36" s="87" t="s">
        <v>89</v>
      </c>
      <c r="L36" s="84" t="s">
        <v>190</v>
      </c>
      <c r="M36" s="84" t="s">
        <v>190</v>
      </c>
      <c r="N36" s="88">
        <f>SUMPRODUCT(Tabla5234[[#This Row],[Naranjas]:[Nueces]],O$47:T$47)</f>
        <v>184300</v>
      </c>
      <c r="O36" s="84">
        <v>5</v>
      </c>
      <c r="P36" s="84">
        <v>14</v>
      </c>
      <c r="Q36" s="84">
        <v>4</v>
      </c>
      <c r="R36" s="84">
        <v>5</v>
      </c>
      <c r="S36" s="84">
        <v>7</v>
      </c>
      <c r="T36" s="84">
        <v>2</v>
      </c>
      <c r="U36" s="26">
        <f>SUM(Tabla5234[[#This Row],[Naranjas]:[Nueces]])</f>
        <v>37</v>
      </c>
      <c r="V36" s="64"/>
    </row>
    <row r="37" spans="1:22" ht="15" outlineLevel="1" thickBot="1" x14ac:dyDescent="0.35">
      <c r="A37" s="248"/>
      <c r="B37" s="86" t="s">
        <v>100</v>
      </c>
      <c r="C37" s="83" t="s">
        <v>101</v>
      </c>
      <c r="D37" s="83" t="s">
        <v>102</v>
      </c>
      <c r="E37" s="83" t="s">
        <v>52</v>
      </c>
      <c r="F37" s="83" t="s">
        <v>97</v>
      </c>
      <c r="G37" s="83" t="s">
        <v>103</v>
      </c>
      <c r="H37" s="83" t="s">
        <v>55</v>
      </c>
      <c r="I37" s="85">
        <v>56966640363</v>
      </c>
      <c r="J37" s="87" t="s">
        <v>104</v>
      </c>
      <c r="K37" s="87" t="s">
        <v>89</v>
      </c>
      <c r="L37" s="84" t="s">
        <v>190</v>
      </c>
      <c r="M37" s="102" t="s">
        <v>190</v>
      </c>
      <c r="N37" s="88">
        <f>SUMPRODUCT(Tabla5234[[#This Row],[Naranjas]:[Nueces]],O$47:T$47)</f>
        <v>115000</v>
      </c>
      <c r="O37" s="102">
        <v>6</v>
      </c>
      <c r="P37" s="102">
        <v>4</v>
      </c>
      <c r="Q37" s="102">
        <v>5</v>
      </c>
      <c r="R37" s="102">
        <v>3</v>
      </c>
      <c r="S37" s="102">
        <v>6</v>
      </c>
      <c r="T37" s="102">
        <v>0</v>
      </c>
      <c r="U37" s="102">
        <f>SUM(Tabla5234[[#This Row],[Naranjas]:[Nueces]])</f>
        <v>24</v>
      </c>
      <c r="V37" s="103"/>
    </row>
    <row r="38" spans="1:22" outlineLevel="1" x14ac:dyDescent="0.3">
      <c r="A38" s="30"/>
      <c r="B38" s="31"/>
      <c r="C38" s="31"/>
      <c r="D38" s="31"/>
      <c r="E38" s="31"/>
      <c r="F38" s="31"/>
      <c r="G38" s="31"/>
      <c r="H38" s="31"/>
      <c r="I38" s="51"/>
      <c r="J38" s="50"/>
      <c r="K38" s="50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2" ht="15" thickBot="1" x14ac:dyDescent="0.35"/>
    <row r="40" spans="1:22" ht="14.7" customHeight="1" thickBot="1" x14ac:dyDescent="0.35">
      <c r="A40" s="213" t="s">
        <v>21</v>
      </c>
      <c r="B40" s="195" t="s">
        <v>7</v>
      </c>
      <c r="C40" s="196"/>
      <c r="D40" s="196"/>
      <c r="E40" s="196"/>
      <c r="F40" s="196"/>
      <c r="G40" s="196"/>
      <c r="H40" s="196"/>
      <c r="I40" s="196"/>
      <c r="J40" s="196"/>
      <c r="K40" s="196"/>
      <c r="L40" s="197"/>
      <c r="M40" s="113"/>
      <c r="N40" s="73" t="s">
        <v>9</v>
      </c>
      <c r="O40" s="14">
        <f>SUM(Tabla5234[Naranjas])</f>
        <v>126</v>
      </c>
      <c r="P40" s="9">
        <f>SUM(Tabla5234[Mandarinas])</f>
        <v>115</v>
      </c>
      <c r="Q40" s="9">
        <f>SUM(Tabla5234[Paltas])</f>
        <v>209</v>
      </c>
      <c r="R40" s="9">
        <f>SUM(Tabla5234[Quesos])</f>
        <v>96</v>
      </c>
      <c r="S40" s="9">
        <f>SUM(Tabla5234[Tomate Cherry])</f>
        <v>85</v>
      </c>
      <c r="T40" s="10">
        <f>SUM(Tabla5234[Nueces])</f>
        <v>34</v>
      </c>
    </row>
    <row r="41" spans="1:22" ht="14.7" customHeight="1" thickBot="1" x14ac:dyDescent="0.35">
      <c r="A41" s="214"/>
      <c r="B41" s="204"/>
      <c r="C41" s="205"/>
      <c r="D41" s="205"/>
      <c r="E41" s="205"/>
      <c r="F41" s="205"/>
      <c r="G41" s="205"/>
      <c r="H41" s="205"/>
      <c r="I41" s="205"/>
      <c r="J41" s="205"/>
      <c r="K41" s="205"/>
      <c r="L41" s="206"/>
      <c r="M41" s="114"/>
      <c r="N41" s="73" t="s">
        <v>30</v>
      </c>
      <c r="O41" s="15">
        <v>5</v>
      </c>
      <c r="P41" s="26">
        <v>4</v>
      </c>
      <c r="Q41" s="26">
        <v>2</v>
      </c>
      <c r="R41" s="56">
        <v>1</v>
      </c>
      <c r="S41" s="26">
        <v>1</v>
      </c>
      <c r="T41" s="57">
        <v>0.25</v>
      </c>
    </row>
    <row r="42" spans="1:22" ht="14.7" customHeight="1" thickBot="1" x14ac:dyDescent="0.35">
      <c r="A42" s="214"/>
      <c r="B42" s="204"/>
      <c r="C42" s="205"/>
      <c r="D42" s="205"/>
      <c r="E42" s="205"/>
      <c r="F42" s="205"/>
      <c r="G42" s="205"/>
      <c r="H42" s="205"/>
      <c r="I42" s="205"/>
      <c r="J42" s="205"/>
      <c r="K42" s="205"/>
      <c r="L42" s="206"/>
      <c r="M42" s="114"/>
      <c r="N42" s="73" t="s">
        <v>8</v>
      </c>
      <c r="O42" s="15">
        <f>O41*O40</f>
        <v>630</v>
      </c>
      <c r="P42" s="26">
        <f t="shared" ref="P42:T42" si="0">P41*P40</f>
        <v>460</v>
      </c>
      <c r="Q42" s="26">
        <f t="shared" si="0"/>
        <v>418</v>
      </c>
      <c r="R42" s="26">
        <f t="shared" si="0"/>
        <v>96</v>
      </c>
      <c r="S42" s="26">
        <f t="shared" si="0"/>
        <v>85</v>
      </c>
      <c r="T42" s="19">
        <f t="shared" si="0"/>
        <v>8.5</v>
      </c>
    </row>
    <row r="43" spans="1:22" ht="15" thickBot="1" x14ac:dyDescent="0.35">
      <c r="A43" s="214"/>
      <c r="B43" s="198"/>
      <c r="C43" s="199"/>
      <c r="D43" s="199"/>
      <c r="E43" s="199"/>
      <c r="F43" s="199"/>
      <c r="G43" s="199"/>
      <c r="H43" s="199"/>
      <c r="I43" s="199"/>
      <c r="J43" s="199"/>
      <c r="K43" s="199"/>
      <c r="L43" s="200"/>
      <c r="M43" s="115"/>
      <c r="N43" s="73" t="s">
        <v>10</v>
      </c>
      <c r="O43" s="16"/>
      <c r="P43" s="27"/>
      <c r="Q43" s="27"/>
      <c r="R43" s="27"/>
      <c r="S43" s="27"/>
      <c r="T43" s="20"/>
    </row>
    <row r="44" spans="1:22" ht="15" thickBot="1" x14ac:dyDescent="0.35">
      <c r="A44" s="214"/>
      <c r="B44" s="74"/>
      <c r="C44" s="31"/>
      <c r="D44" s="38"/>
      <c r="E44" s="39"/>
      <c r="F44" s="39"/>
      <c r="G44" s="39"/>
      <c r="H44" s="39"/>
      <c r="I44" s="39"/>
      <c r="J44" s="39"/>
      <c r="K44" s="40"/>
      <c r="N44" s="8"/>
    </row>
    <row r="45" spans="1:22" ht="15" thickBot="1" x14ac:dyDescent="0.35">
      <c r="A45" s="214"/>
      <c r="B45" s="195" t="s">
        <v>13</v>
      </c>
      <c r="C45" s="196"/>
      <c r="D45" s="196"/>
      <c r="E45" s="196"/>
      <c r="F45" s="196"/>
      <c r="G45" s="196"/>
      <c r="H45" s="196"/>
      <c r="I45" s="196"/>
      <c r="J45" s="196"/>
      <c r="K45" s="196"/>
      <c r="L45" s="197"/>
      <c r="M45" s="113"/>
      <c r="N45" s="73" t="s">
        <v>14</v>
      </c>
      <c r="O45" s="36">
        <f>O46*O41</f>
        <v>2750</v>
      </c>
      <c r="P45" s="25">
        <f t="shared" ref="P45:T45" si="1">P46*P41</f>
        <v>2200</v>
      </c>
      <c r="Q45" s="25">
        <f t="shared" si="1"/>
        <v>3100</v>
      </c>
      <c r="R45" s="25">
        <f t="shared" si="1"/>
        <v>6716</v>
      </c>
      <c r="S45" s="25">
        <f t="shared" si="1"/>
        <v>2300</v>
      </c>
      <c r="T45" s="24">
        <f t="shared" si="1"/>
        <v>1875</v>
      </c>
    </row>
    <row r="46" spans="1:22" ht="15" thickBot="1" x14ac:dyDescent="0.35">
      <c r="A46" s="214"/>
      <c r="B46" s="204"/>
      <c r="C46" s="205"/>
      <c r="D46" s="205"/>
      <c r="E46" s="205"/>
      <c r="F46" s="205"/>
      <c r="G46" s="205"/>
      <c r="H46" s="205"/>
      <c r="I46" s="205"/>
      <c r="J46" s="205"/>
      <c r="K46" s="205"/>
      <c r="L46" s="206"/>
      <c r="M46" s="114"/>
      <c r="N46" s="73" t="s">
        <v>8</v>
      </c>
      <c r="O46" s="37">
        <v>550</v>
      </c>
      <c r="P46" s="3">
        <v>550</v>
      </c>
      <c r="Q46" s="3">
        <v>1550</v>
      </c>
      <c r="R46" s="3">
        <v>6716</v>
      </c>
      <c r="S46" s="3">
        <v>2300</v>
      </c>
      <c r="T46" s="46">
        <v>7500</v>
      </c>
    </row>
    <row r="47" spans="1:22" ht="15" thickBot="1" x14ac:dyDescent="0.35">
      <c r="A47" s="214"/>
      <c r="B47" s="198"/>
      <c r="C47" s="199"/>
      <c r="D47" s="199"/>
      <c r="E47" s="199"/>
      <c r="F47" s="199"/>
      <c r="G47" s="199"/>
      <c r="H47" s="199"/>
      <c r="I47" s="199"/>
      <c r="J47" s="199"/>
      <c r="K47" s="199"/>
      <c r="L47" s="200"/>
      <c r="M47" s="115"/>
      <c r="N47" s="73" t="s">
        <v>15</v>
      </c>
      <c r="O47" s="47">
        <v>3500</v>
      </c>
      <c r="P47" s="48">
        <v>4500</v>
      </c>
      <c r="Q47" s="48">
        <v>4700</v>
      </c>
      <c r="R47" s="48">
        <v>8500</v>
      </c>
      <c r="S47" s="48">
        <v>4500</v>
      </c>
      <c r="T47" s="49">
        <v>5500</v>
      </c>
    </row>
    <row r="48" spans="1:22" ht="15" thickBot="1" x14ac:dyDescent="0.35">
      <c r="A48" s="214"/>
      <c r="B48" s="74"/>
      <c r="C48" s="31"/>
      <c r="D48" s="38"/>
      <c r="E48" s="39"/>
      <c r="F48" s="39"/>
      <c r="G48" s="39"/>
      <c r="H48" s="39"/>
      <c r="I48" s="39"/>
      <c r="J48" s="39"/>
      <c r="K48" s="40"/>
      <c r="N48" s="8"/>
    </row>
    <row r="49" spans="1:20" ht="14.7" customHeight="1" thickBot="1" x14ac:dyDescent="0.35">
      <c r="A49" s="214"/>
      <c r="B49" s="195" t="s">
        <v>16</v>
      </c>
      <c r="C49" s="196"/>
      <c r="D49" s="196"/>
      <c r="E49" s="196"/>
      <c r="F49" s="196"/>
      <c r="G49" s="196"/>
      <c r="H49" s="196"/>
      <c r="I49" s="196"/>
      <c r="J49" s="196"/>
      <c r="K49" s="196"/>
      <c r="L49" s="197"/>
      <c r="M49" s="113"/>
      <c r="N49" s="73" t="s">
        <v>20</v>
      </c>
      <c r="O49" s="18">
        <f>O40*O45</f>
        <v>346500</v>
      </c>
      <c r="P49" s="5">
        <f t="shared" ref="P49:T49" si="2">P40*P45</f>
        <v>253000</v>
      </c>
      <c r="Q49" s="5">
        <f t="shared" si="2"/>
        <v>647900</v>
      </c>
      <c r="R49" s="29">
        <f t="shared" si="2"/>
        <v>644736</v>
      </c>
      <c r="S49" s="5">
        <f t="shared" si="2"/>
        <v>195500</v>
      </c>
      <c r="T49" s="6">
        <f t="shared" si="2"/>
        <v>63750</v>
      </c>
    </row>
    <row r="50" spans="1:20" ht="15" thickBot="1" x14ac:dyDescent="0.35">
      <c r="A50" s="214"/>
      <c r="B50" s="198"/>
      <c r="C50" s="199"/>
      <c r="D50" s="199"/>
      <c r="E50" s="199"/>
      <c r="F50" s="199"/>
      <c r="G50" s="199"/>
      <c r="H50" s="199"/>
      <c r="I50" s="199"/>
      <c r="J50" s="199"/>
      <c r="K50" s="199"/>
      <c r="L50" s="200"/>
      <c r="M50" s="115"/>
      <c r="N50" s="73" t="s">
        <v>17</v>
      </c>
      <c r="O50" s="216">
        <f>SUM(O49:T49)</f>
        <v>2151386</v>
      </c>
      <c r="P50" s="217"/>
      <c r="Q50" s="217"/>
      <c r="R50" s="217"/>
      <c r="S50" s="217"/>
      <c r="T50" s="218"/>
    </row>
    <row r="51" spans="1:20" ht="15" thickBot="1" x14ac:dyDescent="0.35">
      <c r="A51" s="214"/>
      <c r="B51" s="195" t="s">
        <v>18</v>
      </c>
      <c r="C51" s="196"/>
      <c r="D51" s="196"/>
      <c r="E51" s="196"/>
      <c r="F51" s="196"/>
      <c r="G51" s="196"/>
      <c r="H51" s="196"/>
      <c r="I51" s="196"/>
      <c r="J51" s="196"/>
      <c r="K51" s="196"/>
      <c r="L51" s="197"/>
      <c r="M51" s="113"/>
      <c r="N51" s="73" t="s">
        <v>20</v>
      </c>
      <c r="O51" s="17">
        <f t="shared" ref="O51:T51" si="3">O47*O40</f>
        <v>441000</v>
      </c>
      <c r="P51" s="4">
        <f t="shared" si="3"/>
        <v>517500</v>
      </c>
      <c r="Q51" s="4">
        <f t="shared" si="3"/>
        <v>982300</v>
      </c>
      <c r="R51" s="4">
        <f t="shared" si="3"/>
        <v>816000</v>
      </c>
      <c r="S51" s="4">
        <f t="shared" si="3"/>
        <v>382500</v>
      </c>
      <c r="T51" s="7">
        <f t="shared" si="3"/>
        <v>187000</v>
      </c>
    </row>
    <row r="52" spans="1:20" ht="15" thickBot="1" x14ac:dyDescent="0.35">
      <c r="A52" s="214"/>
      <c r="B52" s="198"/>
      <c r="C52" s="199"/>
      <c r="D52" s="199"/>
      <c r="E52" s="199"/>
      <c r="F52" s="199"/>
      <c r="G52" s="199"/>
      <c r="H52" s="199"/>
      <c r="I52" s="199"/>
      <c r="J52" s="199"/>
      <c r="K52" s="199"/>
      <c r="L52" s="200"/>
      <c r="M52" s="115"/>
      <c r="N52" s="73" t="s">
        <v>17</v>
      </c>
      <c r="O52" s="216">
        <f>SUM(O51:T51)</f>
        <v>3326300</v>
      </c>
      <c r="P52" s="217"/>
      <c r="Q52" s="217"/>
      <c r="R52" s="217"/>
      <c r="S52" s="217"/>
      <c r="T52" s="218"/>
    </row>
    <row r="53" spans="1:20" ht="14.7" customHeight="1" thickBot="1" x14ac:dyDescent="0.35">
      <c r="A53" s="214"/>
      <c r="B53" s="195" t="s">
        <v>19</v>
      </c>
      <c r="C53" s="196"/>
      <c r="D53" s="196"/>
      <c r="E53" s="196"/>
      <c r="F53" s="196"/>
      <c r="G53" s="196"/>
      <c r="H53" s="196"/>
      <c r="I53" s="196"/>
      <c r="J53" s="196"/>
      <c r="K53" s="196"/>
      <c r="L53" s="197"/>
      <c r="M53" s="113"/>
      <c r="N53" s="73" t="s">
        <v>20</v>
      </c>
      <c r="O53" s="21">
        <f>O51-O49</f>
        <v>94500</v>
      </c>
      <c r="P53" s="22">
        <f t="shared" ref="P53:T53" si="4">P51-P49</f>
        <v>264500</v>
      </c>
      <c r="Q53" s="22">
        <f t="shared" si="4"/>
        <v>334400</v>
      </c>
      <c r="R53" s="22">
        <f t="shared" si="4"/>
        <v>171264</v>
      </c>
      <c r="S53" s="22">
        <f t="shared" si="4"/>
        <v>187000</v>
      </c>
      <c r="T53" s="23">
        <f t="shared" si="4"/>
        <v>123250</v>
      </c>
    </row>
    <row r="54" spans="1:20" ht="29.7" customHeight="1" thickBot="1" x14ac:dyDescent="0.35">
      <c r="A54" s="214"/>
      <c r="B54" s="198"/>
      <c r="C54" s="199"/>
      <c r="D54" s="199"/>
      <c r="E54" s="199"/>
      <c r="F54" s="199"/>
      <c r="G54" s="199"/>
      <c r="H54" s="199"/>
      <c r="I54" s="199"/>
      <c r="J54" s="199"/>
      <c r="K54" s="199"/>
      <c r="L54" s="200"/>
      <c r="M54" s="115"/>
      <c r="N54" s="73" t="s">
        <v>31</v>
      </c>
      <c r="O54" s="231">
        <f>SUM(O53:T53)</f>
        <v>1174914</v>
      </c>
      <c r="P54" s="232"/>
      <c r="Q54" s="232"/>
      <c r="R54" s="232"/>
      <c r="S54" s="232"/>
      <c r="T54" s="233"/>
    </row>
    <row r="55" spans="1:20" ht="15" thickBot="1" x14ac:dyDescent="0.35">
      <c r="A55" s="214"/>
    </row>
    <row r="56" spans="1:20" ht="14.7" customHeight="1" thickBot="1" x14ac:dyDescent="0.35">
      <c r="A56" s="214"/>
      <c r="B56" s="234" t="s">
        <v>27</v>
      </c>
      <c r="C56" s="235"/>
      <c r="D56" s="235"/>
      <c r="E56" s="235"/>
      <c r="F56" s="235"/>
      <c r="G56" s="235"/>
      <c r="H56" s="235"/>
      <c r="I56" s="235"/>
      <c r="J56" s="235"/>
      <c r="K56" s="235"/>
      <c r="L56" s="235"/>
      <c r="M56" s="235"/>
      <c r="N56" s="236"/>
      <c r="O56" s="195" t="s">
        <v>28</v>
      </c>
      <c r="P56" s="196"/>
      <c r="Q56" s="197"/>
      <c r="R56" s="78" t="s">
        <v>29</v>
      </c>
      <c r="S56" s="11"/>
      <c r="T56" s="11"/>
    </row>
    <row r="57" spans="1:20" ht="15" customHeight="1" x14ac:dyDescent="0.3">
      <c r="A57" s="214"/>
      <c r="B57" s="237"/>
      <c r="C57" s="238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49" t="s">
        <v>115</v>
      </c>
      <c r="P57" s="250"/>
      <c r="Q57" s="250"/>
      <c r="R57" s="80">
        <v>60000</v>
      </c>
      <c r="S57" s="12"/>
      <c r="T57" s="12"/>
    </row>
    <row r="58" spans="1:20" ht="15" customHeight="1" x14ac:dyDescent="0.3">
      <c r="A58" s="214"/>
      <c r="B58" s="237"/>
      <c r="C58" s="238"/>
      <c r="D58" s="238"/>
      <c r="E58" s="238"/>
      <c r="F58" s="238"/>
      <c r="G58" s="238"/>
      <c r="H58" s="238"/>
      <c r="I58" s="238"/>
      <c r="J58" s="238"/>
      <c r="K58" s="238"/>
      <c r="L58" s="238"/>
      <c r="M58" s="238"/>
      <c r="N58" s="238"/>
      <c r="O58" s="192" t="s">
        <v>194</v>
      </c>
      <c r="P58" s="193"/>
      <c r="Q58" s="193"/>
      <c r="R58" s="81">
        <v>30000</v>
      </c>
      <c r="S58" s="12"/>
      <c r="T58" s="12"/>
    </row>
    <row r="59" spans="1:20" ht="15" customHeight="1" x14ac:dyDescent="0.3">
      <c r="A59" s="214"/>
      <c r="B59" s="237"/>
      <c r="C59" s="238"/>
      <c r="D59" s="238"/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192" t="s">
        <v>193</v>
      </c>
      <c r="P59" s="193"/>
      <c r="Q59" s="193"/>
      <c r="R59" s="81">
        <v>30000</v>
      </c>
      <c r="S59" s="12"/>
      <c r="T59" s="12"/>
    </row>
    <row r="60" spans="1:20" ht="15" customHeight="1" x14ac:dyDescent="0.3">
      <c r="A60" s="214"/>
      <c r="B60" s="237"/>
      <c r="C60" s="238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92" t="s">
        <v>192</v>
      </c>
      <c r="P60" s="193"/>
      <c r="Q60" s="193"/>
      <c r="R60" s="81">
        <v>30000</v>
      </c>
      <c r="S60" s="12"/>
      <c r="T60" s="12"/>
    </row>
    <row r="61" spans="1:20" ht="15" customHeight="1" x14ac:dyDescent="0.3">
      <c r="A61" s="214"/>
      <c r="B61" s="237"/>
      <c r="C61" s="238"/>
      <c r="D61" s="238"/>
      <c r="E61" s="238"/>
      <c r="F61" s="238"/>
      <c r="G61" s="238"/>
      <c r="H61" s="238"/>
      <c r="I61" s="238"/>
      <c r="J61" s="238"/>
      <c r="K61" s="238"/>
      <c r="L61" s="238"/>
      <c r="M61" s="238"/>
      <c r="N61" s="238"/>
      <c r="O61" s="192" t="s">
        <v>207</v>
      </c>
      <c r="P61" s="193"/>
      <c r="Q61" s="193"/>
      <c r="R61" s="81">
        <v>20000</v>
      </c>
      <c r="S61" s="12"/>
      <c r="T61" s="12"/>
    </row>
    <row r="62" spans="1:20" ht="15" customHeight="1" x14ac:dyDescent="0.3">
      <c r="A62" s="214"/>
      <c r="B62" s="237"/>
      <c r="C62" s="238"/>
      <c r="D62" s="238"/>
      <c r="E62" s="238"/>
      <c r="F62" s="238"/>
      <c r="G62" s="238"/>
      <c r="H62" s="238"/>
      <c r="I62" s="238"/>
      <c r="J62" s="238"/>
      <c r="K62" s="238"/>
      <c r="L62" s="238"/>
      <c r="M62" s="238"/>
      <c r="N62" s="238"/>
      <c r="O62" s="192" t="s">
        <v>208</v>
      </c>
      <c r="P62" s="193"/>
      <c r="Q62" s="193"/>
      <c r="R62" s="81">
        <v>40000</v>
      </c>
      <c r="S62" s="12"/>
      <c r="T62" s="12"/>
    </row>
    <row r="63" spans="1:20" ht="15" customHeight="1" x14ac:dyDescent="0.3">
      <c r="A63" s="214"/>
      <c r="B63" s="237"/>
      <c r="C63" s="238"/>
      <c r="D63" s="238"/>
      <c r="E63" s="238"/>
      <c r="F63" s="238"/>
      <c r="G63" s="238"/>
      <c r="H63" s="238"/>
      <c r="I63" s="238"/>
      <c r="J63" s="238"/>
      <c r="K63" s="238"/>
      <c r="L63" s="238"/>
      <c r="M63" s="238"/>
      <c r="N63" s="238"/>
      <c r="O63" s="192" t="s">
        <v>209</v>
      </c>
      <c r="P63" s="193"/>
      <c r="Q63" s="193"/>
      <c r="R63" s="81">
        <v>20000</v>
      </c>
      <c r="S63" s="12"/>
      <c r="T63" s="12"/>
    </row>
    <row r="64" spans="1:20" ht="15" customHeight="1" x14ac:dyDescent="0.3">
      <c r="A64" s="214"/>
      <c r="B64" s="237"/>
      <c r="C64" s="238"/>
      <c r="D64" s="238"/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192" t="s">
        <v>210</v>
      </c>
      <c r="P64" s="193"/>
      <c r="Q64" s="193"/>
      <c r="R64" s="81">
        <v>20000</v>
      </c>
      <c r="S64" s="12"/>
      <c r="T64" s="12"/>
    </row>
    <row r="65" spans="1:20" ht="15" customHeight="1" thickBot="1" x14ac:dyDescent="0.35">
      <c r="A65" s="214"/>
      <c r="B65" s="237"/>
      <c r="C65" s="238"/>
      <c r="D65" s="238"/>
      <c r="E65" s="238"/>
      <c r="F65" s="238"/>
      <c r="G65" s="238"/>
      <c r="H65" s="238"/>
      <c r="I65" s="238"/>
      <c r="J65" s="238"/>
      <c r="K65" s="238"/>
      <c r="L65" s="238"/>
      <c r="M65" s="238"/>
      <c r="N65" s="238"/>
      <c r="O65" s="251" t="s">
        <v>211</v>
      </c>
      <c r="P65" s="252"/>
      <c r="Q65" s="252"/>
      <c r="R65" s="82">
        <v>50000</v>
      </c>
      <c r="S65" s="12"/>
      <c r="T65" s="12"/>
    </row>
    <row r="66" spans="1:20" ht="15.75" customHeight="1" thickBot="1" x14ac:dyDescent="0.35">
      <c r="A66" s="214"/>
      <c r="B66" s="240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2"/>
      <c r="O66" s="253" t="s">
        <v>17</v>
      </c>
      <c r="P66" s="254"/>
      <c r="Q66" s="255"/>
      <c r="R66" s="79">
        <f>SUM(R57:R65)</f>
        <v>300000</v>
      </c>
      <c r="S66" s="12"/>
      <c r="T66" s="12"/>
    </row>
    <row r="67" spans="1:20" ht="15" thickBot="1" x14ac:dyDescent="0.35">
      <c r="A67" s="214"/>
    </row>
    <row r="68" spans="1:20" ht="51.75" customHeight="1" thickBot="1" x14ac:dyDescent="0.35">
      <c r="A68" s="215"/>
      <c r="B68" s="225" t="s">
        <v>19</v>
      </c>
      <c r="C68" s="226"/>
      <c r="D68" s="226"/>
      <c r="E68" s="226"/>
      <c r="F68" s="226"/>
      <c r="G68" s="226"/>
      <c r="H68" s="226"/>
      <c r="I68" s="226"/>
      <c r="J68" s="226"/>
      <c r="K68" s="226"/>
      <c r="L68" s="227"/>
      <c r="M68" s="116"/>
      <c r="N68" s="72" t="s">
        <v>17</v>
      </c>
      <c r="O68" s="228">
        <f>O54-R66</f>
        <v>874914</v>
      </c>
      <c r="P68" s="229"/>
      <c r="Q68" s="229"/>
      <c r="R68" s="229"/>
      <c r="S68" s="229"/>
      <c r="T68" s="230"/>
    </row>
    <row r="69" spans="1:20" ht="15.75" customHeight="1" x14ac:dyDescent="0.3">
      <c r="A69" s="45"/>
      <c r="P69" s="43"/>
      <c r="Q69" s="43"/>
      <c r="R69" s="43"/>
      <c r="T69" s="75"/>
    </row>
    <row r="70" spans="1:20" ht="15" customHeight="1" x14ac:dyDescent="0.3">
      <c r="A70" s="45"/>
      <c r="P70" s="43"/>
      <c r="Q70" s="43"/>
      <c r="R70" s="43"/>
      <c r="T70" s="13"/>
    </row>
    <row r="71" spans="1:20" ht="15" customHeight="1" x14ac:dyDescent="0.3">
      <c r="P71" s="43"/>
      <c r="Q71" s="43"/>
      <c r="R71" s="43"/>
      <c r="T71" s="13"/>
    </row>
    <row r="72" spans="1:20" ht="15" customHeight="1" x14ac:dyDescent="0.3">
      <c r="P72" s="43"/>
      <c r="Q72" s="43"/>
      <c r="R72" s="43"/>
      <c r="T72" s="13"/>
    </row>
    <row r="73" spans="1:20" ht="15" customHeight="1" x14ac:dyDescent="0.3">
      <c r="P73" s="43"/>
      <c r="Q73" s="43"/>
      <c r="R73" s="43"/>
      <c r="T73" s="13"/>
    </row>
    <row r="74" spans="1:20" ht="15" customHeight="1" x14ac:dyDescent="0.3">
      <c r="P74" s="43"/>
      <c r="Q74" s="43"/>
      <c r="R74" s="43"/>
      <c r="T74" s="13"/>
    </row>
    <row r="75" spans="1:20" ht="15" customHeight="1" x14ac:dyDescent="0.3">
      <c r="P75" s="43"/>
      <c r="Q75" s="43"/>
      <c r="R75" s="43"/>
      <c r="T75" s="13"/>
    </row>
    <row r="76" spans="1:20" ht="15" customHeight="1" x14ac:dyDescent="0.3">
      <c r="P76" s="43"/>
      <c r="Q76" s="43"/>
      <c r="R76" s="43"/>
      <c r="T76" s="13"/>
    </row>
    <row r="77" spans="1:20" ht="15.75" customHeight="1" x14ac:dyDescent="0.3">
      <c r="P77" s="43"/>
      <c r="Q77" s="43"/>
      <c r="R77" s="43"/>
      <c r="T77" s="13"/>
    </row>
  </sheetData>
  <mergeCells count="26"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309"/>
    <col min="2" max="2" width="12.44140625" style="309" customWidth="1"/>
    <col min="3" max="3" width="15.33203125" style="309" customWidth="1"/>
    <col min="4" max="4" width="38" style="309" hidden="1" customWidth="1" outlineLevel="1"/>
    <col min="5" max="5" width="15.109375" style="309" hidden="1" customWidth="1" outlineLevel="1"/>
    <col min="6" max="6" width="16.5546875" style="309" hidden="1" customWidth="1" outlineLevel="1"/>
    <col min="7" max="7" width="14.6640625" style="309" hidden="1" customWidth="1" outlineLevel="1"/>
    <col min="8" max="8" width="10.5546875" style="309" hidden="1" customWidth="1" outlineLevel="1"/>
    <col min="9" max="9" width="18.44140625" style="309" hidden="1" customWidth="1" outlineLevel="1"/>
    <col min="10" max="10" width="33.5546875" style="309" hidden="1" customWidth="1" outlineLevel="1"/>
    <col min="11" max="11" width="33.5546875" style="309" customWidth="1" outlineLevel="1"/>
    <col min="12" max="14" width="10.77734375" style="309" customWidth="1"/>
    <col min="15" max="20" width="15.44140625" style="309" customWidth="1"/>
    <col min="21" max="21" width="11.44140625" style="309"/>
    <col min="22" max="22" width="71.44140625" style="310" customWidth="1"/>
    <col min="23" max="16384" width="11.44140625" style="309"/>
  </cols>
  <sheetData>
    <row r="1" spans="1:22" ht="15" thickBot="1" x14ac:dyDescent="0.35"/>
    <row r="2" spans="1:22" ht="29.7" customHeight="1" thickBot="1" x14ac:dyDescent="0.35">
      <c r="B2" s="311" t="s">
        <v>266</v>
      </c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3"/>
      <c r="O2" s="314" t="s">
        <v>12</v>
      </c>
      <c r="P2" s="315"/>
      <c r="Q2" s="315"/>
      <c r="R2" s="315"/>
      <c r="S2" s="315"/>
      <c r="T2" s="316"/>
    </row>
    <row r="3" spans="1:22" s="317" customFormat="1" ht="15" thickBot="1" x14ac:dyDescent="0.35">
      <c r="L3" s="318"/>
      <c r="M3" s="318"/>
      <c r="N3" s="318"/>
      <c r="O3" s="319" t="s">
        <v>32</v>
      </c>
      <c r="P3" s="319" t="s">
        <v>34</v>
      </c>
      <c r="Q3" s="319" t="s">
        <v>5</v>
      </c>
      <c r="R3" s="319" t="s">
        <v>35</v>
      </c>
      <c r="S3" s="319" t="s">
        <v>36</v>
      </c>
      <c r="T3" s="319" t="s">
        <v>23</v>
      </c>
      <c r="V3" s="310"/>
    </row>
    <row r="4" spans="1:22" s="320" customFormat="1" ht="15" thickBot="1" x14ac:dyDescent="0.35">
      <c r="B4" s="321" t="s">
        <v>0</v>
      </c>
      <c r="C4" s="321" t="s">
        <v>1</v>
      </c>
      <c r="D4" s="321" t="s">
        <v>2</v>
      </c>
      <c r="E4" s="321" t="s">
        <v>3</v>
      </c>
      <c r="F4" s="321" t="s">
        <v>6</v>
      </c>
      <c r="G4" s="321" t="s">
        <v>24</v>
      </c>
      <c r="H4" s="321" t="s">
        <v>4</v>
      </c>
      <c r="I4" s="321" t="s">
        <v>25</v>
      </c>
      <c r="J4" s="321" t="s">
        <v>26</v>
      </c>
      <c r="K4" s="321" t="s">
        <v>41</v>
      </c>
      <c r="L4" s="321" t="s">
        <v>40</v>
      </c>
      <c r="M4" s="321" t="s">
        <v>43</v>
      </c>
      <c r="N4" s="321" t="s">
        <v>263</v>
      </c>
      <c r="O4" s="319" t="s">
        <v>32</v>
      </c>
      <c r="P4" s="319" t="s">
        <v>34</v>
      </c>
      <c r="Q4" s="319" t="s">
        <v>5</v>
      </c>
      <c r="R4" s="319" t="s">
        <v>35</v>
      </c>
      <c r="S4" s="319" t="s">
        <v>36</v>
      </c>
      <c r="T4" s="319" t="s">
        <v>23</v>
      </c>
      <c r="U4" s="322" t="s">
        <v>17</v>
      </c>
      <c r="V4" s="323" t="s">
        <v>42</v>
      </c>
    </row>
    <row r="5" spans="1:22" outlineLevel="1" x14ac:dyDescent="0.3">
      <c r="A5" s="324"/>
      <c r="B5" s="325" t="s">
        <v>165</v>
      </c>
      <c r="C5" s="326" t="s">
        <v>106</v>
      </c>
      <c r="D5" s="326" t="s">
        <v>166</v>
      </c>
      <c r="E5" s="326" t="s">
        <v>52</v>
      </c>
      <c r="F5" s="326" t="s">
        <v>97</v>
      </c>
      <c r="G5" s="326" t="s">
        <v>63</v>
      </c>
      <c r="H5" s="326" t="s">
        <v>55</v>
      </c>
      <c r="I5" s="327">
        <v>56986194003</v>
      </c>
      <c r="J5" s="328" t="s">
        <v>167</v>
      </c>
      <c r="K5" s="328" t="s">
        <v>89</v>
      </c>
      <c r="L5" s="329" t="s">
        <v>190</v>
      </c>
      <c r="M5" s="329" t="s">
        <v>196</v>
      </c>
      <c r="N5" s="330">
        <f>SUMPRODUCT(Tabla5235[[#This Row],[Naranjas]:[Nueces]],O$25:T$25)</f>
        <v>37000</v>
      </c>
      <c r="O5" s="329">
        <v>0</v>
      </c>
      <c r="P5" s="329">
        <v>0</v>
      </c>
      <c r="Q5" s="329">
        <v>10</v>
      </c>
      <c r="R5" s="329">
        <v>0</v>
      </c>
      <c r="S5" s="329">
        <v>0</v>
      </c>
      <c r="T5" s="329">
        <v>0</v>
      </c>
      <c r="U5" s="329">
        <f>SUM(Tabla5235[[#This Row],[Naranjas]:[Nueces]])</f>
        <v>10</v>
      </c>
      <c r="V5" s="331"/>
    </row>
    <row r="6" spans="1:22" outlineLevel="1" x14ac:dyDescent="0.3">
      <c r="A6" s="332"/>
      <c r="B6" s="333" t="s">
        <v>128</v>
      </c>
      <c r="C6" s="330" t="s">
        <v>158</v>
      </c>
      <c r="D6" s="330" t="s">
        <v>159</v>
      </c>
      <c r="E6" s="330" t="s">
        <v>52</v>
      </c>
      <c r="F6" s="330" t="s">
        <v>97</v>
      </c>
      <c r="G6" s="330" t="s">
        <v>63</v>
      </c>
      <c r="H6" s="330" t="s">
        <v>55</v>
      </c>
      <c r="I6" s="334">
        <v>56967898535</v>
      </c>
      <c r="J6" s="335" t="s">
        <v>160</v>
      </c>
      <c r="K6" s="335" t="s">
        <v>119</v>
      </c>
      <c r="L6" s="336" t="s">
        <v>190</v>
      </c>
      <c r="M6" s="336" t="s">
        <v>190</v>
      </c>
      <c r="N6" s="330">
        <f>SUMPRODUCT(Tabla5235[[#This Row],[Naranjas]:[Nueces]],O$25:T$25)</f>
        <v>25300</v>
      </c>
      <c r="O6" s="336">
        <v>1</v>
      </c>
      <c r="P6" s="336">
        <v>2</v>
      </c>
      <c r="Q6" s="336">
        <v>4</v>
      </c>
      <c r="R6" s="336">
        <v>0</v>
      </c>
      <c r="S6" s="336">
        <v>0</v>
      </c>
      <c r="T6" s="336">
        <v>0</v>
      </c>
      <c r="U6" s="336">
        <f>SUM(Tabla5235[[#This Row],[Naranjas]:[Nueces]])</f>
        <v>7</v>
      </c>
      <c r="V6" s="337"/>
    </row>
    <row r="7" spans="1:22" outlineLevel="1" x14ac:dyDescent="0.3">
      <c r="A7" s="332"/>
      <c r="B7" s="333" t="s">
        <v>137</v>
      </c>
      <c r="C7" s="330" t="s">
        <v>101</v>
      </c>
      <c r="D7" s="330" t="s">
        <v>138</v>
      </c>
      <c r="E7" s="330" t="s">
        <v>80</v>
      </c>
      <c r="F7" s="330" t="s">
        <v>139</v>
      </c>
      <c r="G7" s="330" t="s">
        <v>113</v>
      </c>
      <c r="H7" s="330" t="s">
        <v>55</v>
      </c>
      <c r="I7" s="334">
        <v>56957230044</v>
      </c>
      <c r="J7" s="335" t="s">
        <v>140</v>
      </c>
      <c r="K7" s="335" t="s">
        <v>57</v>
      </c>
      <c r="L7" s="336" t="s">
        <v>190</v>
      </c>
      <c r="M7" s="336" t="s">
        <v>190</v>
      </c>
      <c r="N7" s="330">
        <f>SUMPRODUCT(Tabla5235[[#This Row],[Naranjas]:[Nueces]],O$25:T$25)</f>
        <v>10900</v>
      </c>
      <c r="O7" s="336">
        <v>1</v>
      </c>
      <c r="P7" s="336">
        <v>0</v>
      </c>
      <c r="Q7" s="336">
        <v>2</v>
      </c>
      <c r="R7" s="336">
        <v>0</v>
      </c>
      <c r="S7" s="336">
        <v>0</v>
      </c>
      <c r="T7" s="336">
        <v>0</v>
      </c>
      <c r="U7" s="336">
        <f>SUM(Tabla5235[[#This Row],[Naranjas]:[Nueces]])</f>
        <v>3</v>
      </c>
      <c r="V7" s="337"/>
    </row>
    <row r="8" spans="1:22" outlineLevel="1" x14ac:dyDescent="0.3">
      <c r="A8" s="332"/>
      <c r="B8" s="333" t="s">
        <v>58</v>
      </c>
      <c r="C8" s="330" t="s">
        <v>59</v>
      </c>
      <c r="D8" s="330" t="s">
        <v>60</v>
      </c>
      <c r="E8" s="330" t="s">
        <v>61</v>
      </c>
      <c r="F8" s="330" t="s">
        <v>62</v>
      </c>
      <c r="G8" s="330" t="s">
        <v>63</v>
      </c>
      <c r="H8" s="330" t="s">
        <v>55</v>
      </c>
      <c r="I8" s="334">
        <v>56942723186</v>
      </c>
      <c r="J8" s="335" t="s">
        <v>64</v>
      </c>
      <c r="K8" s="335" t="s">
        <v>57</v>
      </c>
      <c r="L8" s="336" t="s">
        <v>190</v>
      </c>
      <c r="M8" s="336" t="s">
        <v>190</v>
      </c>
      <c r="N8" s="330">
        <f>SUMPRODUCT(Tabla5235[[#This Row],[Naranjas]:[Nueces]],O$25:T$25)</f>
        <v>25900</v>
      </c>
      <c r="O8" s="336">
        <v>1</v>
      </c>
      <c r="P8" s="336">
        <v>3</v>
      </c>
      <c r="Q8" s="336">
        <v>2</v>
      </c>
      <c r="R8" s="336">
        <v>0</v>
      </c>
      <c r="S8" s="336">
        <v>1</v>
      </c>
      <c r="T8" s="336">
        <v>0</v>
      </c>
      <c r="U8" s="336">
        <f>SUM(Tabla5235[[#This Row],[Naranjas]:[Nueces]])</f>
        <v>7</v>
      </c>
      <c r="V8" s="337"/>
    </row>
    <row r="9" spans="1:22" outlineLevel="1" x14ac:dyDescent="0.3">
      <c r="A9" s="332"/>
      <c r="B9" s="333" t="s">
        <v>231</v>
      </c>
      <c r="C9" s="330" t="s">
        <v>232</v>
      </c>
      <c r="D9" s="330" t="s">
        <v>233</v>
      </c>
      <c r="E9" s="330" t="s">
        <v>61</v>
      </c>
      <c r="F9" s="330" t="s">
        <v>68</v>
      </c>
      <c r="G9" s="330" t="s">
        <v>113</v>
      </c>
      <c r="H9" s="330" t="s">
        <v>55</v>
      </c>
      <c r="I9" s="334">
        <v>56995483434</v>
      </c>
      <c r="J9" s="335" t="s">
        <v>234</v>
      </c>
      <c r="K9" s="335" t="s">
        <v>57</v>
      </c>
      <c r="L9" s="336" t="s">
        <v>190</v>
      </c>
      <c r="M9" s="336" t="s">
        <v>190</v>
      </c>
      <c r="N9" s="330">
        <f>SUMPRODUCT(Tabla5235[[#This Row],[Naranjas]:[Nueces]],O$25:T$25)</f>
        <v>7200</v>
      </c>
      <c r="O9" s="336">
        <v>0</v>
      </c>
      <c r="P9" s="336">
        <v>1</v>
      </c>
      <c r="Q9" s="336">
        <v>1</v>
      </c>
      <c r="R9" s="336">
        <v>0</v>
      </c>
      <c r="S9" s="336">
        <v>0</v>
      </c>
      <c r="T9" s="336">
        <v>0</v>
      </c>
      <c r="U9" s="336">
        <f>SUM(Tabla5235[[#This Row],[Naranjas]:[Nueces]])</f>
        <v>2</v>
      </c>
      <c r="V9" s="337"/>
    </row>
    <row r="10" spans="1:22" outlineLevel="1" x14ac:dyDescent="0.3">
      <c r="A10" s="332"/>
      <c r="B10" s="338" t="s">
        <v>49</v>
      </c>
      <c r="C10" s="339" t="s">
        <v>50</v>
      </c>
      <c r="D10" s="340" t="s">
        <v>51</v>
      </c>
      <c r="E10" s="340" t="s">
        <v>52</v>
      </c>
      <c r="F10" s="340" t="s">
        <v>53</v>
      </c>
      <c r="G10" s="340" t="s">
        <v>54</v>
      </c>
      <c r="H10" s="340" t="s">
        <v>55</v>
      </c>
      <c r="I10" s="341">
        <v>56998246537</v>
      </c>
      <c r="J10" s="335" t="s">
        <v>56</v>
      </c>
      <c r="K10" s="335" t="s">
        <v>57</v>
      </c>
      <c r="L10" s="336" t="s">
        <v>190</v>
      </c>
      <c r="M10" s="336" t="s">
        <v>190</v>
      </c>
      <c r="N10" s="330">
        <f>SUMPRODUCT(Tabla5235[[#This Row],[Naranjas]:[Nueces]],O$25:T$25)</f>
        <v>50800</v>
      </c>
      <c r="O10" s="336">
        <v>0</v>
      </c>
      <c r="P10" s="336">
        <v>1</v>
      </c>
      <c r="Q10" s="336">
        <v>4</v>
      </c>
      <c r="R10" s="336">
        <v>2</v>
      </c>
      <c r="S10" s="336">
        <v>1</v>
      </c>
      <c r="T10" s="336">
        <v>2</v>
      </c>
      <c r="U10" s="336">
        <f>SUM(Tabla5235[[#This Row],[Naranjas]:[Nueces]])</f>
        <v>10</v>
      </c>
      <c r="V10" s="337"/>
    </row>
    <row r="11" spans="1:22" outlineLevel="1" x14ac:dyDescent="0.3">
      <c r="A11" s="332"/>
      <c r="B11" s="333" t="s">
        <v>83</v>
      </c>
      <c r="C11" s="330" t="s">
        <v>84</v>
      </c>
      <c r="D11" s="330" t="s">
        <v>85</v>
      </c>
      <c r="E11" s="330" t="s">
        <v>61</v>
      </c>
      <c r="F11" s="330" t="s">
        <v>86</v>
      </c>
      <c r="G11" s="330" t="s">
        <v>87</v>
      </c>
      <c r="H11" s="330" t="s">
        <v>55</v>
      </c>
      <c r="I11" s="334">
        <v>56956481962</v>
      </c>
      <c r="J11" s="335" t="s">
        <v>88</v>
      </c>
      <c r="K11" s="335" t="s">
        <v>89</v>
      </c>
      <c r="L11" s="336" t="s">
        <v>190</v>
      </c>
      <c r="M11" s="336" t="s">
        <v>190</v>
      </c>
      <c r="N11" s="330">
        <f>SUMPRODUCT(Tabla5235[[#This Row],[Naranjas]:[Nueces]],O$25:T$25)</f>
        <v>46400</v>
      </c>
      <c r="O11" s="336">
        <v>2</v>
      </c>
      <c r="P11" s="336">
        <v>1</v>
      </c>
      <c r="Q11" s="336">
        <v>7</v>
      </c>
      <c r="R11" s="336">
        <v>0</v>
      </c>
      <c r="S11" s="336">
        <v>1</v>
      </c>
      <c r="T11" s="336">
        <v>1</v>
      </c>
      <c r="U11" s="336">
        <f>SUM(Tabla5235[[#This Row],[Naranjas]:[Nueces]])</f>
        <v>12</v>
      </c>
      <c r="V11" s="337"/>
    </row>
    <row r="12" spans="1:22" outlineLevel="1" x14ac:dyDescent="0.3">
      <c r="A12" s="332"/>
      <c r="B12" s="333" t="s">
        <v>173</v>
      </c>
      <c r="C12" s="330" t="s">
        <v>174</v>
      </c>
      <c r="D12" s="330" t="s">
        <v>175</v>
      </c>
      <c r="E12" s="330" t="s">
        <v>74</v>
      </c>
      <c r="F12" s="330" t="s">
        <v>75</v>
      </c>
      <c r="G12" s="330" t="s">
        <v>176</v>
      </c>
      <c r="H12" s="330" t="s">
        <v>55</v>
      </c>
      <c r="I12" s="334">
        <v>56979987750</v>
      </c>
      <c r="J12" s="335" t="s">
        <v>177</v>
      </c>
      <c r="K12" s="335" t="s">
        <v>89</v>
      </c>
      <c r="L12" s="336" t="s">
        <v>190</v>
      </c>
      <c r="M12" s="336" t="s">
        <v>190</v>
      </c>
      <c r="N12" s="330">
        <f>SUMPRODUCT(Tabla5235[[#This Row],[Naranjas]:[Nueces]],O$25:T$25)</f>
        <v>76100</v>
      </c>
      <c r="O12" s="336">
        <v>0</v>
      </c>
      <c r="P12" s="336">
        <v>8</v>
      </c>
      <c r="Q12" s="336">
        <v>13</v>
      </c>
      <c r="R12" s="336">
        <v>0</v>
      </c>
      <c r="S12" s="336">
        <v>0</v>
      </c>
      <c r="T12" s="336">
        <v>0</v>
      </c>
      <c r="U12" s="336">
        <f>SUM(Tabla5235[[#This Row],[Naranjas]:[Nueces]])</f>
        <v>21</v>
      </c>
      <c r="V12" s="337"/>
    </row>
    <row r="13" spans="1:22" outlineLevel="1" x14ac:dyDescent="0.3">
      <c r="A13" s="332"/>
      <c r="B13" s="333" t="s">
        <v>100</v>
      </c>
      <c r="C13" s="330" t="s">
        <v>101</v>
      </c>
      <c r="D13" s="330" t="s">
        <v>102</v>
      </c>
      <c r="E13" s="330" t="s">
        <v>52</v>
      </c>
      <c r="F13" s="330" t="s">
        <v>97</v>
      </c>
      <c r="G13" s="330" t="s">
        <v>103</v>
      </c>
      <c r="H13" s="330" t="s">
        <v>55</v>
      </c>
      <c r="I13" s="334">
        <v>56966640363</v>
      </c>
      <c r="J13" s="335" t="s">
        <v>104</v>
      </c>
      <c r="K13" s="335" t="s">
        <v>89</v>
      </c>
      <c r="L13" s="336" t="s">
        <v>190</v>
      </c>
      <c r="M13" s="336" t="s">
        <v>190</v>
      </c>
      <c r="N13" s="330">
        <f>SUMPRODUCT(Tabla5235[[#This Row],[Naranjas]:[Nueces]],O$25:T$25)</f>
        <v>8200</v>
      </c>
      <c r="O13" s="336">
        <v>0</v>
      </c>
      <c r="P13" s="336">
        <v>0</v>
      </c>
      <c r="Q13" s="336">
        <v>1</v>
      </c>
      <c r="R13" s="336">
        <v>0</v>
      </c>
      <c r="S13" s="336">
        <v>1</v>
      </c>
      <c r="T13" s="336">
        <v>0</v>
      </c>
      <c r="U13" s="336">
        <f>SUM(Tabla5235[[#This Row],[Naranjas]:[Nueces]])</f>
        <v>2</v>
      </c>
      <c r="V13" s="337"/>
    </row>
    <row r="14" spans="1:22" outlineLevel="1" x14ac:dyDescent="0.3">
      <c r="A14" s="332"/>
      <c r="B14" s="333" t="s">
        <v>105</v>
      </c>
      <c r="C14" s="330" t="s">
        <v>106</v>
      </c>
      <c r="D14" s="330" t="s">
        <v>107</v>
      </c>
      <c r="E14" s="330" t="s">
        <v>61</v>
      </c>
      <c r="F14" s="330" t="s">
        <v>86</v>
      </c>
      <c r="G14" s="330" t="s">
        <v>108</v>
      </c>
      <c r="H14" s="330" t="s">
        <v>55</v>
      </c>
      <c r="I14" s="334">
        <v>56982978895</v>
      </c>
      <c r="J14" s="335" t="s">
        <v>109</v>
      </c>
      <c r="K14" s="335" t="s">
        <v>89</v>
      </c>
      <c r="L14" s="336" t="s">
        <v>190</v>
      </c>
      <c r="M14" s="336" t="s">
        <v>190</v>
      </c>
      <c r="N14" s="330">
        <f>SUMPRODUCT(Tabla5235[[#This Row],[Naranjas]:[Nueces]],O$25:T$25)</f>
        <v>3500</v>
      </c>
      <c r="O14" s="336">
        <v>0</v>
      </c>
      <c r="P14" s="336">
        <v>1</v>
      </c>
      <c r="Q14" s="336">
        <v>0</v>
      </c>
      <c r="R14" s="336">
        <v>0</v>
      </c>
      <c r="S14" s="336">
        <v>0</v>
      </c>
      <c r="T14" s="336">
        <v>0</v>
      </c>
      <c r="U14" s="336">
        <f>SUM(Tabla5235[[#This Row],[Naranjas]:[Nueces]])</f>
        <v>1</v>
      </c>
      <c r="V14" s="337"/>
    </row>
    <row r="15" spans="1:22" ht="15" outlineLevel="1" thickBot="1" x14ac:dyDescent="0.35">
      <c r="A15" s="342"/>
      <c r="B15" s="343" t="s">
        <v>182</v>
      </c>
      <c r="C15" s="344" t="s">
        <v>183</v>
      </c>
      <c r="D15" s="344" t="s">
        <v>184</v>
      </c>
      <c r="E15" s="344" t="s">
        <v>52</v>
      </c>
      <c r="F15" s="344" t="s">
        <v>97</v>
      </c>
      <c r="G15" s="344" t="s">
        <v>103</v>
      </c>
      <c r="H15" s="344" t="s">
        <v>55</v>
      </c>
      <c r="I15" s="345">
        <v>56952304675</v>
      </c>
      <c r="J15" s="346" t="s">
        <v>185</v>
      </c>
      <c r="K15" s="346" t="s">
        <v>89</v>
      </c>
      <c r="L15" s="347" t="s">
        <v>190</v>
      </c>
      <c r="M15" s="347" t="s">
        <v>190</v>
      </c>
      <c r="N15" s="330">
        <f>SUMPRODUCT(Tabla5235[[#This Row],[Naranjas]:[Nueces]],O$25:T$25)</f>
        <v>3500</v>
      </c>
      <c r="O15" s="347">
        <v>0</v>
      </c>
      <c r="P15" s="347">
        <v>1</v>
      </c>
      <c r="Q15" s="347">
        <v>0</v>
      </c>
      <c r="R15" s="347">
        <v>0</v>
      </c>
      <c r="S15" s="347">
        <v>0</v>
      </c>
      <c r="T15" s="347">
        <v>0</v>
      </c>
      <c r="U15" s="347">
        <f>SUM(Tabla5235[[#This Row],[Naranjas]:[Nueces]])</f>
        <v>1</v>
      </c>
      <c r="V15" s="348"/>
    </row>
    <row r="16" spans="1:22" outlineLevel="1" x14ac:dyDescent="0.3">
      <c r="A16" s="349"/>
      <c r="B16" s="350"/>
      <c r="C16" s="350"/>
      <c r="D16" s="350"/>
      <c r="E16" s="350"/>
      <c r="F16" s="350"/>
      <c r="G16" s="350"/>
      <c r="H16" s="350"/>
      <c r="I16" s="351"/>
      <c r="J16" s="352"/>
      <c r="K16" s="352"/>
      <c r="L16" s="353"/>
      <c r="M16" s="353"/>
      <c r="N16" s="353"/>
      <c r="O16" s="353"/>
      <c r="P16" s="353"/>
      <c r="Q16" s="353"/>
      <c r="R16" s="353"/>
      <c r="S16" s="353"/>
      <c r="T16" s="353"/>
      <c r="U16" s="353"/>
    </row>
    <row r="17" spans="1:20" ht="15" thickBot="1" x14ac:dyDescent="0.35"/>
    <row r="18" spans="1:20" ht="14.7" customHeight="1" thickBot="1" x14ac:dyDescent="0.35">
      <c r="A18" s="354" t="s">
        <v>21</v>
      </c>
      <c r="B18" s="355" t="s">
        <v>7</v>
      </c>
      <c r="C18" s="356"/>
      <c r="D18" s="356"/>
      <c r="E18" s="356"/>
      <c r="F18" s="356"/>
      <c r="G18" s="356"/>
      <c r="H18" s="356"/>
      <c r="I18" s="356"/>
      <c r="J18" s="356"/>
      <c r="K18" s="356"/>
      <c r="L18" s="357"/>
      <c r="M18" s="358"/>
      <c r="N18" s="359" t="s">
        <v>9</v>
      </c>
      <c r="O18" s="360">
        <f>SUM(Tabla5235[Naranjas])</f>
        <v>5</v>
      </c>
      <c r="P18" s="329">
        <f>SUM(Tabla5235[Mandarinas])</f>
        <v>18</v>
      </c>
      <c r="Q18" s="329">
        <f>SUM(Tabla5235[Paltas])</f>
        <v>44</v>
      </c>
      <c r="R18" s="329">
        <f>SUM(Tabla5235[Quesos])</f>
        <v>2</v>
      </c>
      <c r="S18" s="329">
        <f>SUM(Tabla5235[Tomate Cherry])</f>
        <v>4</v>
      </c>
      <c r="T18" s="361">
        <f>SUM(Tabla5235[Nueces])</f>
        <v>3</v>
      </c>
    </row>
    <row r="19" spans="1:20" ht="14.7" customHeight="1" thickBot="1" x14ac:dyDescent="0.35">
      <c r="A19" s="362"/>
      <c r="B19" s="363"/>
      <c r="C19" s="364"/>
      <c r="D19" s="364"/>
      <c r="E19" s="364"/>
      <c r="F19" s="364"/>
      <c r="G19" s="364"/>
      <c r="H19" s="364"/>
      <c r="I19" s="364"/>
      <c r="J19" s="364"/>
      <c r="K19" s="364"/>
      <c r="L19" s="365"/>
      <c r="M19" s="366"/>
      <c r="N19" s="359" t="s">
        <v>30</v>
      </c>
      <c r="O19" s="367">
        <v>5</v>
      </c>
      <c r="P19" s="336">
        <v>4</v>
      </c>
      <c r="Q19" s="336">
        <v>2</v>
      </c>
      <c r="R19" s="368">
        <v>1</v>
      </c>
      <c r="S19" s="336">
        <v>1</v>
      </c>
      <c r="T19" s="369">
        <v>0.25</v>
      </c>
    </row>
    <row r="20" spans="1:20" ht="14.7" customHeight="1" thickBot="1" x14ac:dyDescent="0.35">
      <c r="A20" s="362"/>
      <c r="B20" s="363"/>
      <c r="C20" s="364"/>
      <c r="D20" s="364"/>
      <c r="E20" s="364"/>
      <c r="F20" s="364"/>
      <c r="G20" s="364"/>
      <c r="H20" s="364"/>
      <c r="I20" s="364"/>
      <c r="J20" s="364"/>
      <c r="K20" s="364"/>
      <c r="L20" s="365"/>
      <c r="M20" s="366"/>
      <c r="N20" s="359" t="s">
        <v>8</v>
      </c>
      <c r="O20" s="367">
        <f>O19*O18</f>
        <v>25</v>
      </c>
      <c r="P20" s="336">
        <f t="shared" ref="P20:T20" si="0">P19*P18</f>
        <v>72</v>
      </c>
      <c r="Q20" s="336">
        <f t="shared" si="0"/>
        <v>88</v>
      </c>
      <c r="R20" s="336">
        <f t="shared" si="0"/>
        <v>2</v>
      </c>
      <c r="S20" s="336">
        <f t="shared" si="0"/>
        <v>4</v>
      </c>
      <c r="T20" s="370">
        <f t="shared" si="0"/>
        <v>0.75</v>
      </c>
    </row>
    <row r="21" spans="1:20" ht="15" thickBot="1" x14ac:dyDescent="0.35">
      <c r="A21" s="362"/>
      <c r="B21" s="371"/>
      <c r="C21" s="372"/>
      <c r="D21" s="372"/>
      <c r="E21" s="372"/>
      <c r="F21" s="372"/>
      <c r="G21" s="372"/>
      <c r="H21" s="372"/>
      <c r="I21" s="372"/>
      <c r="J21" s="372"/>
      <c r="K21" s="372"/>
      <c r="L21" s="373"/>
      <c r="M21" s="374"/>
      <c r="N21" s="359" t="s">
        <v>10</v>
      </c>
      <c r="O21" s="375"/>
      <c r="P21" s="347"/>
      <c r="Q21" s="347"/>
      <c r="R21" s="347"/>
      <c r="S21" s="347"/>
      <c r="T21" s="376"/>
    </row>
    <row r="22" spans="1:20" ht="15" thickBot="1" x14ac:dyDescent="0.35">
      <c r="A22" s="362"/>
      <c r="B22" s="377"/>
      <c r="C22" s="350"/>
      <c r="D22" s="378"/>
      <c r="E22" s="379"/>
      <c r="F22" s="379"/>
      <c r="G22" s="379"/>
      <c r="H22" s="379"/>
      <c r="I22" s="379"/>
      <c r="J22" s="379"/>
      <c r="K22" s="380"/>
      <c r="N22" s="381"/>
    </row>
    <row r="23" spans="1:20" ht="15" thickBot="1" x14ac:dyDescent="0.35">
      <c r="A23" s="362"/>
      <c r="B23" s="355" t="s">
        <v>13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7"/>
      <c r="M23" s="358"/>
      <c r="N23" s="359" t="s">
        <v>14</v>
      </c>
      <c r="O23" s="325">
        <f>O24*O19</f>
        <v>525</v>
      </c>
      <c r="P23" s="326">
        <f t="shared" ref="P23:T23" si="1">P24*P19</f>
        <v>2200</v>
      </c>
      <c r="Q23" s="326">
        <f t="shared" si="1"/>
        <v>3100</v>
      </c>
      <c r="R23" s="326">
        <f t="shared" si="1"/>
        <v>6716</v>
      </c>
      <c r="S23" s="326">
        <f t="shared" si="1"/>
        <v>2300</v>
      </c>
      <c r="T23" s="382">
        <f t="shared" si="1"/>
        <v>1875</v>
      </c>
    </row>
    <row r="24" spans="1:20" ht="15" thickBot="1" x14ac:dyDescent="0.35">
      <c r="A24" s="362"/>
      <c r="B24" s="363"/>
      <c r="C24" s="364"/>
      <c r="D24" s="364"/>
      <c r="E24" s="364"/>
      <c r="F24" s="364"/>
      <c r="G24" s="364"/>
      <c r="H24" s="364"/>
      <c r="I24" s="364"/>
      <c r="J24" s="364"/>
      <c r="K24" s="364"/>
      <c r="L24" s="365"/>
      <c r="M24" s="366"/>
      <c r="N24" s="359" t="s">
        <v>8</v>
      </c>
      <c r="O24" s="333">
        <v>105</v>
      </c>
      <c r="P24" s="330">
        <v>550</v>
      </c>
      <c r="Q24" s="330">
        <v>1550</v>
      </c>
      <c r="R24" s="330">
        <v>6716</v>
      </c>
      <c r="S24" s="330">
        <v>2300</v>
      </c>
      <c r="T24" s="383">
        <v>7500</v>
      </c>
    </row>
    <row r="25" spans="1:20" ht="15" thickBot="1" x14ac:dyDescent="0.35">
      <c r="A25" s="362"/>
      <c r="B25" s="371"/>
      <c r="C25" s="372"/>
      <c r="D25" s="372"/>
      <c r="E25" s="372"/>
      <c r="F25" s="372"/>
      <c r="G25" s="372"/>
      <c r="H25" s="372"/>
      <c r="I25" s="372"/>
      <c r="J25" s="372"/>
      <c r="K25" s="372"/>
      <c r="L25" s="373"/>
      <c r="M25" s="374"/>
      <c r="N25" s="359" t="s">
        <v>15</v>
      </c>
      <c r="O25" s="343">
        <v>3500</v>
      </c>
      <c r="P25" s="344">
        <v>3500</v>
      </c>
      <c r="Q25" s="344">
        <v>3700</v>
      </c>
      <c r="R25" s="344">
        <v>8500</v>
      </c>
      <c r="S25" s="344">
        <v>4500</v>
      </c>
      <c r="T25" s="384">
        <v>5500</v>
      </c>
    </row>
    <row r="26" spans="1:20" ht="15" thickBot="1" x14ac:dyDescent="0.35">
      <c r="A26" s="362"/>
      <c r="B26" s="377"/>
      <c r="C26" s="350"/>
      <c r="D26" s="378"/>
      <c r="E26" s="379"/>
      <c r="F26" s="379"/>
      <c r="G26" s="379"/>
      <c r="H26" s="379"/>
      <c r="I26" s="379"/>
      <c r="J26" s="379"/>
      <c r="K26" s="380"/>
      <c r="N26" s="381"/>
    </row>
    <row r="27" spans="1:20" ht="14.7" customHeight="1" thickBot="1" x14ac:dyDescent="0.35">
      <c r="A27" s="362"/>
      <c r="B27" s="355" t="s">
        <v>16</v>
      </c>
      <c r="C27" s="356"/>
      <c r="D27" s="356"/>
      <c r="E27" s="356"/>
      <c r="F27" s="356"/>
      <c r="G27" s="356"/>
      <c r="H27" s="356"/>
      <c r="I27" s="356"/>
      <c r="J27" s="356"/>
      <c r="K27" s="356"/>
      <c r="L27" s="357"/>
      <c r="M27" s="358"/>
      <c r="N27" s="359" t="s">
        <v>20</v>
      </c>
      <c r="O27" s="385">
        <f>O18*O23</f>
        <v>2625</v>
      </c>
      <c r="P27" s="386">
        <f t="shared" ref="P27:T27" si="2">P18*P23</f>
        <v>39600</v>
      </c>
      <c r="Q27" s="386">
        <f t="shared" si="2"/>
        <v>136400</v>
      </c>
      <c r="R27" s="387">
        <f t="shared" si="2"/>
        <v>13432</v>
      </c>
      <c r="S27" s="386">
        <f t="shared" si="2"/>
        <v>9200</v>
      </c>
      <c r="T27" s="388">
        <f t="shared" si="2"/>
        <v>5625</v>
      </c>
    </row>
    <row r="28" spans="1:20" ht="15" thickBot="1" x14ac:dyDescent="0.35">
      <c r="A28" s="362"/>
      <c r="B28" s="371"/>
      <c r="C28" s="372"/>
      <c r="D28" s="372"/>
      <c r="E28" s="372"/>
      <c r="F28" s="372"/>
      <c r="G28" s="372"/>
      <c r="H28" s="372"/>
      <c r="I28" s="372"/>
      <c r="J28" s="372"/>
      <c r="K28" s="372"/>
      <c r="L28" s="373"/>
      <c r="M28" s="374"/>
      <c r="N28" s="359" t="s">
        <v>17</v>
      </c>
      <c r="O28" s="389">
        <f>SUM(O27:T27)</f>
        <v>206882</v>
      </c>
      <c r="P28" s="390"/>
      <c r="Q28" s="390"/>
      <c r="R28" s="390"/>
      <c r="S28" s="390"/>
      <c r="T28" s="391"/>
    </row>
    <row r="29" spans="1:20" ht="15" thickBot="1" x14ac:dyDescent="0.35">
      <c r="A29" s="362"/>
      <c r="B29" s="355" t="s">
        <v>18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7"/>
      <c r="M29" s="358"/>
      <c r="N29" s="359" t="s">
        <v>20</v>
      </c>
      <c r="O29" s="338">
        <f t="shared" ref="O29:T29" si="3">O25*O18</f>
        <v>17500</v>
      </c>
      <c r="P29" s="339">
        <f t="shared" si="3"/>
        <v>63000</v>
      </c>
      <c r="Q29" s="339">
        <f t="shared" si="3"/>
        <v>162800</v>
      </c>
      <c r="R29" s="339">
        <f t="shared" si="3"/>
        <v>17000</v>
      </c>
      <c r="S29" s="339">
        <f t="shared" si="3"/>
        <v>18000</v>
      </c>
      <c r="T29" s="392">
        <f t="shared" si="3"/>
        <v>16500</v>
      </c>
    </row>
    <row r="30" spans="1:20" ht="15" thickBot="1" x14ac:dyDescent="0.35">
      <c r="A30" s="362"/>
      <c r="B30" s="371"/>
      <c r="C30" s="372"/>
      <c r="D30" s="372"/>
      <c r="E30" s="372"/>
      <c r="F30" s="372"/>
      <c r="G30" s="372"/>
      <c r="H30" s="372"/>
      <c r="I30" s="372"/>
      <c r="J30" s="372"/>
      <c r="K30" s="372"/>
      <c r="L30" s="373"/>
      <c r="M30" s="374"/>
      <c r="N30" s="359" t="s">
        <v>17</v>
      </c>
      <c r="O30" s="389">
        <f>SUM(O29:T29)</f>
        <v>294800</v>
      </c>
      <c r="P30" s="390"/>
      <c r="Q30" s="390"/>
      <c r="R30" s="390"/>
      <c r="S30" s="390"/>
      <c r="T30" s="391"/>
    </row>
    <row r="31" spans="1:20" ht="14.7" customHeight="1" thickBot="1" x14ac:dyDescent="0.35">
      <c r="A31" s="362"/>
      <c r="B31" s="355" t="s">
        <v>19</v>
      </c>
      <c r="C31" s="356"/>
      <c r="D31" s="356"/>
      <c r="E31" s="356"/>
      <c r="F31" s="356"/>
      <c r="G31" s="356"/>
      <c r="H31" s="356"/>
      <c r="I31" s="356"/>
      <c r="J31" s="356"/>
      <c r="K31" s="356"/>
      <c r="L31" s="357"/>
      <c r="M31" s="358"/>
      <c r="N31" s="359" t="s">
        <v>20</v>
      </c>
      <c r="O31" s="393">
        <f>O29-O27</f>
        <v>14875</v>
      </c>
      <c r="P31" s="394">
        <f t="shared" ref="P31:T31" si="4">P29-P27</f>
        <v>23400</v>
      </c>
      <c r="Q31" s="394">
        <f t="shared" si="4"/>
        <v>26400</v>
      </c>
      <c r="R31" s="394">
        <f t="shared" si="4"/>
        <v>3568</v>
      </c>
      <c r="S31" s="394">
        <f t="shared" si="4"/>
        <v>8800</v>
      </c>
      <c r="T31" s="395">
        <f t="shared" si="4"/>
        <v>10875</v>
      </c>
    </row>
    <row r="32" spans="1:20" ht="29.7" customHeight="1" thickBot="1" x14ac:dyDescent="0.35">
      <c r="A32" s="362"/>
      <c r="B32" s="371"/>
      <c r="C32" s="372"/>
      <c r="D32" s="372"/>
      <c r="E32" s="372"/>
      <c r="F32" s="372"/>
      <c r="G32" s="372"/>
      <c r="H32" s="372"/>
      <c r="I32" s="372"/>
      <c r="J32" s="372"/>
      <c r="K32" s="372"/>
      <c r="L32" s="373"/>
      <c r="M32" s="374"/>
      <c r="N32" s="359" t="s">
        <v>31</v>
      </c>
      <c r="O32" s="396">
        <f>SUM(O31:T31)</f>
        <v>87918</v>
      </c>
      <c r="P32" s="397"/>
      <c r="Q32" s="397"/>
      <c r="R32" s="397"/>
      <c r="S32" s="397"/>
      <c r="T32" s="398"/>
    </row>
    <row r="33" spans="1:20" ht="15" thickBot="1" x14ac:dyDescent="0.35">
      <c r="A33" s="362"/>
    </row>
    <row r="34" spans="1:20" ht="14.7" customHeight="1" thickBot="1" x14ac:dyDescent="0.35">
      <c r="A34" s="362"/>
      <c r="B34" s="399" t="s">
        <v>27</v>
      </c>
      <c r="C34" s="400"/>
      <c r="D34" s="400"/>
      <c r="E34" s="400"/>
      <c r="F34" s="400"/>
      <c r="G34" s="400"/>
      <c r="H34" s="400"/>
      <c r="I34" s="400"/>
      <c r="J34" s="400"/>
      <c r="K34" s="400"/>
      <c r="L34" s="400"/>
      <c r="M34" s="400"/>
      <c r="N34" s="401"/>
      <c r="O34" s="402" t="s">
        <v>28</v>
      </c>
      <c r="P34" s="403"/>
      <c r="Q34" s="404"/>
      <c r="R34" s="405" t="s">
        <v>29</v>
      </c>
      <c r="S34" s="406"/>
      <c r="T34" s="406"/>
    </row>
    <row r="35" spans="1:20" ht="15" customHeight="1" x14ac:dyDescent="0.3">
      <c r="A35" s="362"/>
      <c r="B35" s="407"/>
      <c r="C35" s="408"/>
      <c r="D35" s="408"/>
      <c r="E35" s="408"/>
      <c r="F35" s="408"/>
      <c r="G35" s="408"/>
      <c r="H35" s="408"/>
      <c r="I35" s="408"/>
      <c r="J35" s="408"/>
      <c r="K35" s="408"/>
      <c r="L35" s="408"/>
      <c r="M35" s="408"/>
      <c r="N35" s="409"/>
      <c r="O35" s="410" t="s">
        <v>256</v>
      </c>
      <c r="P35" s="411"/>
      <c r="Q35" s="412"/>
      <c r="R35" s="413">
        <v>10000</v>
      </c>
      <c r="S35" s="414"/>
      <c r="T35" s="414"/>
    </row>
    <row r="36" spans="1:20" ht="15" customHeight="1" x14ac:dyDescent="0.3">
      <c r="A36" s="362"/>
      <c r="B36" s="407"/>
      <c r="C36" s="408"/>
      <c r="D36" s="408"/>
      <c r="E36" s="408"/>
      <c r="F36" s="408"/>
      <c r="G36" s="408"/>
      <c r="H36" s="408"/>
      <c r="I36" s="408"/>
      <c r="J36" s="408"/>
      <c r="K36" s="408"/>
      <c r="L36" s="408"/>
      <c r="M36" s="408"/>
      <c r="N36" s="409"/>
      <c r="O36" s="415"/>
      <c r="P36" s="416"/>
      <c r="Q36" s="417"/>
      <c r="R36" s="418"/>
      <c r="S36" s="414"/>
      <c r="T36" s="414"/>
    </row>
    <row r="37" spans="1:20" ht="15" customHeight="1" x14ac:dyDescent="0.3">
      <c r="A37" s="362"/>
      <c r="B37" s="407"/>
      <c r="C37" s="408"/>
      <c r="D37" s="408"/>
      <c r="E37" s="408"/>
      <c r="F37" s="408"/>
      <c r="G37" s="408"/>
      <c r="H37" s="408"/>
      <c r="I37" s="408"/>
      <c r="J37" s="408"/>
      <c r="K37" s="408"/>
      <c r="L37" s="408"/>
      <c r="M37" s="408"/>
      <c r="N37" s="409"/>
      <c r="O37" s="415"/>
      <c r="P37" s="416"/>
      <c r="Q37" s="417"/>
      <c r="R37" s="418"/>
      <c r="S37" s="414"/>
      <c r="T37" s="414"/>
    </row>
    <row r="38" spans="1:20" ht="15" customHeight="1" x14ac:dyDescent="0.3">
      <c r="A38" s="362"/>
      <c r="B38" s="407"/>
      <c r="C38" s="408"/>
      <c r="D38" s="408"/>
      <c r="E38" s="408"/>
      <c r="F38" s="408"/>
      <c r="G38" s="408"/>
      <c r="H38" s="408"/>
      <c r="I38" s="408"/>
      <c r="J38" s="408"/>
      <c r="K38" s="408"/>
      <c r="L38" s="408"/>
      <c r="M38" s="408"/>
      <c r="N38" s="409"/>
      <c r="O38" s="415"/>
      <c r="P38" s="416"/>
      <c r="Q38" s="417"/>
      <c r="R38" s="418"/>
      <c r="S38" s="414"/>
      <c r="T38" s="414"/>
    </row>
    <row r="39" spans="1:20" ht="15" customHeight="1" x14ac:dyDescent="0.3">
      <c r="A39" s="362"/>
      <c r="B39" s="407"/>
      <c r="C39" s="408"/>
      <c r="D39" s="408"/>
      <c r="E39" s="408"/>
      <c r="F39" s="408"/>
      <c r="G39" s="408"/>
      <c r="H39" s="408"/>
      <c r="I39" s="408"/>
      <c r="J39" s="408"/>
      <c r="K39" s="408"/>
      <c r="L39" s="408"/>
      <c r="M39" s="408"/>
      <c r="N39" s="409"/>
      <c r="O39" s="415"/>
      <c r="P39" s="416"/>
      <c r="Q39" s="417"/>
      <c r="R39" s="418"/>
      <c r="S39" s="414"/>
      <c r="T39" s="414"/>
    </row>
    <row r="40" spans="1:20" ht="15" customHeight="1" x14ac:dyDescent="0.3">
      <c r="A40" s="362"/>
      <c r="B40" s="407"/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  <c r="N40" s="409"/>
      <c r="O40" s="415"/>
      <c r="P40" s="416"/>
      <c r="Q40" s="417"/>
      <c r="R40" s="418"/>
      <c r="S40" s="414"/>
      <c r="T40" s="414"/>
    </row>
    <row r="41" spans="1:20" ht="15" customHeight="1" thickBot="1" x14ac:dyDescent="0.35">
      <c r="A41" s="362"/>
      <c r="B41" s="407"/>
      <c r="C41" s="408"/>
      <c r="D41" s="408"/>
      <c r="E41" s="408"/>
      <c r="F41" s="408"/>
      <c r="G41" s="408"/>
      <c r="H41" s="408"/>
      <c r="I41" s="408"/>
      <c r="J41" s="408"/>
      <c r="K41" s="408"/>
      <c r="L41" s="408"/>
      <c r="M41" s="408"/>
      <c r="N41" s="409"/>
      <c r="O41" s="419"/>
      <c r="P41" s="420"/>
      <c r="Q41" s="421"/>
      <c r="R41" s="418"/>
      <c r="S41" s="414"/>
      <c r="T41" s="414"/>
    </row>
    <row r="42" spans="1:20" ht="15.75" customHeight="1" thickBot="1" x14ac:dyDescent="0.35">
      <c r="A42" s="362"/>
      <c r="B42" s="422"/>
      <c r="C42" s="423"/>
      <c r="D42" s="423"/>
      <c r="E42" s="423"/>
      <c r="F42" s="423"/>
      <c r="G42" s="423"/>
      <c r="H42" s="423"/>
      <c r="I42" s="423"/>
      <c r="J42" s="423"/>
      <c r="K42" s="423"/>
      <c r="L42" s="423"/>
      <c r="M42" s="423"/>
      <c r="N42" s="424"/>
      <c r="O42" s="425" t="s">
        <v>17</v>
      </c>
      <c r="P42" s="426"/>
      <c r="Q42" s="427"/>
      <c r="R42" s="428">
        <f>SUM(R35:R41)</f>
        <v>10000</v>
      </c>
      <c r="S42" s="414"/>
      <c r="T42" s="414"/>
    </row>
    <row r="43" spans="1:20" ht="15" thickBot="1" x14ac:dyDescent="0.35">
      <c r="A43" s="362"/>
    </row>
    <row r="44" spans="1:20" ht="51.75" customHeight="1" thickBot="1" x14ac:dyDescent="0.35">
      <c r="A44" s="429"/>
      <c r="B44" s="402" t="s">
        <v>19</v>
      </c>
      <c r="C44" s="403"/>
      <c r="D44" s="403"/>
      <c r="E44" s="403"/>
      <c r="F44" s="403"/>
      <c r="G44" s="403"/>
      <c r="H44" s="403"/>
      <c r="I44" s="403"/>
      <c r="J44" s="403"/>
      <c r="K44" s="403"/>
      <c r="L44" s="404"/>
      <c r="M44" s="359"/>
      <c r="N44" s="430" t="s">
        <v>17</v>
      </c>
      <c r="O44" s="431">
        <f>O32-SUM(R35:R41)</f>
        <v>77918</v>
      </c>
      <c r="P44" s="432"/>
      <c r="Q44" s="432"/>
      <c r="R44" s="432"/>
      <c r="S44" s="432"/>
      <c r="T44" s="433"/>
    </row>
    <row r="45" spans="1:20" ht="15.75" customHeight="1" x14ac:dyDescent="0.3">
      <c r="A45" s="434"/>
      <c r="P45" s="435"/>
      <c r="Q45" s="435"/>
      <c r="R45" s="435"/>
      <c r="T45" s="366"/>
    </row>
    <row r="46" spans="1:20" ht="15" customHeight="1" x14ac:dyDescent="0.3">
      <c r="A46" s="434"/>
      <c r="P46" s="435"/>
      <c r="Q46" s="435"/>
      <c r="R46" s="435"/>
      <c r="T46" s="436"/>
    </row>
    <row r="47" spans="1:20" ht="15" customHeight="1" x14ac:dyDescent="0.3">
      <c r="P47" s="435"/>
      <c r="Q47" s="435"/>
      <c r="R47" s="435"/>
      <c r="T47" s="436"/>
    </row>
    <row r="48" spans="1:20" ht="15" customHeight="1" x14ac:dyDescent="0.3">
      <c r="P48" s="435"/>
      <c r="Q48" s="435"/>
      <c r="R48" s="435"/>
      <c r="T48" s="436"/>
    </row>
    <row r="49" spans="16:20" ht="15" customHeight="1" x14ac:dyDescent="0.3">
      <c r="P49" s="435"/>
      <c r="Q49" s="435"/>
      <c r="R49" s="435"/>
      <c r="T49" s="436"/>
    </row>
    <row r="50" spans="16:20" ht="15" customHeight="1" x14ac:dyDescent="0.3">
      <c r="P50" s="435"/>
      <c r="Q50" s="435"/>
      <c r="R50" s="435"/>
      <c r="T50" s="436"/>
    </row>
    <row r="51" spans="16:20" ht="15" customHeight="1" x14ac:dyDescent="0.3">
      <c r="P51" s="435"/>
      <c r="Q51" s="435"/>
      <c r="R51" s="435"/>
      <c r="T51" s="436"/>
    </row>
    <row r="52" spans="16:20" ht="15" customHeight="1" x14ac:dyDescent="0.3">
      <c r="P52" s="435"/>
      <c r="Q52" s="435"/>
      <c r="R52" s="435"/>
      <c r="T52" s="436"/>
    </row>
    <row r="53" spans="16:20" ht="15.75" customHeight="1" x14ac:dyDescent="0.3">
      <c r="P53" s="435"/>
      <c r="Q53" s="435"/>
      <c r="R53" s="435"/>
      <c r="T53" s="436"/>
    </row>
  </sheetData>
  <mergeCells count="24">
    <mergeCell ref="B34:N42"/>
    <mergeCell ref="O34:Q34"/>
    <mergeCell ref="O35:Q35"/>
    <mergeCell ref="O36:Q36"/>
    <mergeCell ref="O37:Q37"/>
    <mergeCell ref="O38:Q38"/>
    <mergeCell ref="O39:Q39"/>
    <mergeCell ref="O40:Q40"/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2" sqref="B2:N10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7773437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207" t="s">
        <v>267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9"/>
      <c r="O2" s="210" t="s">
        <v>12</v>
      </c>
      <c r="P2" s="211"/>
      <c r="Q2" s="211"/>
      <c r="R2" s="211"/>
      <c r="S2" s="211"/>
      <c r="T2" s="211"/>
      <c r="U2" s="212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3">
      <c r="A5" s="202"/>
      <c r="B5" s="97" t="s">
        <v>133</v>
      </c>
      <c r="C5" s="88" t="s">
        <v>134</v>
      </c>
      <c r="D5" s="88" t="s">
        <v>135</v>
      </c>
      <c r="E5" s="88" t="s">
        <v>52</v>
      </c>
      <c r="F5" s="88" t="s">
        <v>97</v>
      </c>
      <c r="G5" s="88" t="s">
        <v>69</v>
      </c>
      <c r="H5" s="88" t="s">
        <v>55</v>
      </c>
      <c r="I5" s="94">
        <v>56982328251</v>
      </c>
      <c r="J5" s="42" t="s">
        <v>136</v>
      </c>
      <c r="K5" s="42" t="s">
        <v>119</v>
      </c>
      <c r="L5" s="93" t="s">
        <v>190</v>
      </c>
      <c r="M5" s="93" t="s">
        <v>196</v>
      </c>
      <c r="N5" s="88">
        <f>SUMPRODUCT(Tabla5236[[#This Row],[Naranjas]:[Nueces]],O$26:U$26)</f>
        <v>37400</v>
      </c>
      <c r="O5" s="93">
        <v>0</v>
      </c>
      <c r="P5" s="93">
        <v>0</v>
      </c>
      <c r="Q5" s="93">
        <v>2</v>
      </c>
      <c r="R5" s="93">
        <v>0</v>
      </c>
      <c r="S5" s="93">
        <v>4</v>
      </c>
      <c r="T5" s="93">
        <v>0</v>
      </c>
      <c r="U5" s="93">
        <v>0</v>
      </c>
      <c r="V5" s="93">
        <f>SUM(Tabla5236[[#This Row],[Naranjas]:[Nueces]])</f>
        <v>6</v>
      </c>
      <c r="W5" s="101"/>
    </row>
    <row r="6" spans="1:23" outlineLevel="1" x14ac:dyDescent="0.3">
      <c r="A6" s="202"/>
      <c r="B6" s="97" t="s">
        <v>227</v>
      </c>
      <c r="C6" s="88" t="s">
        <v>228</v>
      </c>
      <c r="D6" s="88" t="s">
        <v>229</v>
      </c>
      <c r="E6" s="88" t="s">
        <v>80</v>
      </c>
      <c r="F6" s="88" t="s">
        <v>62</v>
      </c>
      <c r="G6" s="88" t="s">
        <v>113</v>
      </c>
      <c r="H6" s="88" t="s">
        <v>55</v>
      </c>
      <c r="I6" s="94">
        <v>56967289638</v>
      </c>
      <c r="J6" s="42" t="s">
        <v>230</v>
      </c>
      <c r="K6" s="42" t="s">
        <v>119</v>
      </c>
      <c r="L6" s="93" t="s">
        <v>190</v>
      </c>
      <c r="M6" s="93" t="s">
        <v>196</v>
      </c>
      <c r="N6" s="88">
        <f>SUMPRODUCT(Tabla5236[[#This Row],[Naranjas]:[Nueces]],O$26:U$26)</f>
        <v>14100</v>
      </c>
      <c r="O6" s="93">
        <v>0</v>
      </c>
      <c r="P6" s="93">
        <v>0</v>
      </c>
      <c r="Q6" s="93">
        <v>3</v>
      </c>
      <c r="R6" s="93">
        <v>0</v>
      </c>
      <c r="S6" s="93">
        <v>0</v>
      </c>
      <c r="T6" s="93">
        <v>0</v>
      </c>
      <c r="U6" s="93">
        <v>0</v>
      </c>
      <c r="V6" s="93">
        <f>SUM(Tabla5236[[#This Row],[Naranjas]:[Nueces]])</f>
        <v>3</v>
      </c>
      <c r="W6" s="101" t="s">
        <v>261</v>
      </c>
    </row>
    <row r="7" spans="1:23" outlineLevel="1" x14ac:dyDescent="0.3">
      <c r="A7" s="202"/>
      <c r="B7" s="97" t="s">
        <v>77</v>
      </c>
      <c r="C7" s="88" t="s">
        <v>78</v>
      </c>
      <c r="D7" s="88" t="s">
        <v>79</v>
      </c>
      <c r="E7" s="88" t="s">
        <v>80</v>
      </c>
      <c r="F7" s="88" t="s">
        <v>81</v>
      </c>
      <c r="G7" s="88" t="s">
        <v>63</v>
      </c>
      <c r="H7" s="88" t="s">
        <v>55</v>
      </c>
      <c r="I7" s="94">
        <v>56963061299</v>
      </c>
      <c r="J7" s="42" t="s">
        <v>82</v>
      </c>
      <c r="K7" s="42" t="s">
        <v>57</v>
      </c>
      <c r="L7" s="93" t="s">
        <v>190</v>
      </c>
      <c r="M7" s="93" t="s">
        <v>196</v>
      </c>
      <c r="N7" s="88">
        <f>SUMPRODUCT(Tabla5236[[#This Row],[Naranjas]:[Nueces]],O$26:U$26)</f>
        <v>58600</v>
      </c>
      <c r="O7" s="93">
        <v>2</v>
      </c>
      <c r="P7" s="93">
        <v>4</v>
      </c>
      <c r="Q7" s="93">
        <v>3</v>
      </c>
      <c r="R7" s="93">
        <v>0</v>
      </c>
      <c r="S7" s="93">
        <v>2</v>
      </c>
      <c r="T7" s="93">
        <v>0</v>
      </c>
      <c r="U7" s="93">
        <v>1</v>
      </c>
      <c r="V7" s="93">
        <f>SUM(Tabla5236[[#This Row],[Naranjas]:[Nueces]])</f>
        <v>12</v>
      </c>
      <c r="W7" s="101"/>
    </row>
    <row r="8" spans="1:23" outlineLevel="1" x14ac:dyDescent="0.3">
      <c r="A8" s="202"/>
      <c r="B8" s="97" t="s">
        <v>49</v>
      </c>
      <c r="C8" s="88" t="s">
        <v>50</v>
      </c>
      <c r="D8" s="88" t="s">
        <v>51</v>
      </c>
      <c r="E8" s="88" t="s">
        <v>52</v>
      </c>
      <c r="F8" s="88" t="s">
        <v>53</v>
      </c>
      <c r="G8" s="88" t="s">
        <v>54</v>
      </c>
      <c r="H8" s="88" t="s">
        <v>55</v>
      </c>
      <c r="I8" s="94">
        <v>56998246537</v>
      </c>
      <c r="J8" s="42" t="s">
        <v>56</v>
      </c>
      <c r="K8" s="42" t="s">
        <v>57</v>
      </c>
      <c r="L8" s="93" t="s">
        <v>190</v>
      </c>
      <c r="M8" s="93" t="s">
        <v>196</v>
      </c>
      <c r="N8" s="88">
        <f>SUMPRODUCT(Tabla5236[[#This Row],[Naranjas]:[Nueces]],O$26:U$26)</f>
        <v>36900</v>
      </c>
      <c r="O8" s="93">
        <v>0</v>
      </c>
      <c r="P8" s="93">
        <v>1</v>
      </c>
      <c r="Q8" s="93">
        <v>2</v>
      </c>
      <c r="R8" s="93">
        <v>0</v>
      </c>
      <c r="S8" s="93">
        <v>2</v>
      </c>
      <c r="T8" s="93">
        <v>2</v>
      </c>
      <c r="U8" s="93">
        <v>0</v>
      </c>
      <c r="V8" s="93">
        <f>SUM(Tabla5236[[#This Row],[Naranjas]:[Nueces]])</f>
        <v>7</v>
      </c>
      <c r="W8" s="101"/>
    </row>
    <row r="9" spans="1:23" outlineLevel="1" x14ac:dyDescent="0.3">
      <c r="A9" s="202"/>
      <c r="B9" s="97" t="s">
        <v>178</v>
      </c>
      <c r="C9" s="88" t="s">
        <v>179</v>
      </c>
      <c r="D9" s="88" t="s">
        <v>180</v>
      </c>
      <c r="E9" s="88" t="s">
        <v>80</v>
      </c>
      <c r="F9" s="88" t="s">
        <v>68</v>
      </c>
      <c r="G9" s="88">
        <v>0</v>
      </c>
      <c r="H9" s="88" t="s">
        <v>55</v>
      </c>
      <c r="I9" s="94">
        <v>56954243532</v>
      </c>
      <c r="J9" s="42" t="s">
        <v>181</v>
      </c>
      <c r="K9" s="42" t="s">
        <v>57</v>
      </c>
      <c r="L9" s="93" t="s">
        <v>190</v>
      </c>
      <c r="M9" s="93" t="s">
        <v>196</v>
      </c>
      <c r="N9" s="88">
        <f>SUMPRODUCT(Tabla5236[[#This Row],[Naranjas]:[Nueces]],O$26:U$26)</f>
        <v>37200</v>
      </c>
      <c r="O9" s="93">
        <v>2</v>
      </c>
      <c r="P9" s="93">
        <v>1</v>
      </c>
      <c r="Q9" s="93">
        <v>1</v>
      </c>
      <c r="R9" s="93">
        <v>0</v>
      </c>
      <c r="S9" s="93">
        <v>3</v>
      </c>
      <c r="T9" s="93">
        <v>0</v>
      </c>
      <c r="U9" s="93">
        <v>0</v>
      </c>
      <c r="V9" s="93">
        <f>SUM(Tabla5236[[#This Row],[Naranjas]:[Nueces]])</f>
        <v>7</v>
      </c>
      <c r="W9" s="101"/>
    </row>
    <row r="10" spans="1:23" outlineLevel="1" x14ac:dyDescent="0.3">
      <c r="A10" s="202"/>
      <c r="B10" s="97" t="s">
        <v>165</v>
      </c>
      <c r="C10" s="88" t="s">
        <v>106</v>
      </c>
      <c r="D10" s="88" t="s">
        <v>166</v>
      </c>
      <c r="E10" s="88" t="s">
        <v>52</v>
      </c>
      <c r="F10" s="88" t="s">
        <v>97</v>
      </c>
      <c r="G10" s="88" t="s">
        <v>63</v>
      </c>
      <c r="H10" s="88" t="s">
        <v>55</v>
      </c>
      <c r="I10" s="94">
        <v>56986194003</v>
      </c>
      <c r="J10" s="42" t="s">
        <v>167</v>
      </c>
      <c r="K10" s="42" t="s">
        <v>89</v>
      </c>
      <c r="L10" s="93" t="s">
        <v>190</v>
      </c>
      <c r="M10" s="93" t="s">
        <v>196</v>
      </c>
      <c r="N10" s="88">
        <f>SUMPRODUCT(Tabla5236[[#This Row],[Naranjas]:[Nueces]],O$26:U$26)</f>
        <v>88600</v>
      </c>
      <c r="O10" s="93">
        <v>0</v>
      </c>
      <c r="P10" s="93">
        <v>0</v>
      </c>
      <c r="Q10" s="93">
        <v>8</v>
      </c>
      <c r="R10" s="93">
        <v>6</v>
      </c>
      <c r="S10" s="93">
        <v>0</v>
      </c>
      <c r="T10" s="93">
        <v>0</v>
      </c>
      <c r="U10" s="93">
        <v>0</v>
      </c>
      <c r="V10" s="93">
        <f>SUM(Tabla5236[[#This Row],[Naranjas]:[Nueces]])</f>
        <v>14</v>
      </c>
      <c r="W10" s="101" t="s">
        <v>262</v>
      </c>
    </row>
    <row r="11" spans="1:23" outlineLevel="1" x14ac:dyDescent="0.3">
      <c r="A11" s="202"/>
      <c r="B11" s="97" t="s">
        <v>128</v>
      </c>
      <c r="C11" s="88" t="s">
        <v>158</v>
      </c>
      <c r="D11" s="88" t="s">
        <v>159</v>
      </c>
      <c r="E11" s="88" t="s">
        <v>52</v>
      </c>
      <c r="F11" s="88" t="s">
        <v>97</v>
      </c>
      <c r="G11" s="88" t="s">
        <v>63</v>
      </c>
      <c r="H11" s="88" t="s">
        <v>55</v>
      </c>
      <c r="I11" s="94">
        <v>56967898535</v>
      </c>
      <c r="J11" s="42" t="s">
        <v>160</v>
      </c>
      <c r="K11" s="42" t="s">
        <v>119</v>
      </c>
      <c r="L11" s="93" t="s">
        <v>190</v>
      </c>
      <c r="M11" s="93" t="s">
        <v>190</v>
      </c>
      <c r="N11" s="88">
        <f>SUMPRODUCT(Tabla5236[[#This Row],[Naranjas]:[Nueces]],O$26:U$26)</f>
        <v>63000</v>
      </c>
      <c r="O11" s="93">
        <v>2</v>
      </c>
      <c r="P11" s="93">
        <v>1</v>
      </c>
      <c r="Q11" s="93">
        <v>10</v>
      </c>
      <c r="R11" s="93">
        <v>0</v>
      </c>
      <c r="S11" s="93">
        <v>0</v>
      </c>
      <c r="T11" s="93">
        <v>1</v>
      </c>
      <c r="U11" s="93">
        <v>0</v>
      </c>
      <c r="V11" s="93">
        <f>SUM(Tabla5236[[#This Row],[Naranjas]:[Nueces]])</f>
        <v>14</v>
      </c>
      <c r="W11" s="101"/>
    </row>
    <row r="12" spans="1:23" outlineLevel="1" x14ac:dyDescent="0.3">
      <c r="A12" s="202"/>
      <c r="B12" s="97" t="s">
        <v>168</v>
      </c>
      <c r="C12" s="88" t="s">
        <v>169</v>
      </c>
      <c r="D12" s="88" t="s">
        <v>259</v>
      </c>
      <c r="E12" s="88" t="s">
        <v>80</v>
      </c>
      <c r="F12" s="88" t="s">
        <v>171</v>
      </c>
      <c r="G12" s="88" t="s">
        <v>63</v>
      </c>
      <c r="H12" s="88" t="s">
        <v>55</v>
      </c>
      <c r="I12" s="94">
        <v>56979878976</v>
      </c>
      <c r="J12" s="42" t="s">
        <v>172</v>
      </c>
      <c r="K12" s="42" t="s">
        <v>57</v>
      </c>
      <c r="L12" s="93" t="s">
        <v>190</v>
      </c>
      <c r="M12" s="93" t="s">
        <v>190</v>
      </c>
      <c r="N12" s="88">
        <f>SUMPRODUCT(Tabla5236[[#This Row],[Naranjas]:[Nueces]],O$26:U$26)</f>
        <v>117300</v>
      </c>
      <c r="O12" s="93">
        <v>0</v>
      </c>
      <c r="P12" s="93">
        <v>3</v>
      </c>
      <c r="Q12" s="93">
        <v>9</v>
      </c>
      <c r="R12" s="93">
        <v>2</v>
      </c>
      <c r="S12" s="93">
        <v>3</v>
      </c>
      <c r="T12" s="93">
        <v>4</v>
      </c>
      <c r="U12" s="93">
        <v>1</v>
      </c>
      <c r="V12" s="93">
        <f>SUM(Tabla5236[[#This Row],[Naranjas]:[Nueces]])</f>
        <v>22</v>
      </c>
      <c r="W12" s="101"/>
    </row>
    <row r="13" spans="1:23" outlineLevel="1" x14ac:dyDescent="0.3">
      <c r="A13" s="202"/>
      <c r="B13" s="97" t="s">
        <v>65</v>
      </c>
      <c r="C13" s="88" t="s">
        <v>66</v>
      </c>
      <c r="D13" s="88" t="s">
        <v>67</v>
      </c>
      <c r="E13" s="88" t="s">
        <v>61</v>
      </c>
      <c r="F13" s="88" t="s">
        <v>68</v>
      </c>
      <c r="G13" s="88" t="s">
        <v>69</v>
      </c>
      <c r="H13" s="88" t="s">
        <v>55</v>
      </c>
      <c r="I13" s="94">
        <v>56977684576</v>
      </c>
      <c r="J13" s="42" t="s">
        <v>70</v>
      </c>
      <c r="K13" s="42" t="s">
        <v>57</v>
      </c>
      <c r="L13" s="93" t="s">
        <v>190</v>
      </c>
      <c r="M13" s="93" t="s">
        <v>190</v>
      </c>
      <c r="N13" s="88">
        <f>SUMPRODUCT(Tabla5236[[#This Row],[Naranjas]:[Nueces]],O$26:U$26)</f>
        <v>40800</v>
      </c>
      <c r="O13" s="93">
        <v>0</v>
      </c>
      <c r="P13" s="93">
        <v>3</v>
      </c>
      <c r="Q13" s="93">
        <v>4</v>
      </c>
      <c r="R13" s="93">
        <v>1</v>
      </c>
      <c r="S13" s="93">
        <v>0</v>
      </c>
      <c r="T13" s="93">
        <v>0</v>
      </c>
      <c r="U13" s="93">
        <v>0</v>
      </c>
      <c r="V13" s="93">
        <f>SUM(Tabla5236[[#This Row],[Naranjas]:[Nueces]])</f>
        <v>8</v>
      </c>
      <c r="W13" s="101"/>
    </row>
    <row r="14" spans="1:23" outlineLevel="1" x14ac:dyDescent="0.3">
      <c r="A14" s="202"/>
      <c r="B14" s="97" t="s">
        <v>231</v>
      </c>
      <c r="C14" s="88" t="s">
        <v>232</v>
      </c>
      <c r="D14" s="88" t="s">
        <v>233</v>
      </c>
      <c r="E14" s="88" t="s">
        <v>61</v>
      </c>
      <c r="F14" s="88" t="s">
        <v>68</v>
      </c>
      <c r="G14" s="88" t="s">
        <v>113</v>
      </c>
      <c r="H14" s="88" t="s">
        <v>55</v>
      </c>
      <c r="I14" s="94">
        <v>56995483434</v>
      </c>
      <c r="J14" s="42" t="s">
        <v>234</v>
      </c>
      <c r="K14" s="42" t="s">
        <v>57</v>
      </c>
      <c r="L14" s="93" t="s">
        <v>190</v>
      </c>
      <c r="M14" s="93" t="s">
        <v>190</v>
      </c>
      <c r="N14" s="88">
        <f>SUMPRODUCT(Tabla5236[[#This Row],[Naranjas]:[Nueces]],O$26:U$26)</f>
        <v>22400</v>
      </c>
      <c r="O14" s="93">
        <v>0</v>
      </c>
      <c r="P14" s="93">
        <v>1</v>
      </c>
      <c r="Q14" s="93">
        <v>2</v>
      </c>
      <c r="R14" s="93">
        <v>1</v>
      </c>
      <c r="S14" s="93">
        <v>0</v>
      </c>
      <c r="T14" s="93">
        <v>0</v>
      </c>
      <c r="U14" s="93">
        <v>0</v>
      </c>
      <c r="V14" s="93">
        <f>SUM(Tabla5236[[#This Row],[Naranjas]:[Nueces]])</f>
        <v>4</v>
      </c>
      <c r="W14" s="101"/>
    </row>
    <row r="15" spans="1:23" outlineLevel="1" x14ac:dyDescent="0.3">
      <c r="A15" s="202"/>
      <c r="B15" s="97" t="s">
        <v>120</v>
      </c>
      <c r="C15" s="88" t="s">
        <v>121</v>
      </c>
      <c r="D15" s="88" t="s">
        <v>122</v>
      </c>
      <c r="E15" s="88" t="s">
        <v>80</v>
      </c>
      <c r="F15" s="88" t="s">
        <v>81</v>
      </c>
      <c r="G15" s="88" t="s">
        <v>63</v>
      </c>
      <c r="H15" s="88" t="s">
        <v>55</v>
      </c>
      <c r="I15" s="94">
        <v>56978785698</v>
      </c>
      <c r="J15" s="42" t="s">
        <v>123</v>
      </c>
      <c r="K15" s="42" t="s">
        <v>57</v>
      </c>
      <c r="L15" s="93" t="s">
        <v>190</v>
      </c>
      <c r="M15" s="93" t="s">
        <v>190</v>
      </c>
      <c r="N15" s="88">
        <f>SUMPRODUCT(Tabla5236[[#This Row],[Naranjas]:[Nueces]],O$26:U$26)</f>
        <v>50600</v>
      </c>
      <c r="O15" s="93">
        <v>0</v>
      </c>
      <c r="P15" s="93">
        <v>2</v>
      </c>
      <c r="Q15" s="93">
        <v>3</v>
      </c>
      <c r="R15" s="93">
        <v>0</v>
      </c>
      <c r="S15" s="93">
        <v>2</v>
      </c>
      <c r="T15" s="93">
        <v>3</v>
      </c>
      <c r="U15" s="93">
        <v>0</v>
      </c>
      <c r="V15" s="93">
        <f>SUM(Tabla5236[[#This Row],[Naranjas]:[Nueces]])</f>
        <v>10</v>
      </c>
      <c r="W15" s="101" t="s">
        <v>260</v>
      </c>
    </row>
    <row r="16" spans="1:23" ht="15" outlineLevel="1" thickBot="1" x14ac:dyDescent="0.35">
      <c r="A16" s="203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6">
        <v>56952304675</v>
      </c>
      <c r="J16" s="77" t="s">
        <v>185</v>
      </c>
      <c r="K16" s="77" t="s">
        <v>89</v>
      </c>
      <c r="L16" s="93" t="s">
        <v>190</v>
      </c>
      <c r="M16" s="93" t="s">
        <v>190</v>
      </c>
      <c r="N16" s="88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3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" thickBot="1" x14ac:dyDescent="0.35"/>
    <row r="19" spans="1:22" ht="14.7" customHeight="1" thickBot="1" x14ac:dyDescent="0.35">
      <c r="A19" s="213" t="s">
        <v>21</v>
      </c>
      <c r="B19" s="195" t="s">
        <v>7</v>
      </c>
      <c r="C19" s="196"/>
      <c r="D19" s="196"/>
      <c r="E19" s="196"/>
      <c r="F19" s="196"/>
      <c r="G19" s="196"/>
      <c r="H19" s="196"/>
      <c r="I19" s="196"/>
      <c r="J19" s="196"/>
      <c r="K19" s="196"/>
      <c r="L19" s="197"/>
      <c r="M19" s="113"/>
      <c r="N19" s="107" t="s">
        <v>9</v>
      </c>
      <c r="O19" s="14">
        <f>SUM(Tabla5236[Naranjas])</f>
        <v>8</v>
      </c>
      <c r="P19" s="90">
        <f>SUM(Tabla5236[Mandarinas])</f>
        <v>20</v>
      </c>
      <c r="Q19" s="90">
        <f>SUM(Tabla5236[Paltas])</f>
        <v>50</v>
      </c>
      <c r="R19" s="90">
        <f>SUM(Tabla5236[Quesos])</f>
        <v>11</v>
      </c>
      <c r="S19" s="90">
        <f>SUM(Tabla5236[Frutillas])</f>
        <v>20</v>
      </c>
      <c r="T19" s="90">
        <f>SUM(Tabla5236[Tomate Cherry])</f>
        <v>12</v>
      </c>
      <c r="U19" s="10">
        <f>SUM(Tabla5236[Nueces])</f>
        <v>2</v>
      </c>
    </row>
    <row r="20" spans="1:22" ht="14.7" customHeight="1" thickBot="1" x14ac:dyDescent="0.35">
      <c r="A20" s="214"/>
      <c r="B20" s="204"/>
      <c r="C20" s="205"/>
      <c r="D20" s="205"/>
      <c r="E20" s="205"/>
      <c r="F20" s="205"/>
      <c r="G20" s="205"/>
      <c r="H20" s="205"/>
      <c r="I20" s="205"/>
      <c r="J20" s="205"/>
      <c r="K20" s="205"/>
      <c r="L20" s="206"/>
      <c r="M20" s="114"/>
      <c r="N20" s="107" t="s">
        <v>30</v>
      </c>
      <c r="O20" s="15">
        <v>5</v>
      </c>
      <c r="P20" s="93">
        <v>4</v>
      </c>
      <c r="Q20" s="93">
        <v>2</v>
      </c>
      <c r="R20" s="56">
        <v>1</v>
      </c>
      <c r="S20" s="56">
        <v>2</v>
      </c>
      <c r="T20" s="93">
        <v>1</v>
      </c>
      <c r="U20" s="57">
        <v>0.25</v>
      </c>
    </row>
    <row r="21" spans="1:22" ht="14.7" customHeight="1" thickBot="1" x14ac:dyDescent="0.35">
      <c r="A21" s="214"/>
      <c r="B21" s="204"/>
      <c r="C21" s="205"/>
      <c r="D21" s="205"/>
      <c r="E21" s="205"/>
      <c r="F21" s="205"/>
      <c r="G21" s="205"/>
      <c r="H21" s="205"/>
      <c r="I21" s="205"/>
      <c r="J21" s="205"/>
      <c r="K21" s="205"/>
      <c r="L21" s="206"/>
      <c r="M21" s="114"/>
      <c r="N21" s="107" t="s">
        <v>8</v>
      </c>
      <c r="O21" s="15">
        <f>O20*O19</f>
        <v>40</v>
      </c>
      <c r="P21" s="93">
        <f t="shared" ref="P21:U21" si="0">P20*P19</f>
        <v>80</v>
      </c>
      <c r="Q21" s="93">
        <f t="shared" si="0"/>
        <v>100</v>
      </c>
      <c r="R21" s="93">
        <f t="shared" si="0"/>
        <v>11</v>
      </c>
      <c r="S21" s="93">
        <f t="shared" si="0"/>
        <v>40</v>
      </c>
      <c r="T21" s="93">
        <f t="shared" si="0"/>
        <v>12</v>
      </c>
      <c r="U21" s="19">
        <f t="shared" si="0"/>
        <v>0.5</v>
      </c>
    </row>
    <row r="22" spans="1:22" ht="15" thickBot="1" x14ac:dyDescent="0.35">
      <c r="A22" s="214"/>
      <c r="B22" s="198"/>
      <c r="C22" s="199"/>
      <c r="D22" s="199"/>
      <c r="E22" s="199"/>
      <c r="F22" s="199"/>
      <c r="G22" s="199"/>
      <c r="H22" s="199"/>
      <c r="I22" s="199"/>
      <c r="J22" s="199"/>
      <c r="K22" s="199"/>
      <c r="L22" s="200"/>
      <c r="M22" s="115"/>
      <c r="N22" s="107" t="s">
        <v>10</v>
      </c>
      <c r="O22" s="16"/>
      <c r="P22" s="27"/>
      <c r="Q22" s="27"/>
      <c r="R22" s="27"/>
      <c r="S22" s="27"/>
      <c r="T22" s="27"/>
      <c r="U22" s="20"/>
    </row>
    <row r="23" spans="1:22" ht="15" thickBot="1" x14ac:dyDescent="0.35">
      <c r="A23" s="214"/>
      <c r="B23" s="108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" thickBot="1" x14ac:dyDescent="0.35">
      <c r="A24" s="214"/>
      <c r="B24" s="195" t="s">
        <v>13</v>
      </c>
      <c r="C24" s="196"/>
      <c r="D24" s="196"/>
      <c r="E24" s="196"/>
      <c r="F24" s="196"/>
      <c r="G24" s="196"/>
      <c r="H24" s="196"/>
      <c r="I24" s="196"/>
      <c r="J24" s="196"/>
      <c r="K24" s="196"/>
      <c r="L24" s="197"/>
      <c r="M24" s="113"/>
      <c r="N24" s="107" t="s">
        <v>14</v>
      </c>
      <c r="O24" s="95">
        <f>O25*O20</f>
        <v>525</v>
      </c>
      <c r="P24" s="92">
        <f t="shared" ref="P24:U24" si="1">P25*P20</f>
        <v>2200</v>
      </c>
      <c r="Q24" s="92">
        <f t="shared" si="1"/>
        <v>3100</v>
      </c>
      <c r="R24" s="92">
        <f t="shared" si="1"/>
        <v>6716</v>
      </c>
      <c r="S24" s="92">
        <f t="shared" si="1"/>
        <v>4000</v>
      </c>
      <c r="T24" s="92">
        <f t="shared" si="1"/>
        <v>2300</v>
      </c>
      <c r="U24" s="24">
        <f t="shared" si="1"/>
        <v>1875</v>
      </c>
    </row>
    <row r="25" spans="1:22" ht="15" thickBot="1" x14ac:dyDescent="0.35">
      <c r="A25" s="214"/>
      <c r="B25" s="204"/>
      <c r="C25" s="205"/>
      <c r="D25" s="205"/>
      <c r="E25" s="205"/>
      <c r="F25" s="205"/>
      <c r="G25" s="205"/>
      <c r="H25" s="205"/>
      <c r="I25" s="205"/>
      <c r="J25" s="205"/>
      <c r="K25" s="205"/>
      <c r="L25" s="206"/>
      <c r="M25" s="114"/>
      <c r="N25" s="107" t="s">
        <v>8</v>
      </c>
      <c r="O25" s="97">
        <v>105</v>
      </c>
      <c r="P25" s="88">
        <v>550</v>
      </c>
      <c r="Q25" s="88">
        <v>1550</v>
      </c>
      <c r="R25" s="88">
        <v>6716</v>
      </c>
      <c r="S25" s="88">
        <f>12000/6</f>
        <v>2000</v>
      </c>
      <c r="T25" s="88">
        <v>2300</v>
      </c>
      <c r="U25" s="46">
        <v>7500</v>
      </c>
    </row>
    <row r="26" spans="1:22" ht="15" thickBot="1" x14ac:dyDescent="0.35">
      <c r="A26" s="214"/>
      <c r="B26" s="198"/>
      <c r="C26" s="199"/>
      <c r="D26" s="199"/>
      <c r="E26" s="199"/>
      <c r="F26" s="199"/>
      <c r="G26" s="199"/>
      <c r="H26" s="199"/>
      <c r="I26" s="199"/>
      <c r="J26" s="199"/>
      <c r="K26" s="199"/>
      <c r="L26" s="200"/>
      <c r="M26" s="115"/>
      <c r="N26" s="107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" thickBot="1" x14ac:dyDescent="0.35">
      <c r="A27" s="214"/>
      <c r="B27" s="108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7" customHeight="1" thickBot="1" x14ac:dyDescent="0.35">
      <c r="A28" s="214"/>
      <c r="B28" s="195" t="s">
        <v>16</v>
      </c>
      <c r="C28" s="196"/>
      <c r="D28" s="196"/>
      <c r="E28" s="196"/>
      <c r="F28" s="196"/>
      <c r="G28" s="196"/>
      <c r="H28" s="196"/>
      <c r="I28" s="196"/>
      <c r="J28" s="196"/>
      <c r="K28" s="196"/>
      <c r="L28" s="197"/>
      <c r="M28" s="113"/>
      <c r="N28" s="107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" thickBot="1" x14ac:dyDescent="0.35">
      <c r="A29" s="214"/>
      <c r="B29" s="198"/>
      <c r="C29" s="199"/>
      <c r="D29" s="199"/>
      <c r="E29" s="199"/>
      <c r="F29" s="199"/>
      <c r="G29" s="199"/>
      <c r="H29" s="199"/>
      <c r="I29" s="199"/>
      <c r="J29" s="199"/>
      <c r="K29" s="199"/>
      <c r="L29" s="200"/>
      <c r="M29" s="115"/>
      <c r="N29" s="107" t="s">
        <v>17</v>
      </c>
      <c r="O29" s="216">
        <f>SUM(O28:U28)</f>
        <v>388426</v>
      </c>
      <c r="P29" s="217"/>
      <c r="Q29" s="217"/>
      <c r="R29" s="217"/>
      <c r="S29" s="217"/>
      <c r="T29" s="217"/>
      <c r="U29" s="218"/>
    </row>
    <row r="30" spans="1:22" ht="15" thickBot="1" x14ac:dyDescent="0.35">
      <c r="A30" s="214"/>
      <c r="B30" s="195" t="s">
        <v>18</v>
      </c>
      <c r="C30" s="196"/>
      <c r="D30" s="196"/>
      <c r="E30" s="196"/>
      <c r="F30" s="196"/>
      <c r="G30" s="196"/>
      <c r="H30" s="196"/>
      <c r="I30" s="196"/>
      <c r="J30" s="196"/>
      <c r="K30" s="196"/>
      <c r="L30" s="197"/>
      <c r="M30" s="113"/>
      <c r="N30" s="107" t="s">
        <v>20</v>
      </c>
      <c r="O30" s="91">
        <f t="shared" ref="O30:U30" si="3">O26*O19</f>
        <v>28000</v>
      </c>
      <c r="P30" s="89">
        <f t="shared" si="3"/>
        <v>90000</v>
      </c>
      <c r="Q30" s="89">
        <f t="shared" si="3"/>
        <v>235000</v>
      </c>
      <c r="R30" s="89">
        <f t="shared" si="3"/>
        <v>93500</v>
      </c>
      <c r="S30" s="89">
        <f t="shared" si="3"/>
        <v>140000</v>
      </c>
      <c r="T30" s="89">
        <f t="shared" si="3"/>
        <v>54000</v>
      </c>
      <c r="U30" s="7">
        <f t="shared" si="3"/>
        <v>11000</v>
      </c>
    </row>
    <row r="31" spans="1:22" ht="15" thickBot="1" x14ac:dyDescent="0.35">
      <c r="A31" s="214"/>
      <c r="B31" s="198"/>
      <c r="C31" s="199"/>
      <c r="D31" s="199"/>
      <c r="E31" s="199"/>
      <c r="F31" s="199"/>
      <c r="G31" s="199"/>
      <c r="H31" s="199"/>
      <c r="I31" s="199"/>
      <c r="J31" s="199"/>
      <c r="K31" s="199"/>
      <c r="L31" s="200"/>
      <c r="M31" s="115"/>
      <c r="N31" s="107" t="s">
        <v>17</v>
      </c>
      <c r="O31" s="216">
        <f>SUM(O30:U30)</f>
        <v>651500</v>
      </c>
      <c r="P31" s="217"/>
      <c r="Q31" s="217"/>
      <c r="R31" s="217"/>
      <c r="S31" s="217"/>
      <c r="T31" s="217"/>
      <c r="U31" s="218"/>
    </row>
    <row r="32" spans="1:22" ht="14.7" customHeight="1" thickBot="1" x14ac:dyDescent="0.35">
      <c r="A32" s="214"/>
      <c r="B32" s="195" t="s">
        <v>19</v>
      </c>
      <c r="C32" s="196"/>
      <c r="D32" s="196"/>
      <c r="E32" s="196"/>
      <c r="F32" s="196"/>
      <c r="G32" s="196"/>
      <c r="H32" s="196"/>
      <c r="I32" s="196"/>
      <c r="J32" s="196"/>
      <c r="K32" s="196"/>
      <c r="L32" s="197"/>
      <c r="M32" s="113"/>
      <c r="N32" s="107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7" customHeight="1" thickBot="1" x14ac:dyDescent="0.35">
      <c r="A33" s="214"/>
      <c r="B33" s="198"/>
      <c r="C33" s="199"/>
      <c r="D33" s="199"/>
      <c r="E33" s="199"/>
      <c r="F33" s="199"/>
      <c r="G33" s="199"/>
      <c r="H33" s="199"/>
      <c r="I33" s="199"/>
      <c r="J33" s="199"/>
      <c r="K33" s="199"/>
      <c r="L33" s="200"/>
      <c r="M33" s="115"/>
      <c r="N33" s="107" t="s">
        <v>31</v>
      </c>
      <c r="O33" s="231">
        <f>SUM(O32:U32)</f>
        <v>263074</v>
      </c>
      <c r="P33" s="232"/>
      <c r="Q33" s="232"/>
      <c r="R33" s="232"/>
      <c r="S33" s="232"/>
      <c r="T33" s="232"/>
      <c r="U33" s="233"/>
    </row>
    <row r="34" spans="1:21" ht="15" thickBot="1" x14ac:dyDescent="0.35">
      <c r="A34" s="214"/>
    </row>
    <row r="35" spans="1:21" ht="14.7" customHeight="1" thickBot="1" x14ac:dyDescent="0.35">
      <c r="A35" s="214"/>
      <c r="B35" s="234" t="s">
        <v>27</v>
      </c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6"/>
      <c r="O35" s="225" t="s">
        <v>28</v>
      </c>
      <c r="P35" s="226"/>
      <c r="Q35" s="227"/>
      <c r="R35" s="44" t="s">
        <v>29</v>
      </c>
      <c r="S35" s="110"/>
      <c r="T35" s="11"/>
      <c r="U35" s="11"/>
    </row>
    <row r="36" spans="1:21" ht="15" customHeight="1" x14ac:dyDescent="0.3">
      <c r="A36" s="214"/>
      <c r="B36" s="237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9"/>
      <c r="O36" s="243" t="s">
        <v>194</v>
      </c>
      <c r="P36" s="244"/>
      <c r="Q36" s="245"/>
      <c r="R36" s="52">
        <v>30000</v>
      </c>
      <c r="S36" s="111"/>
      <c r="T36" s="12"/>
      <c r="U36" s="12"/>
    </row>
    <row r="37" spans="1:21" ht="15" customHeight="1" x14ac:dyDescent="0.3">
      <c r="A37" s="214"/>
      <c r="B37" s="237"/>
      <c r="C37" s="238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9"/>
      <c r="O37" s="192" t="s">
        <v>192</v>
      </c>
      <c r="P37" s="193"/>
      <c r="Q37" s="194"/>
      <c r="R37" s="53">
        <v>30000</v>
      </c>
      <c r="S37" s="111"/>
      <c r="T37" s="12"/>
      <c r="U37" s="12"/>
    </row>
    <row r="38" spans="1:21" ht="15" customHeight="1" x14ac:dyDescent="0.3">
      <c r="A38" s="214"/>
      <c r="B38" s="237"/>
      <c r="C38" s="238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9"/>
      <c r="O38" s="192"/>
      <c r="P38" s="193"/>
      <c r="Q38" s="194"/>
      <c r="R38" s="53"/>
      <c r="S38" s="111"/>
      <c r="T38" s="12"/>
      <c r="U38" s="12"/>
    </row>
    <row r="39" spans="1:21" ht="15" customHeight="1" x14ac:dyDescent="0.3">
      <c r="A39" s="214"/>
      <c r="B39" s="237"/>
      <c r="C39" s="238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9"/>
      <c r="O39" s="192"/>
      <c r="P39" s="193"/>
      <c r="Q39" s="194"/>
      <c r="R39" s="53"/>
      <c r="S39" s="111"/>
      <c r="T39" s="12"/>
      <c r="U39" s="12"/>
    </row>
    <row r="40" spans="1:21" ht="15" customHeight="1" x14ac:dyDescent="0.3">
      <c r="A40" s="214"/>
      <c r="B40" s="237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9"/>
      <c r="O40" s="192"/>
      <c r="P40" s="193"/>
      <c r="Q40" s="194"/>
      <c r="R40" s="53"/>
      <c r="S40" s="111"/>
      <c r="T40" s="12"/>
      <c r="U40" s="12"/>
    </row>
    <row r="41" spans="1:21" ht="15" customHeight="1" x14ac:dyDescent="0.3">
      <c r="A41" s="214"/>
      <c r="B41" s="237"/>
      <c r="C41" s="238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9"/>
      <c r="O41" s="192"/>
      <c r="P41" s="193"/>
      <c r="Q41" s="194"/>
      <c r="R41" s="53"/>
      <c r="S41" s="111"/>
      <c r="T41" s="12"/>
      <c r="U41" s="12"/>
    </row>
    <row r="42" spans="1:21" ht="15" customHeight="1" thickBot="1" x14ac:dyDescent="0.35">
      <c r="A42" s="214"/>
      <c r="B42" s="237"/>
      <c r="C42" s="238"/>
      <c r="D42" s="238"/>
      <c r="E42" s="238"/>
      <c r="F42" s="238"/>
      <c r="G42" s="238"/>
      <c r="H42" s="238"/>
      <c r="I42" s="238"/>
      <c r="J42" s="238"/>
      <c r="K42" s="238"/>
      <c r="L42" s="238"/>
      <c r="M42" s="238"/>
      <c r="N42" s="239"/>
      <c r="O42" s="219"/>
      <c r="P42" s="220"/>
      <c r="Q42" s="221"/>
      <c r="R42" s="53"/>
      <c r="S42" s="111"/>
      <c r="T42" s="12"/>
      <c r="U42" s="12"/>
    </row>
    <row r="43" spans="1:21" ht="15.75" customHeight="1" thickBot="1" x14ac:dyDescent="0.35">
      <c r="A43" s="214"/>
      <c r="B43" s="240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2"/>
      <c r="O43" s="222" t="s">
        <v>17</v>
      </c>
      <c r="P43" s="223"/>
      <c r="Q43" s="224"/>
      <c r="R43" s="54">
        <f>SUM(R36:R42)</f>
        <v>60000</v>
      </c>
      <c r="S43" s="112"/>
      <c r="T43" s="12"/>
      <c r="U43" s="12"/>
    </row>
    <row r="44" spans="1:21" ht="15" thickBot="1" x14ac:dyDescent="0.35">
      <c r="A44" s="214"/>
    </row>
    <row r="45" spans="1:21" ht="51.75" customHeight="1" thickBot="1" x14ac:dyDescent="0.35">
      <c r="A45" s="215"/>
      <c r="B45" s="225" t="s">
        <v>19</v>
      </c>
      <c r="C45" s="226"/>
      <c r="D45" s="226"/>
      <c r="E45" s="226"/>
      <c r="F45" s="226"/>
      <c r="G45" s="226"/>
      <c r="H45" s="226"/>
      <c r="I45" s="226"/>
      <c r="J45" s="226"/>
      <c r="K45" s="226"/>
      <c r="L45" s="227"/>
      <c r="M45" s="116"/>
      <c r="N45" s="106" t="s">
        <v>17</v>
      </c>
      <c r="O45" s="228">
        <f>O33-SUM(R36:R42)</f>
        <v>203074</v>
      </c>
      <c r="P45" s="229"/>
      <c r="Q45" s="229"/>
      <c r="R45" s="229"/>
      <c r="S45" s="229"/>
      <c r="T45" s="229"/>
      <c r="U45" s="230"/>
    </row>
    <row r="46" spans="1:21" ht="15.75" customHeight="1" x14ac:dyDescent="0.3">
      <c r="A46" s="45"/>
      <c r="P46" s="43"/>
      <c r="Q46" s="43"/>
      <c r="R46" s="43"/>
      <c r="S46" s="43"/>
      <c r="U46" s="109"/>
    </row>
    <row r="47" spans="1:21" ht="15" customHeight="1" x14ac:dyDescent="0.3">
      <c r="A47" s="45"/>
      <c r="P47" s="43"/>
      <c r="Q47" s="43"/>
      <c r="R47" s="43"/>
      <c r="S47" s="43"/>
      <c r="U47" s="13"/>
    </row>
    <row r="48" spans="1:21" ht="15" customHeight="1" x14ac:dyDescent="0.3">
      <c r="P48" s="43"/>
      <c r="Q48" s="43"/>
      <c r="R48" s="43"/>
      <c r="S48" s="43"/>
      <c r="U48" s="13"/>
    </row>
    <row r="49" spans="16:21" ht="15" customHeight="1" x14ac:dyDescent="0.3">
      <c r="P49" s="43"/>
      <c r="Q49" s="43"/>
      <c r="R49" s="43"/>
      <c r="S49" s="43"/>
      <c r="U49" s="13"/>
    </row>
    <row r="50" spans="16:21" ht="15" customHeight="1" x14ac:dyDescent="0.3">
      <c r="P50" s="43"/>
      <c r="Q50" s="43"/>
      <c r="R50" s="43"/>
      <c r="S50" s="43"/>
      <c r="U50" s="13"/>
    </row>
    <row r="51" spans="16:21" ht="15" customHeight="1" x14ac:dyDescent="0.3">
      <c r="P51" s="43"/>
      <c r="Q51" s="43"/>
      <c r="R51" s="43"/>
      <c r="S51" s="43"/>
      <c r="U51" s="13"/>
    </row>
    <row r="52" spans="16:21" ht="15" customHeight="1" x14ac:dyDescent="0.3">
      <c r="P52" s="43"/>
      <c r="Q52" s="43"/>
      <c r="R52" s="43"/>
      <c r="S52" s="43"/>
      <c r="U52" s="13"/>
    </row>
    <row r="53" spans="16:21" ht="15" customHeight="1" x14ac:dyDescent="0.3">
      <c r="P53" s="43"/>
      <c r="Q53" s="43"/>
      <c r="R53" s="43"/>
      <c r="S53" s="43"/>
      <c r="U53" s="13"/>
    </row>
    <row r="54" spans="16:21" ht="15.75" customHeight="1" x14ac:dyDescent="0.3">
      <c r="P54" s="43"/>
      <c r="Q54" s="43"/>
      <c r="R54" s="43"/>
      <c r="S54" s="43"/>
      <c r="U54" s="13"/>
    </row>
  </sheetData>
  <mergeCells count="24"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  <mergeCell ref="B35:N43"/>
    <mergeCell ref="O35:Q35"/>
    <mergeCell ref="O36:Q36"/>
    <mergeCell ref="O37:Q37"/>
    <mergeCell ref="O38:Q38"/>
    <mergeCell ref="O39:Q39"/>
    <mergeCell ref="O40:Q40"/>
    <mergeCell ref="O41:Q41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23" sqref="M23"/>
    </sheetView>
  </sheetViews>
  <sheetFormatPr baseColWidth="10" defaultColWidth="11.44140625" defaultRowHeight="14.4" outlineLevelRow="1" outlineLevelCol="1" x14ac:dyDescent="0.3"/>
  <cols>
    <col min="1" max="1" width="11.44140625" style="120"/>
    <col min="2" max="2" width="12.44140625" style="120" customWidth="1"/>
    <col min="3" max="3" width="15.33203125" style="120" customWidth="1"/>
    <col min="4" max="4" width="38" style="120" hidden="1" customWidth="1" outlineLevel="1"/>
    <col min="5" max="5" width="15.109375" style="120" hidden="1" customWidth="1" outlineLevel="1"/>
    <col min="6" max="6" width="16.5546875" style="120" hidden="1" customWidth="1" outlineLevel="1"/>
    <col min="7" max="7" width="14.6640625" style="120" hidden="1" customWidth="1" outlineLevel="1"/>
    <col min="8" max="8" width="10.5546875" style="120" hidden="1" customWidth="1" outlineLevel="1"/>
    <col min="9" max="9" width="18.44140625" style="120" hidden="1" customWidth="1" outlineLevel="1"/>
    <col min="10" max="10" width="33.5546875" style="120" hidden="1" customWidth="1" outlineLevel="1"/>
    <col min="11" max="11" width="33.5546875" style="120" customWidth="1" outlineLevel="1"/>
    <col min="12" max="14" width="10.77734375" style="120" customWidth="1"/>
    <col min="15" max="21" width="15.44140625" style="120" customWidth="1"/>
    <col min="22" max="22" width="11.44140625" style="120"/>
    <col min="23" max="23" width="71.44140625" style="121" customWidth="1"/>
    <col min="24" max="16384" width="11.44140625" style="120"/>
  </cols>
  <sheetData>
    <row r="1" spans="1:23" ht="15" thickBot="1" x14ac:dyDescent="0.35"/>
    <row r="2" spans="1:23" ht="29.7" customHeight="1" thickBot="1" x14ac:dyDescent="0.35">
      <c r="B2" s="274" t="s">
        <v>268</v>
      </c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6"/>
      <c r="O2" s="277" t="s">
        <v>12</v>
      </c>
      <c r="P2" s="278"/>
      <c r="Q2" s="278"/>
      <c r="R2" s="278"/>
      <c r="S2" s="278"/>
      <c r="T2" s="278"/>
      <c r="U2" s="279"/>
    </row>
    <row r="3" spans="1:23" s="122" customFormat="1" ht="15" thickBot="1" x14ac:dyDescent="0.35">
      <c r="L3" s="123"/>
      <c r="M3" s="123"/>
      <c r="N3" s="123"/>
      <c r="O3" s="124" t="s">
        <v>32</v>
      </c>
      <c r="P3" s="124" t="s">
        <v>34</v>
      </c>
      <c r="Q3" s="124" t="s">
        <v>5</v>
      </c>
      <c r="R3" s="124" t="s">
        <v>35</v>
      </c>
      <c r="S3" s="124" t="s">
        <v>257</v>
      </c>
      <c r="T3" s="124" t="s">
        <v>36</v>
      </c>
      <c r="U3" s="124" t="s">
        <v>23</v>
      </c>
      <c r="W3" s="121"/>
    </row>
    <row r="4" spans="1:23" s="125" customFormat="1" ht="15" thickBot="1" x14ac:dyDescent="0.35">
      <c r="B4" s="126" t="s">
        <v>0</v>
      </c>
      <c r="C4" s="126" t="s">
        <v>1</v>
      </c>
      <c r="D4" s="126" t="s">
        <v>2</v>
      </c>
      <c r="E4" s="126" t="s">
        <v>3</v>
      </c>
      <c r="F4" s="126" t="s">
        <v>6</v>
      </c>
      <c r="G4" s="126" t="s">
        <v>24</v>
      </c>
      <c r="H4" s="126" t="s">
        <v>4</v>
      </c>
      <c r="I4" s="126" t="s">
        <v>25</v>
      </c>
      <c r="J4" s="126" t="s">
        <v>26</v>
      </c>
      <c r="K4" s="126" t="s">
        <v>41</v>
      </c>
      <c r="L4" s="126" t="s">
        <v>40</v>
      </c>
      <c r="M4" s="126" t="s">
        <v>43</v>
      </c>
      <c r="N4" s="126" t="s">
        <v>263</v>
      </c>
      <c r="O4" s="126" t="s">
        <v>32</v>
      </c>
      <c r="P4" s="126" t="s">
        <v>34</v>
      </c>
      <c r="Q4" s="126" t="s">
        <v>5</v>
      </c>
      <c r="R4" s="126" t="s">
        <v>35</v>
      </c>
      <c r="S4" s="127" t="s">
        <v>257</v>
      </c>
      <c r="T4" s="127" t="s">
        <v>36</v>
      </c>
      <c r="U4" s="127" t="s">
        <v>23</v>
      </c>
      <c r="V4" s="127" t="s">
        <v>17</v>
      </c>
      <c r="W4" s="128" t="s">
        <v>42</v>
      </c>
    </row>
    <row r="5" spans="1:23" ht="14.7" customHeight="1" outlineLevel="1" x14ac:dyDescent="0.3">
      <c r="A5" s="307" t="s">
        <v>45</v>
      </c>
      <c r="B5" s="129" t="s">
        <v>133</v>
      </c>
      <c r="C5" s="130" t="s">
        <v>134</v>
      </c>
      <c r="D5" s="130" t="s">
        <v>135</v>
      </c>
      <c r="E5" s="130" t="s">
        <v>52</v>
      </c>
      <c r="F5" s="130" t="s">
        <v>97</v>
      </c>
      <c r="G5" s="130" t="s">
        <v>69</v>
      </c>
      <c r="H5" s="130" t="s">
        <v>55</v>
      </c>
      <c r="I5" s="131">
        <v>56982328251</v>
      </c>
      <c r="J5" s="132" t="s">
        <v>136</v>
      </c>
      <c r="K5" s="132" t="s">
        <v>119</v>
      </c>
      <c r="L5" s="133" t="s">
        <v>190</v>
      </c>
      <c r="M5" s="133" t="s">
        <v>196</v>
      </c>
      <c r="N5" s="130">
        <f>SUMPRODUCT(Tabla5237[[#This Row],[Naranjas]:[Nueces]],O$38:U$38)</f>
        <v>16400</v>
      </c>
      <c r="O5" s="133">
        <v>2</v>
      </c>
      <c r="P5" s="133">
        <v>0</v>
      </c>
      <c r="Q5" s="133">
        <v>2</v>
      </c>
      <c r="R5" s="133">
        <v>0</v>
      </c>
      <c r="S5" s="133">
        <v>0</v>
      </c>
      <c r="T5" s="133">
        <v>0</v>
      </c>
      <c r="U5" s="133">
        <v>0</v>
      </c>
      <c r="V5" s="133">
        <f>SUM(Tabla5237[[#This Row],[Naranjas]:[Nueces]])</f>
        <v>4</v>
      </c>
      <c r="W5" s="134"/>
    </row>
    <row r="6" spans="1:23" outlineLevel="1" x14ac:dyDescent="0.3">
      <c r="A6" s="308"/>
      <c r="B6" s="135" t="s">
        <v>227</v>
      </c>
      <c r="C6" s="136" t="s">
        <v>228</v>
      </c>
      <c r="D6" s="136" t="s">
        <v>229</v>
      </c>
      <c r="E6" s="136" t="s">
        <v>80</v>
      </c>
      <c r="F6" s="136" t="s">
        <v>62</v>
      </c>
      <c r="G6" s="136" t="s">
        <v>113</v>
      </c>
      <c r="H6" s="136" t="s">
        <v>55</v>
      </c>
      <c r="I6" s="137">
        <v>56967289638</v>
      </c>
      <c r="J6" s="138" t="s">
        <v>230</v>
      </c>
      <c r="K6" s="138" t="s">
        <v>119</v>
      </c>
      <c r="L6" s="139" t="s">
        <v>190</v>
      </c>
      <c r="M6" s="139" t="s">
        <v>196</v>
      </c>
      <c r="N6" s="136">
        <f>SUMPRODUCT(Tabla5237[[#This Row],[Naranjas]:[Nueces]],O$38:U$38)</f>
        <v>200100</v>
      </c>
      <c r="O6" s="139">
        <v>11</v>
      </c>
      <c r="P6" s="139">
        <v>1</v>
      </c>
      <c r="Q6" s="139">
        <v>8</v>
      </c>
      <c r="R6" s="139">
        <v>6</v>
      </c>
      <c r="S6" s="139">
        <v>6</v>
      </c>
      <c r="T6" s="139">
        <v>6</v>
      </c>
      <c r="U6" s="139">
        <v>1</v>
      </c>
      <c r="V6" s="139">
        <f>SUM(Tabla5237[[#This Row],[Naranjas]:[Nueces]])</f>
        <v>39</v>
      </c>
      <c r="W6" s="140"/>
    </row>
    <row r="7" spans="1:23" outlineLevel="1" x14ac:dyDescent="0.3">
      <c r="A7" s="308"/>
      <c r="B7" s="135" t="s">
        <v>161</v>
      </c>
      <c r="C7" s="136" t="s">
        <v>162</v>
      </c>
      <c r="D7" s="136" t="s">
        <v>163</v>
      </c>
      <c r="E7" s="136" t="s">
        <v>52</v>
      </c>
      <c r="F7" s="136" t="s">
        <v>53</v>
      </c>
      <c r="G7" s="136" t="s">
        <v>63</v>
      </c>
      <c r="H7" s="136" t="s">
        <v>55</v>
      </c>
      <c r="I7" s="137">
        <v>56991889995</v>
      </c>
      <c r="J7" s="138" t="s">
        <v>164</v>
      </c>
      <c r="K7" s="138" t="s">
        <v>119</v>
      </c>
      <c r="L7" s="139" t="s">
        <v>190</v>
      </c>
      <c r="M7" s="139" t="s">
        <v>196</v>
      </c>
      <c r="N7" s="136">
        <f>SUMPRODUCT(Tabla5237[[#This Row],[Naranjas]:[Nueces]],O$38:U$38)</f>
        <v>55800</v>
      </c>
      <c r="O7" s="139">
        <v>1</v>
      </c>
      <c r="P7" s="139">
        <v>0</v>
      </c>
      <c r="Q7" s="139">
        <v>4</v>
      </c>
      <c r="R7" s="139">
        <v>2</v>
      </c>
      <c r="S7" s="139">
        <v>2</v>
      </c>
      <c r="T7" s="139">
        <v>1</v>
      </c>
      <c r="U7" s="139">
        <v>0</v>
      </c>
      <c r="V7" s="139">
        <f>SUM(Tabla5237[[#This Row],[Naranjas]:[Nueces]])</f>
        <v>10</v>
      </c>
      <c r="W7" s="140"/>
    </row>
    <row r="8" spans="1:23" outlineLevel="1" x14ac:dyDescent="0.3">
      <c r="A8" s="308"/>
      <c r="B8" s="135" t="s">
        <v>282</v>
      </c>
      <c r="C8" s="136" t="s">
        <v>283</v>
      </c>
      <c r="D8" s="136" t="s">
        <v>284</v>
      </c>
      <c r="E8" s="136" t="s">
        <v>52</v>
      </c>
      <c r="F8" s="136" t="s">
        <v>97</v>
      </c>
      <c r="G8" s="136" t="s">
        <v>285</v>
      </c>
      <c r="H8" s="136" t="s">
        <v>55</v>
      </c>
      <c r="I8" s="137">
        <v>56968320616</v>
      </c>
      <c r="J8" s="138" t="s">
        <v>286</v>
      </c>
      <c r="K8" s="138" t="s">
        <v>119</v>
      </c>
      <c r="L8" s="139" t="s">
        <v>190</v>
      </c>
      <c r="M8" s="139" t="s">
        <v>196</v>
      </c>
      <c r="N8" s="136">
        <f>SUMPRODUCT(Tabla5237[[#This Row],[Naranjas]:[Nueces]],O$38:U$38)</f>
        <v>106400</v>
      </c>
      <c r="O8" s="139">
        <v>5</v>
      </c>
      <c r="P8" s="139">
        <v>0</v>
      </c>
      <c r="Q8" s="139">
        <v>7</v>
      </c>
      <c r="R8" s="139">
        <v>2</v>
      </c>
      <c r="S8" s="139">
        <v>5</v>
      </c>
      <c r="T8" s="139">
        <v>2</v>
      </c>
      <c r="U8" s="139">
        <v>0</v>
      </c>
      <c r="V8" s="139">
        <f>SUM(Tabla5237[[#This Row],[Naranjas]:[Nueces]])</f>
        <v>21</v>
      </c>
      <c r="W8" s="140"/>
    </row>
    <row r="9" spans="1:23" outlineLevel="1" x14ac:dyDescent="0.3">
      <c r="A9" s="308"/>
      <c r="B9" s="135" t="s">
        <v>231</v>
      </c>
      <c r="C9" s="136" t="s">
        <v>232</v>
      </c>
      <c r="D9" s="136" t="s">
        <v>233</v>
      </c>
      <c r="E9" s="136" t="s">
        <v>61</v>
      </c>
      <c r="F9" s="136" t="s">
        <v>68</v>
      </c>
      <c r="G9" s="136" t="s">
        <v>113</v>
      </c>
      <c r="H9" s="136" t="s">
        <v>55</v>
      </c>
      <c r="I9" s="137">
        <v>56995483434</v>
      </c>
      <c r="J9" s="138" t="s">
        <v>234</v>
      </c>
      <c r="K9" s="138" t="s">
        <v>57</v>
      </c>
      <c r="L9" s="139" t="s">
        <v>190</v>
      </c>
      <c r="M9" s="139" t="s">
        <v>196</v>
      </c>
      <c r="N9" s="136">
        <f>SUMPRODUCT(Tabla5237[[#This Row],[Naranjas]:[Nueces]],O$38:U$38)</f>
        <v>88000</v>
      </c>
      <c r="O9" s="139">
        <v>2</v>
      </c>
      <c r="P9" s="139">
        <v>0</v>
      </c>
      <c r="Q9" s="139">
        <v>10</v>
      </c>
      <c r="R9" s="139">
        <v>4</v>
      </c>
      <c r="S9" s="139">
        <v>0</v>
      </c>
      <c r="T9" s="139">
        <v>0</v>
      </c>
      <c r="U9" s="139">
        <v>0</v>
      </c>
      <c r="V9" s="139">
        <f>SUM(Tabla5237[[#This Row],[Naranjas]:[Nueces]])</f>
        <v>16</v>
      </c>
      <c r="W9" s="140"/>
    </row>
    <row r="10" spans="1:23" outlineLevel="1" x14ac:dyDescent="0.3">
      <c r="A10" s="308"/>
      <c r="B10" s="141" t="s">
        <v>137</v>
      </c>
      <c r="C10" s="142" t="s">
        <v>101</v>
      </c>
      <c r="D10" s="143" t="s">
        <v>138</v>
      </c>
      <c r="E10" s="143" t="s">
        <v>80</v>
      </c>
      <c r="F10" s="143" t="s">
        <v>139</v>
      </c>
      <c r="G10" s="143" t="s">
        <v>113</v>
      </c>
      <c r="H10" s="143" t="s">
        <v>55</v>
      </c>
      <c r="I10" s="137">
        <v>56957230044</v>
      </c>
      <c r="J10" s="138" t="s">
        <v>140</v>
      </c>
      <c r="K10" s="138" t="s">
        <v>57</v>
      </c>
      <c r="L10" s="139" t="s">
        <v>190</v>
      </c>
      <c r="M10" s="139" t="s">
        <v>196</v>
      </c>
      <c r="N10" s="136">
        <f>SUMPRODUCT(Tabla5237[[#This Row],[Naranjas]:[Nueces]],O$38:U$38)</f>
        <v>63300</v>
      </c>
      <c r="O10" s="139">
        <v>5</v>
      </c>
      <c r="P10" s="139">
        <v>1</v>
      </c>
      <c r="Q10" s="139">
        <v>4</v>
      </c>
      <c r="R10" s="139">
        <v>0</v>
      </c>
      <c r="S10" s="139">
        <v>3</v>
      </c>
      <c r="T10" s="139">
        <v>1</v>
      </c>
      <c r="U10" s="139">
        <v>0</v>
      </c>
      <c r="V10" s="139">
        <f>SUM(Tabla5237[[#This Row],[Naranjas]:[Nueces]])</f>
        <v>14</v>
      </c>
      <c r="W10" s="140"/>
    </row>
    <row r="11" spans="1:23" outlineLevel="1" x14ac:dyDescent="0.3">
      <c r="A11" s="308"/>
      <c r="B11" s="135" t="s">
        <v>165</v>
      </c>
      <c r="C11" s="136" t="s">
        <v>106</v>
      </c>
      <c r="D11" s="136" t="s">
        <v>166</v>
      </c>
      <c r="E11" s="136" t="s">
        <v>52</v>
      </c>
      <c r="F11" s="136" t="s">
        <v>97</v>
      </c>
      <c r="G11" s="136" t="s">
        <v>63</v>
      </c>
      <c r="H11" s="136" t="s">
        <v>55</v>
      </c>
      <c r="I11" s="137">
        <v>56986194003</v>
      </c>
      <c r="J11" s="138" t="s">
        <v>167</v>
      </c>
      <c r="K11" s="138" t="s">
        <v>89</v>
      </c>
      <c r="L11" s="139" t="s">
        <v>190</v>
      </c>
      <c r="M11" s="139" t="s">
        <v>196</v>
      </c>
      <c r="N11" s="136">
        <f>SUMPRODUCT(Tabla5237[[#This Row],[Naranjas]:[Nueces]],O$38:U$38)</f>
        <v>128900</v>
      </c>
      <c r="O11" s="139">
        <v>0</v>
      </c>
      <c r="P11" s="139">
        <v>0</v>
      </c>
      <c r="Q11" s="139">
        <f>17+5</f>
        <v>22</v>
      </c>
      <c r="R11" s="139">
        <v>3</v>
      </c>
      <c r="S11" s="139">
        <v>0</v>
      </c>
      <c r="T11" s="139">
        <v>0</v>
      </c>
      <c r="U11" s="139">
        <v>0</v>
      </c>
      <c r="V11" s="139">
        <f>SUM(Tabla5237[[#This Row],[Naranjas]:[Nueces]])</f>
        <v>25</v>
      </c>
      <c r="W11" s="140"/>
    </row>
    <row r="12" spans="1:23" outlineLevel="1" x14ac:dyDescent="0.3">
      <c r="A12" s="308"/>
      <c r="B12" s="135" t="s">
        <v>275</v>
      </c>
      <c r="C12" s="136" t="s">
        <v>276</v>
      </c>
      <c r="D12" s="136" t="s">
        <v>277</v>
      </c>
      <c r="E12" s="136" t="s">
        <v>278</v>
      </c>
      <c r="F12" s="136" t="s">
        <v>278</v>
      </c>
      <c r="G12" s="136" t="s">
        <v>108</v>
      </c>
      <c r="H12" s="136" t="s">
        <v>55</v>
      </c>
      <c r="I12" s="137">
        <v>56965951459</v>
      </c>
      <c r="J12" s="138" t="s">
        <v>279</v>
      </c>
      <c r="K12" s="138" t="s">
        <v>89</v>
      </c>
      <c r="L12" s="139" t="s">
        <v>190</v>
      </c>
      <c r="M12" s="139" t="s">
        <v>196</v>
      </c>
      <c r="N12" s="136">
        <f>SUMPRODUCT(Tabla5237[[#This Row],[Naranjas]:[Nueces]],O$38:U$38)</f>
        <v>164200</v>
      </c>
      <c r="O12" s="139">
        <v>3</v>
      </c>
      <c r="P12" s="139">
        <v>2</v>
      </c>
      <c r="Q12" s="139">
        <v>11</v>
      </c>
      <c r="R12" s="139">
        <v>2</v>
      </c>
      <c r="S12" s="139">
        <v>8</v>
      </c>
      <c r="T12" s="139">
        <v>5</v>
      </c>
      <c r="U12" s="139">
        <v>1</v>
      </c>
      <c r="V12" s="139">
        <f>SUM(Tabla5237[[#This Row],[Naranjas]:[Nueces]])</f>
        <v>32</v>
      </c>
      <c r="W12" s="140"/>
    </row>
    <row r="13" spans="1:23" outlineLevel="1" x14ac:dyDescent="0.3">
      <c r="A13" s="308"/>
      <c r="B13" s="135" t="s">
        <v>128</v>
      </c>
      <c r="C13" s="136" t="s">
        <v>158</v>
      </c>
      <c r="D13" s="136" t="s">
        <v>159</v>
      </c>
      <c r="E13" s="136" t="s">
        <v>52</v>
      </c>
      <c r="F13" s="136" t="s">
        <v>97</v>
      </c>
      <c r="G13" s="136" t="s">
        <v>63</v>
      </c>
      <c r="H13" s="136" t="s">
        <v>55</v>
      </c>
      <c r="I13" s="137">
        <v>56967898535</v>
      </c>
      <c r="J13" s="138" t="s">
        <v>160</v>
      </c>
      <c r="K13" s="138" t="s">
        <v>119</v>
      </c>
      <c r="L13" s="139" t="s">
        <v>190</v>
      </c>
      <c r="M13" s="191" t="s">
        <v>190</v>
      </c>
      <c r="N13" s="136">
        <f>SUMPRODUCT(Tabla5237[[#This Row],[Naranjas]:[Nueces]],O$38:U$38)</f>
        <v>97900</v>
      </c>
      <c r="O13" s="139">
        <v>2</v>
      </c>
      <c r="P13" s="139">
        <v>2</v>
      </c>
      <c r="Q13" s="139">
        <v>12</v>
      </c>
      <c r="R13" s="139">
        <v>0</v>
      </c>
      <c r="S13" s="139">
        <v>2</v>
      </c>
      <c r="T13" s="139">
        <v>3</v>
      </c>
      <c r="U13" s="139">
        <v>0</v>
      </c>
      <c r="V13" s="139">
        <f>SUM(Tabla5237[[#This Row],[Naranjas]:[Nueces]])</f>
        <v>21</v>
      </c>
      <c r="W13" s="140"/>
    </row>
    <row r="14" spans="1:23" outlineLevel="1" x14ac:dyDescent="0.3">
      <c r="A14" s="308"/>
      <c r="B14" s="135" t="s">
        <v>115</v>
      </c>
      <c r="C14" s="136" t="s">
        <v>116</v>
      </c>
      <c r="D14" s="136" t="s">
        <v>117</v>
      </c>
      <c r="E14" s="136" t="s">
        <v>52</v>
      </c>
      <c r="F14" s="136" t="s">
        <v>53</v>
      </c>
      <c r="G14" s="136" t="s">
        <v>69</v>
      </c>
      <c r="H14" s="136" t="s">
        <v>55</v>
      </c>
      <c r="I14" s="137">
        <v>56966477967</v>
      </c>
      <c r="J14" s="138" t="s">
        <v>118</v>
      </c>
      <c r="K14" s="138" t="s">
        <v>119</v>
      </c>
      <c r="L14" s="139" t="s">
        <v>190</v>
      </c>
      <c r="M14" s="139" t="s">
        <v>190</v>
      </c>
      <c r="N14" s="136">
        <f>SUMPRODUCT(Tabla5237[[#This Row],[Naranjas]:[Nueces]],O$38:U$38)</f>
        <v>121600</v>
      </c>
      <c r="O14" s="139">
        <v>4</v>
      </c>
      <c r="P14" s="139">
        <v>2</v>
      </c>
      <c r="Q14" s="139">
        <v>8</v>
      </c>
      <c r="R14" s="139">
        <v>1</v>
      </c>
      <c r="S14" s="139">
        <v>3</v>
      </c>
      <c r="T14" s="139">
        <v>4</v>
      </c>
      <c r="U14" s="139">
        <v>3</v>
      </c>
      <c r="V14" s="139">
        <f>SUM(Tabla5237[[#This Row],[Naranjas]:[Nueces]])</f>
        <v>25</v>
      </c>
      <c r="W14" s="140"/>
    </row>
    <row r="15" spans="1:23" outlineLevel="1" x14ac:dyDescent="0.3">
      <c r="A15" s="308"/>
      <c r="B15" s="135" t="s">
        <v>165</v>
      </c>
      <c r="C15" s="136" t="s">
        <v>270</v>
      </c>
      <c r="D15" s="136" t="s">
        <v>280</v>
      </c>
      <c r="E15" s="136" t="s">
        <v>52</v>
      </c>
      <c r="F15" s="136" t="s">
        <v>97</v>
      </c>
      <c r="G15" s="136" t="s">
        <v>113</v>
      </c>
      <c r="H15" s="136" t="s">
        <v>55</v>
      </c>
      <c r="I15" s="137">
        <v>56975684552</v>
      </c>
      <c r="J15" s="138" t="s">
        <v>281</v>
      </c>
      <c r="K15" s="138" t="s">
        <v>119</v>
      </c>
      <c r="L15" s="139" t="s">
        <v>190</v>
      </c>
      <c r="M15" s="139" t="s">
        <v>190</v>
      </c>
      <c r="N15" s="136">
        <f>SUMPRODUCT(Tabla5237[[#This Row],[Naranjas]:[Nueces]],O$38:U$38)</f>
        <v>102400</v>
      </c>
      <c r="O15" s="139">
        <v>2</v>
      </c>
      <c r="P15" s="139">
        <v>0</v>
      </c>
      <c r="Q15" s="139">
        <v>7</v>
      </c>
      <c r="R15" s="139">
        <v>0</v>
      </c>
      <c r="S15" s="139">
        <v>8</v>
      </c>
      <c r="T15" s="139">
        <v>2</v>
      </c>
      <c r="U15" s="139">
        <v>1</v>
      </c>
      <c r="V15" s="139">
        <f>SUM(Tabla5237[[#This Row],[Naranjas]:[Nueces]])</f>
        <v>20</v>
      </c>
      <c r="W15" s="140"/>
    </row>
    <row r="16" spans="1:23" outlineLevel="1" x14ac:dyDescent="0.3">
      <c r="A16" s="308"/>
      <c r="B16" s="135" t="s">
        <v>65</v>
      </c>
      <c r="C16" s="136" t="s">
        <v>66</v>
      </c>
      <c r="D16" s="136" t="s">
        <v>67</v>
      </c>
      <c r="E16" s="136" t="s">
        <v>61</v>
      </c>
      <c r="F16" s="136" t="s">
        <v>68</v>
      </c>
      <c r="G16" s="136" t="s">
        <v>69</v>
      </c>
      <c r="H16" s="136" t="s">
        <v>55</v>
      </c>
      <c r="I16" s="137">
        <v>56977684576</v>
      </c>
      <c r="J16" s="138" t="s">
        <v>70</v>
      </c>
      <c r="K16" s="138" t="s">
        <v>57</v>
      </c>
      <c r="L16" s="139" t="s">
        <v>190</v>
      </c>
      <c r="M16" s="191" t="s">
        <v>190</v>
      </c>
      <c r="N16" s="136">
        <f>SUMPRODUCT(Tabla5237[[#This Row],[Naranjas]:[Nueces]],O$38:U$38)</f>
        <v>8200</v>
      </c>
      <c r="O16" s="139">
        <v>1</v>
      </c>
      <c r="P16" s="139">
        <v>0</v>
      </c>
      <c r="Q16" s="139">
        <v>1</v>
      </c>
      <c r="R16" s="139">
        <v>0</v>
      </c>
      <c r="S16" s="139">
        <v>0</v>
      </c>
      <c r="T16" s="139">
        <v>0</v>
      </c>
      <c r="U16" s="139">
        <v>0</v>
      </c>
      <c r="V16" s="139">
        <f>SUM(Tabla5237[[#This Row],[Naranjas]:[Nueces]])</f>
        <v>2</v>
      </c>
      <c r="W16" s="140"/>
    </row>
    <row r="17" spans="1:23" outlineLevel="1" x14ac:dyDescent="0.3">
      <c r="A17" s="308"/>
      <c r="B17" s="135" t="s">
        <v>168</v>
      </c>
      <c r="C17" s="136" t="s">
        <v>169</v>
      </c>
      <c r="D17" s="136" t="s">
        <v>259</v>
      </c>
      <c r="E17" s="136" t="s">
        <v>80</v>
      </c>
      <c r="F17" s="136" t="s">
        <v>171</v>
      </c>
      <c r="G17" s="136" t="s">
        <v>63</v>
      </c>
      <c r="H17" s="136" t="s">
        <v>55</v>
      </c>
      <c r="I17" s="137">
        <v>56979878976</v>
      </c>
      <c r="J17" s="138" t="s">
        <v>172</v>
      </c>
      <c r="K17" s="138" t="s">
        <v>57</v>
      </c>
      <c r="L17" s="139" t="s">
        <v>190</v>
      </c>
      <c r="M17" s="191" t="s">
        <v>190</v>
      </c>
      <c r="N17" s="136">
        <f>SUMPRODUCT(Tabla5237[[#This Row],[Naranjas]:[Nueces]],O$38:U$38)</f>
        <v>228100</v>
      </c>
      <c r="O17" s="139">
        <v>7</v>
      </c>
      <c r="P17" s="139">
        <v>7</v>
      </c>
      <c r="Q17" s="139">
        <v>13</v>
      </c>
      <c r="R17" s="139">
        <v>6</v>
      </c>
      <c r="S17" s="139">
        <v>7</v>
      </c>
      <c r="T17" s="139">
        <v>4</v>
      </c>
      <c r="U17" s="139">
        <v>0</v>
      </c>
      <c r="V17" s="139">
        <f>SUM(Tabla5237[[#This Row],[Naranjas]:[Nueces]])</f>
        <v>44</v>
      </c>
      <c r="W17" s="140"/>
    </row>
    <row r="18" spans="1:23" outlineLevel="1" x14ac:dyDescent="0.3">
      <c r="A18" s="308"/>
      <c r="B18" s="135" t="s">
        <v>173</v>
      </c>
      <c r="C18" s="136" t="s">
        <v>194</v>
      </c>
      <c r="D18" s="136" t="s">
        <v>273</v>
      </c>
      <c r="E18" s="136" t="s">
        <v>80</v>
      </c>
      <c r="F18" s="136" t="s">
        <v>93</v>
      </c>
      <c r="G18" s="136" t="s">
        <v>63</v>
      </c>
      <c r="H18" s="136" t="s">
        <v>269</v>
      </c>
      <c r="I18" s="137">
        <v>56996324787</v>
      </c>
      <c r="J18" s="138" t="s">
        <v>274</v>
      </c>
      <c r="K18" s="138" t="s">
        <v>57</v>
      </c>
      <c r="L18" s="139" t="s">
        <v>190</v>
      </c>
      <c r="M18" s="139" t="s">
        <v>190</v>
      </c>
      <c r="N18" s="136">
        <f>SUMPRODUCT(Tabla5237[[#This Row],[Naranjas]:[Nueces]],O$38:U$38)</f>
        <v>15200</v>
      </c>
      <c r="O18" s="139">
        <v>0</v>
      </c>
      <c r="P18" s="139">
        <v>1</v>
      </c>
      <c r="Q18" s="139">
        <v>1</v>
      </c>
      <c r="R18" s="139">
        <v>0</v>
      </c>
      <c r="S18" s="139">
        <v>1</v>
      </c>
      <c r="T18" s="139">
        <v>0</v>
      </c>
      <c r="U18" s="139">
        <v>0</v>
      </c>
      <c r="V18" s="139">
        <f>SUM(Tabla5237[[#This Row],[Naranjas]:[Nueces]])</f>
        <v>3</v>
      </c>
      <c r="W18" s="140"/>
    </row>
    <row r="19" spans="1:23" outlineLevel="1" x14ac:dyDescent="0.3">
      <c r="A19" s="308"/>
      <c r="B19" s="135" t="s">
        <v>120</v>
      </c>
      <c r="C19" s="136" t="s">
        <v>121</v>
      </c>
      <c r="D19" s="136" t="s">
        <v>122</v>
      </c>
      <c r="E19" s="136" t="s">
        <v>80</v>
      </c>
      <c r="F19" s="136" t="s">
        <v>81</v>
      </c>
      <c r="G19" s="136" t="s">
        <v>63</v>
      </c>
      <c r="H19" s="136" t="s">
        <v>55</v>
      </c>
      <c r="I19" s="137">
        <v>56978785698</v>
      </c>
      <c r="J19" s="138" t="s">
        <v>123</v>
      </c>
      <c r="K19" s="138" t="s">
        <v>57</v>
      </c>
      <c r="L19" s="139" t="s">
        <v>190</v>
      </c>
      <c r="M19" s="139" t="s">
        <v>190</v>
      </c>
      <c r="N19" s="136">
        <f>SUMPRODUCT(Tabla5237[[#This Row],[Naranjas]:[Nueces]],O$38:U$38)</f>
        <v>107400</v>
      </c>
      <c r="O19" s="139">
        <v>3</v>
      </c>
      <c r="P19" s="139">
        <v>0</v>
      </c>
      <c r="Q19" s="139">
        <v>17</v>
      </c>
      <c r="R19" s="139">
        <v>2</v>
      </c>
      <c r="S19" s="139">
        <v>0</v>
      </c>
      <c r="T19" s="139">
        <v>0</v>
      </c>
      <c r="U19" s="139">
        <v>0</v>
      </c>
      <c r="V19" s="139">
        <f>SUM(Tabla5237[[#This Row],[Naranjas]:[Nueces]])</f>
        <v>22</v>
      </c>
      <c r="W19" s="140"/>
    </row>
    <row r="20" spans="1:23" outlineLevel="1" x14ac:dyDescent="0.3">
      <c r="A20" s="308"/>
      <c r="B20" s="135" t="s">
        <v>58</v>
      </c>
      <c r="C20" s="136" t="s">
        <v>59</v>
      </c>
      <c r="D20" s="136" t="s">
        <v>60</v>
      </c>
      <c r="E20" s="136" t="s">
        <v>61</v>
      </c>
      <c r="F20" s="136" t="s">
        <v>62</v>
      </c>
      <c r="G20" s="136" t="s">
        <v>63</v>
      </c>
      <c r="H20" s="136" t="s">
        <v>55</v>
      </c>
      <c r="I20" s="137">
        <v>56942723186</v>
      </c>
      <c r="J20" s="138" t="s">
        <v>64</v>
      </c>
      <c r="K20" s="138" t="s">
        <v>57</v>
      </c>
      <c r="L20" s="139" t="s">
        <v>190</v>
      </c>
      <c r="M20" s="139" t="s">
        <v>190</v>
      </c>
      <c r="N20" s="136">
        <f>SUMPRODUCT(Tabla5237[[#This Row],[Naranjas]:[Nueces]],O$38:U$38)</f>
        <v>104000</v>
      </c>
      <c r="O20" s="139">
        <v>6</v>
      </c>
      <c r="P20" s="139">
        <v>3</v>
      </c>
      <c r="Q20" s="139">
        <v>10</v>
      </c>
      <c r="R20" s="139">
        <v>0</v>
      </c>
      <c r="S20" s="139">
        <v>3</v>
      </c>
      <c r="T20" s="139">
        <v>1</v>
      </c>
      <c r="U20" s="139">
        <v>0</v>
      </c>
      <c r="V20" s="139">
        <f>SUM(Tabla5237[[#This Row],[Naranjas]:[Nueces]])</f>
        <v>23</v>
      </c>
      <c r="W20" s="140"/>
    </row>
    <row r="21" spans="1:23" outlineLevel="1" x14ac:dyDescent="0.3">
      <c r="A21" s="308"/>
      <c r="B21" s="135" t="s">
        <v>212</v>
      </c>
      <c r="C21" s="136" t="s">
        <v>213</v>
      </c>
      <c r="D21" s="136" t="s">
        <v>214</v>
      </c>
      <c r="E21" s="136" t="s">
        <v>80</v>
      </c>
      <c r="F21" s="136" t="s">
        <v>171</v>
      </c>
      <c r="G21" s="136" t="s">
        <v>113</v>
      </c>
      <c r="H21" s="136" t="s">
        <v>55</v>
      </c>
      <c r="I21" s="137">
        <v>56955324629</v>
      </c>
      <c r="J21" s="138" t="s">
        <v>215</v>
      </c>
      <c r="K21" s="138" t="s">
        <v>89</v>
      </c>
      <c r="L21" s="139" t="s">
        <v>190</v>
      </c>
      <c r="M21" s="191" t="s">
        <v>190</v>
      </c>
      <c r="N21" s="136">
        <f>SUMPRODUCT(Tabla5237[[#This Row],[Naranjas]:[Nueces]],O$38:U$38)</f>
        <v>43200</v>
      </c>
      <c r="O21" s="139">
        <v>0</v>
      </c>
      <c r="P21" s="139">
        <v>0</v>
      </c>
      <c r="Q21" s="139">
        <v>6</v>
      </c>
      <c r="R21" s="139">
        <v>0</v>
      </c>
      <c r="S21" s="139">
        <v>1</v>
      </c>
      <c r="T21" s="139">
        <v>2</v>
      </c>
      <c r="U21" s="139">
        <v>0</v>
      </c>
      <c r="V21" s="139">
        <f>SUM(Tabla5237[[#This Row],[Naranjas]:[Nueces]])</f>
        <v>9</v>
      </c>
      <c r="W21" s="140"/>
    </row>
    <row r="22" spans="1:23" outlineLevel="1" x14ac:dyDescent="0.3">
      <c r="A22" s="308"/>
      <c r="B22" s="135" t="s">
        <v>141</v>
      </c>
      <c r="C22" s="136" t="s">
        <v>142</v>
      </c>
      <c r="D22" s="136" t="s">
        <v>143</v>
      </c>
      <c r="E22" s="136" t="s">
        <v>52</v>
      </c>
      <c r="F22" s="136" t="s">
        <v>53</v>
      </c>
      <c r="G22" s="136" t="s">
        <v>131</v>
      </c>
      <c r="H22" s="136" t="s">
        <v>55</v>
      </c>
      <c r="I22" s="137">
        <v>56988587944</v>
      </c>
      <c r="J22" s="138" t="s">
        <v>144</v>
      </c>
      <c r="K22" s="138" t="s">
        <v>89</v>
      </c>
      <c r="L22" s="139" t="s">
        <v>190</v>
      </c>
      <c r="M22" s="191" t="s">
        <v>190</v>
      </c>
      <c r="N22" s="136">
        <f>SUMPRODUCT(Tabla5237[[#This Row],[Naranjas]:[Nueces]],O$38:U$38)</f>
        <v>97300</v>
      </c>
      <c r="O22" s="139">
        <v>3</v>
      </c>
      <c r="P22" s="139">
        <v>1</v>
      </c>
      <c r="Q22" s="139">
        <v>9</v>
      </c>
      <c r="R22" s="139">
        <v>1</v>
      </c>
      <c r="S22" s="139">
        <v>3</v>
      </c>
      <c r="T22" s="139">
        <v>3</v>
      </c>
      <c r="U22" s="139">
        <v>0</v>
      </c>
      <c r="V22" s="139">
        <f>SUM(Tabla5237[[#This Row],[Naranjas]:[Nueces]])</f>
        <v>20</v>
      </c>
      <c r="W22" s="140"/>
    </row>
    <row r="23" spans="1:23" outlineLevel="1" x14ac:dyDescent="0.3">
      <c r="A23" s="308"/>
      <c r="B23" s="135" t="s">
        <v>83</v>
      </c>
      <c r="C23" s="136" t="s">
        <v>84</v>
      </c>
      <c r="D23" s="136" t="s">
        <v>85</v>
      </c>
      <c r="E23" s="136" t="s">
        <v>61</v>
      </c>
      <c r="F23" s="136" t="s">
        <v>86</v>
      </c>
      <c r="G23" s="136" t="s">
        <v>87</v>
      </c>
      <c r="H23" s="136" t="s">
        <v>55</v>
      </c>
      <c r="I23" s="137">
        <v>56956481962</v>
      </c>
      <c r="J23" s="138" t="s">
        <v>88</v>
      </c>
      <c r="K23" s="138" t="s">
        <v>89</v>
      </c>
      <c r="L23" s="139" t="s">
        <v>190</v>
      </c>
      <c r="M23" s="191" t="s">
        <v>190</v>
      </c>
      <c r="N23" s="136">
        <f>SUMPRODUCT(Tabla5237[[#This Row],[Naranjas]:[Nueces]],O$38:U$38)</f>
        <v>30900</v>
      </c>
      <c r="O23" s="139">
        <v>1</v>
      </c>
      <c r="P23" s="139">
        <v>0</v>
      </c>
      <c r="Q23" s="139">
        <v>2</v>
      </c>
      <c r="R23" s="139">
        <v>0</v>
      </c>
      <c r="S23" s="139">
        <v>3</v>
      </c>
      <c r="T23" s="139">
        <v>0</v>
      </c>
      <c r="U23" s="139">
        <v>0</v>
      </c>
      <c r="V23" s="139">
        <f>SUM(Tabla5237[[#This Row],[Naranjas]:[Nueces]])</f>
        <v>6</v>
      </c>
      <c r="W23" s="140"/>
    </row>
    <row r="24" spans="1:23" outlineLevel="1" x14ac:dyDescent="0.3">
      <c r="A24" s="308"/>
      <c r="B24" s="135" t="s">
        <v>105</v>
      </c>
      <c r="C24" s="136" t="s">
        <v>106</v>
      </c>
      <c r="D24" s="136" t="s">
        <v>107</v>
      </c>
      <c r="E24" s="136" t="s">
        <v>61</v>
      </c>
      <c r="F24" s="136" t="s">
        <v>86</v>
      </c>
      <c r="G24" s="136" t="s">
        <v>108</v>
      </c>
      <c r="H24" s="136" t="s">
        <v>55</v>
      </c>
      <c r="I24" s="137">
        <v>56982978895</v>
      </c>
      <c r="J24" s="138" t="s">
        <v>109</v>
      </c>
      <c r="K24" s="138" t="s">
        <v>89</v>
      </c>
      <c r="L24" s="139" t="s">
        <v>190</v>
      </c>
      <c r="M24" s="139" t="s">
        <v>190</v>
      </c>
      <c r="N24" s="136">
        <f>SUMPRODUCT(Tabla5237[[#This Row],[Naranjas]:[Nueces]],O$38:U$38)</f>
        <v>177800</v>
      </c>
      <c r="O24" s="139">
        <v>3</v>
      </c>
      <c r="P24" s="139">
        <v>7</v>
      </c>
      <c r="Q24" s="139">
        <v>9</v>
      </c>
      <c r="R24" s="139">
        <v>2</v>
      </c>
      <c r="S24" s="139">
        <v>9</v>
      </c>
      <c r="T24" s="139">
        <v>5</v>
      </c>
      <c r="U24" s="139">
        <v>0</v>
      </c>
      <c r="V24" s="139">
        <f>SUM(Tabla5237[[#This Row],[Naranjas]:[Nueces]])</f>
        <v>35</v>
      </c>
      <c r="W24" s="140"/>
    </row>
    <row r="25" spans="1:23" outlineLevel="1" x14ac:dyDescent="0.3">
      <c r="A25" s="308"/>
      <c r="B25" s="135" t="s">
        <v>178</v>
      </c>
      <c r="C25" s="136" t="s">
        <v>270</v>
      </c>
      <c r="D25" s="136" t="s">
        <v>271</v>
      </c>
      <c r="E25" s="136" t="s">
        <v>80</v>
      </c>
      <c r="F25" s="136" t="s">
        <v>139</v>
      </c>
      <c r="G25" s="136" t="s">
        <v>63</v>
      </c>
      <c r="H25" s="136" t="s">
        <v>55</v>
      </c>
      <c r="I25" s="137">
        <v>56993024442</v>
      </c>
      <c r="J25" s="138" t="s">
        <v>272</v>
      </c>
      <c r="K25" s="138" t="s">
        <v>89</v>
      </c>
      <c r="L25" s="139" t="s">
        <v>190</v>
      </c>
      <c r="M25" s="139" t="s">
        <v>190</v>
      </c>
      <c r="N25" s="136">
        <f>SUMPRODUCT(Tabla5237[[#This Row],[Naranjas]:[Nueces]],O$38:U$38)</f>
        <v>902100</v>
      </c>
      <c r="O25" s="139">
        <v>27</v>
      </c>
      <c r="P25" s="139">
        <v>31</v>
      </c>
      <c r="Q25" s="139">
        <v>63</v>
      </c>
      <c r="R25" s="139">
        <v>15</v>
      </c>
      <c r="S25" s="139">
        <v>25</v>
      </c>
      <c r="T25" s="139">
        <v>10</v>
      </c>
      <c r="U25" s="139">
        <v>9</v>
      </c>
      <c r="V25" s="139">
        <f>SUM(Tabla5237[[#This Row],[Naranjas]:[Nueces]])</f>
        <v>180</v>
      </c>
      <c r="W25" s="140"/>
    </row>
    <row r="26" spans="1:23" outlineLevel="1" x14ac:dyDescent="0.3">
      <c r="A26" s="308"/>
      <c r="B26" s="135" t="s">
        <v>182</v>
      </c>
      <c r="C26" s="136" t="s">
        <v>183</v>
      </c>
      <c r="D26" s="136" t="s">
        <v>184</v>
      </c>
      <c r="E26" s="136" t="s">
        <v>52</v>
      </c>
      <c r="F26" s="136" t="s">
        <v>97</v>
      </c>
      <c r="G26" s="136" t="s">
        <v>103</v>
      </c>
      <c r="H26" s="136" t="s">
        <v>55</v>
      </c>
      <c r="I26" s="137">
        <v>56952304675</v>
      </c>
      <c r="J26" s="138" t="s">
        <v>185</v>
      </c>
      <c r="K26" s="138" t="s">
        <v>89</v>
      </c>
      <c r="L26" s="139" t="s">
        <v>190</v>
      </c>
      <c r="M26" s="139" t="s">
        <v>190</v>
      </c>
      <c r="N26" s="136">
        <f>SUMPRODUCT(Tabla5237[[#This Row],[Naranjas]:[Nueces]],O$38:U$38)</f>
        <v>102600</v>
      </c>
      <c r="O26" s="139">
        <v>4</v>
      </c>
      <c r="P26" s="139">
        <v>2</v>
      </c>
      <c r="Q26" s="139">
        <v>3</v>
      </c>
      <c r="R26" s="139">
        <v>3</v>
      </c>
      <c r="S26" s="139">
        <v>5</v>
      </c>
      <c r="T26" s="139">
        <v>1</v>
      </c>
      <c r="U26" s="139">
        <v>1</v>
      </c>
      <c r="V26" s="139">
        <f>SUM(Tabla5237[[#This Row],[Naranjas]:[Nueces]])</f>
        <v>19</v>
      </c>
      <c r="W26" s="140"/>
    </row>
    <row r="27" spans="1:23" outlineLevel="1" x14ac:dyDescent="0.3">
      <c r="A27" s="308"/>
      <c r="B27" s="141" t="s">
        <v>287</v>
      </c>
      <c r="C27" s="142" t="s">
        <v>183</v>
      </c>
      <c r="D27" s="143" t="s">
        <v>184</v>
      </c>
      <c r="E27" s="143" t="s">
        <v>52</v>
      </c>
      <c r="F27" s="143" t="s">
        <v>97</v>
      </c>
      <c r="G27" s="143" t="s">
        <v>103</v>
      </c>
      <c r="H27" s="143" t="s">
        <v>55</v>
      </c>
      <c r="I27" s="137">
        <v>56994178481</v>
      </c>
      <c r="J27" s="138" t="s">
        <v>288</v>
      </c>
      <c r="K27" s="138" t="s">
        <v>89</v>
      </c>
      <c r="L27" s="139" t="s">
        <v>190</v>
      </c>
      <c r="M27" s="139" t="s">
        <v>190</v>
      </c>
      <c r="N27" s="144">
        <f>SUMPRODUCT(Tabla5237[[#This Row],[Naranjas]:[Nueces]],O$38:U$38)</f>
        <v>41400</v>
      </c>
      <c r="O27" s="139">
        <v>3</v>
      </c>
      <c r="P27" s="139">
        <v>0</v>
      </c>
      <c r="Q27" s="139">
        <v>2</v>
      </c>
      <c r="R27" s="139">
        <v>2</v>
      </c>
      <c r="S27" s="139">
        <v>0</v>
      </c>
      <c r="T27" s="139">
        <v>1</v>
      </c>
      <c r="U27" s="139">
        <v>0</v>
      </c>
      <c r="V27" s="139">
        <f>SUM(Tabla5237[[#This Row],[Naranjas]:[Nueces]])</f>
        <v>8</v>
      </c>
      <c r="W27" s="140"/>
    </row>
    <row r="28" spans="1:23" outlineLevel="1" x14ac:dyDescent="0.3">
      <c r="A28" s="308"/>
      <c r="B28" s="141" t="s">
        <v>100</v>
      </c>
      <c r="C28" s="142" t="s">
        <v>101</v>
      </c>
      <c r="D28" s="143" t="s">
        <v>102</v>
      </c>
      <c r="E28" s="143" t="s">
        <v>52</v>
      </c>
      <c r="F28" s="143" t="s">
        <v>97</v>
      </c>
      <c r="G28" s="143" t="s">
        <v>103</v>
      </c>
      <c r="H28" s="143" t="s">
        <v>55</v>
      </c>
      <c r="I28" s="137">
        <v>56966640363</v>
      </c>
      <c r="J28" s="138" t="s">
        <v>104</v>
      </c>
      <c r="K28" s="138" t="s">
        <v>89</v>
      </c>
      <c r="L28" s="139" t="s">
        <v>190</v>
      </c>
      <c r="M28" s="139" t="s">
        <v>190</v>
      </c>
      <c r="N28" s="136">
        <f>SUMPRODUCT(Tabla5237[[#This Row],[Naranjas]:[Nueces]],O$38:U$38)</f>
        <v>113600</v>
      </c>
      <c r="O28" s="139">
        <v>5</v>
      </c>
      <c r="P28" s="139">
        <v>3</v>
      </c>
      <c r="Q28" s="139">
        <v>8</v>
      </c>
      <c r="R28" s="139">
        <v>0</v>
      </c>
      <c r="S28" s="139">
        <v>6</v>
      </c>
      <c r="T28" s="139">
        <v>2</v>
      </c>
      <c r="U28" s="139">
        <v>0</v>
      </c>
      <c r="V28" s="139">
        <f>SUM(Tabla5237[[#This Row],[Naranjas]:[Nueces]])</f>
        <v>24</v>
      </c>
      <c r="W28" s="140"/>
    </row>
    <row r="29" spans="1:23" outlineLevel="1" x14ac:dyDescent="0.3">
      <c r="A29" s="145"/>
      <c r="B29" s="146"/>
      <c r="C29" s="146"/>
      <c r="D29" s="146"/>
      <c r="E29" s="146"/>
      <c r="F29" s="146"/>
      <c r="G29" s="146"/>
      <c r="H29" s="146"/>
      <c r="I29" s="147"/>
      <c r="J29" s="148"/>
      <c r="K29" s="148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</row>
    <row r="30" spans="1:23" ht="15" thickBot="1" x14ac:dyDescent="0.35"/>
    <row r="31" spans="1:23" ht="14.7" customHeight="1" thickBot="1" x14ac:dyDescent="0.35">
      <c r="A31" s="280" t="s">
        <v>21</v>
      </c>
      <c r="B31" s="283" t="s">
        <v>7</v>
      </c>
      <c r="C31" s="284"/>
      <c r="D31" s="284"/>
      <c r="E31" s="284"/>
      <c r="F31" s="284"/>
      <c r="G31" s="284"/>
      <c r="H31" s="284"/>
      <c r="I31" s="284"/>
      <c r="J31" s="284"/>
      <c r="K31" s="284"/>
      <c r="L31" s="284"/>
      <c r="M31" s="285"/>
      <c r="N31" s="150" t="s">
        <v>9</v>
      </c>
      <c r="O31" s="151">
        <f>SUM(Tabla5237[Naranjas])</f>
        <v>100</v>
      </c>
      <c r="P31" s="133">
        <f>SUM(Tabla5237[Mandarinas])</f>
        <v>63</v>
      </c>
      <c r="Q31" s="133">
        <f>SUM(Tabla5237[Paltas])</f>
        <v>239</v>
      </c>
      <c r="R31" s="133">
        <f>SUM(Tabla5237[Quesos])</f>
        <v>51</v>
      </c>
      <c r="S31" s="133">
        <f>SUM(Tabla5237[Frutillas])</f>
        <v>100</v>
      </c>
      <c r="T31" s="133">
        <f>SUM(Tabla5237[Tomate Cherry])</f>
        <v>53</v>
      </c>
      <c r="U31" s="152">
        <f>SUM(Tabla5237[Nueces])</f>
        <v>16</v>
      </c>
    </row>
    <row r="32" spans="1:23" ht="14.7" customHeight="1" thickBot="1" x14ac:dyDescent="0.35">
      <c r="A32" s="281"/>
      <c r="B32" s="286"/>
      <c r="C32" s="287"/>
      <c r="D32" s="287"/>
      <c r="E32" s="287"/>
      <c r="F32" s="287"/>
      <c r="G32" s="287"/>
      <c r="H32" s="287"/>
      <c r="I32" s="287"/>
      <c r="J32" s="287"/>
      <c r="K32" s="287"/>
      <c r="L32" s="287"/>
      <c r="M32" s="288"/>
      <c r="N32" s="150" t="s">
        <v>30</v>
      </c>
      <c r="O32" s="153">
        <v>5</v>
      </c>
      <c r="P32" s="139">
        <v>4</v>
      </c>
      <c r="Q32" s="139">
        <v>2</v>
      </c>
      <c r="R32" s="139">
        <v>1</v>
      </c>
      <c r="S32" s="139">
        <v>2</v>
      </c>
      <c r="T32" s="139">
        <v>1</v>
      </c>
      <c r="U32" s="154">
        <v>0.25</v>
      </c>
    </row>
    <row r="33" spans="1:21" ht="14.7" customHeight="1" thickBot="1" x14ac:dyDescent="0.35">
      <c r="A33" s="281"/>
      <c r="B33" s="286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8"/>
      <c r="N33" s="150" t="s">
        <v>8</v>
      </c>
      <c r="O33" s="153">
        <f>O32*O31</f>
        <v>500</v>
      </c>
      <c r="P33" s="139">
        <f t="shared" ref="P33:U33" si="0">P32*P31</f>
        <v>252</v>
      </c>
      <c r="Q33" s="139">
        <f t="shared" si="0"/>
        <v>478</v>
      </c>
      <c r="R33" s="139">
        <f t="shared" si="0"/>
        <v>51</v>
      </c>
      <c r="S33" s="139">
        <f t="shared" si="0"/>
        <v>200</v>
      </c>
      <c r="T33" s="139">
        <f t="shared" si="0"/>
        <v>53</v>
      </c>
      <c r="U33" s="155">
        <f t="shared" si="0"/>
        <v>4</v>
      </c>
    </row>
    <row r="34" spans="1:21" ht="15" thickBot="1" x14ac:dyDescent="0.35">
      <c r="A34" s="281"/>
      <c r="B34" s="289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1"/>
      <c r="N34" s="150" t="s">
        <v>10</v>
      </c>
      <c r="O34" s="156"/>
      <c r="P34" s="157"/>
      <c r="Q34" s="157"/>
      <c r="R34" s="157"/>
      <c r="S34" s="157"/>
      <c r="T34" s="157"/>
      <c r="U34" s="158"/>
    </row>
    <row r="35" spans="1:21" ht="15" thickBot="1" x14ac:dyDescent="0.35">
      <c r="A35" s="281"/>
      <c r="B35" s="159"/>
      <c r="C35" s="146"/>
      <c r="D35" s="160"/>
      <c r="E35" s="161"/>
      <c r="F35" s="161"/>
      <c r="G35" s="161"/>
      <c r="H35" s="161"/>
      <c r="I35" s="161"/>
      <c r="J35" s="161"/>
      <c r="K35" s="162"/>
      <c r="N35" s="163"/>
    </row>
    <row r="36" spans="1:21" ht="15" thickBot="1" x14ac:dyDescent="0.35">
      <c r="A36" s="281"/>
      <c r="B36" s="283" t="s">
        <v>13</v>
      </c>
      <c r="C36" s="284"/>
      <c r="D36" s="284"/>
      <c r="E36" s="284"/>
      <c r="F36" s="284"/>
      <c r="G36" s="284"/>
      <c r="H36" s="284"/>
      <c r="I36" s="284"/>
      <c r="J36" s="284"/>
      <c r="K36" s="284"/>
      <c r="L36" s="284"/>
      <c r="M36" s="285"/>
      <c r="N36" s="150" t="s">
        <v>14</v>
      </c>
      <c r="O36" s="129">
        <f>O37*O32</f>
        <v>525</v>
      </c>
      <c r="P36" s="130">
        <f t="shared" ref="P36:U36" si="1">P37*P32</f>
        <v>2200</v>
      </c>
      <c r="Q36" s="130">
        <f t="shared" si="1"/>
        <v>3100</v>
      </c>
      <c r="R36" s="130">
        <f t="shared" si="1"/>
        <v>6716</v>
      </c>
      <c r="S36" s="130">
        <f t="shared" si="1"/>
        <v>4000</v>
      </c>
      <c r="T36" s="130">
        <f t="shared" si="1"/>
        <v>2300</v>
      </c>
      <c r="U36" s="164">
        <f t="shared" si="1"/>
        <v>1875</v>
      </c>
    </row>
    <row r="37" spans="1:21" ht="15" thickBot="1" x14ac:dyDescent="0.35">
      <c r="A37" s="281"/>
      <c r="B37" s="286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8"/>
      <c r="N37" s="150" t="s">
        <v>8</v>
      </c>
      <c r="O37" s="135">
        <v>105</v>
      </c>
      <c r="P37" s="136">
        <v>550</v>
      </c>
      <c r="Q37" s="136">
        <v>1550</v>
      </c>
      <c r="R37" s="136">
        <v>6716</v>
      </c>
      <c r="S37" s="136">
        <f>12000/6</f>
        <v>2000</v>
      </c>
      <c r="T37" s="136">
        <v>2300</v>
      </c>
      <c r="U37" s="165">
        <v>7500</v>
      </c>
    </row>
    <row r="38" spans="1:21" ht="15" thickBot="1" x14ac:dyDescent="0.35">
      <c r="A38" s="281"/>
      <c r="B38" s="289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1"/>
      <c r="N38" s="150" t="s">
        <v>15</v>
      </c>
      <c r="O38" s="166">
        <v>3500</v>
      </c>
      <c r="P38" s="167">
        <v>4500</v>
      </c>
      <c r="Q38" s="167">
        <v>4700</v>
      </c>
      <c r="R38" s="167">
        <v>8500</v>
      </c>
      <c r="S38" s="167">
        <v>6000</v>
      </c>
      <c r="T38" s="167">
        <v>4500</v>
      </c>
      <c r="U38" s="168">
        <v>5500</v>
      </c>
    </row>
    <row r="39" spans="1:21" ht="15" thickBot="1" x14ac:dyDescent="0.35">
      <c r="A39" s="281"/>
      <c r="B39" s="159"/>
      <c r="C39" s="146"/>
      <c r="D39" s="160"/>
      <c r="E39" s="161"/>
      <c r="F39" s="161"/>
      <c r="G39" s="161"/>
      <c r="H39" s="161"/>
      <c r="I39" s="161"/>
      <c r="J39" s="161"/>
      <c r="K39" s="162"/>
      <c r="N39" s="163"/>
    </row>
    <row r="40" spans="1:21" ht="14.7" customHeight="1" thickBot="1" x14ac:dyDescent="0.35">
      <c r="A40" s="281"/>
      <c r="B40" s="283" t="s">
        <v>16</v>
      </c>
      <c r="C40" s="284"/>
      <c r="D40" s="284"/>
      <c r="E40" s="284"/>
      <c r="F40" s="284"/>
      <c r="G40" s="284"/>
      <c r="H40" s="284"/>
      <c r="I40" s="284"/>
      <c r="J40" s="284"/>
      <c r="K40" s="284"/>
      <c r="L40" s="284"/>
      <c r="M40" s="285"/>
      <c r="N40" s="150" t="s">
        <v>20</v>
      </c>
      <c r="O40" s="169">
        <f>O31*O36</f>
        <v>52500</v>
      </c>
      <c r="P40" s="170">
        <f t="shared" ref="P40:U40" si="2">P31*P36</f>
        <v>138600</v>
      </c>
      <c r="Q40" s="170">
        <f t="shared" si="2"/>
        <v>740900</v>
      </c>
      <c r="R40" s="171">
        <f t="shared" si="2"/>
        <v>342516</v>
      </c>
      <c r="S40" s="171">
        <f t="shared" si="2"/>
        <v>400000</v>
      </c>
      <c r="T40" s="170">
        <f t="shared" si="2"/>
        <v>121900</v>
      </c>
      <c r="U40" s="172">
        <f t="shared" si="2"/>
        <v>30000</v>
      </c>
    </row>
    <row r="41" spans="1:21" ht="15" thickBot="1" x14ac:dyDescent="0.35">
      <c r="A41" s="281"/>
      <c r="B41" s="289"/>
      <c r="C41" s="290"/>
      <c r="D41" s="290"/>
      <c r="E41" s="290"/>
      <c r="F41" s="290"/>
      <c r="G41" s="290"/>
      <c r="H41" s="290"/>
      <c r="I41" s="290"/>
      <c r="J41" s="290"/>
      <c r="K41" s="290"/>
      <c r="L41" s="290"/>
      <c r="M41" s="291"/>
      <c r="N41" s="150" t="s">
        <v>17</v>
      </c>
      <c r="O41" s="292">
        <f>SUM(O40:U40)</f>
        <v>1826416</v>
      </c>
      <c r="P41" s="293"/>
      <c r="Q41" s="293"/>
      <c r="R41" s="293"/>
      <c r="S41" s="293"/>
      <c r="T41" s="293"/>
      <c r="U41" s="294"/>
    </row>
    <row r="42" spans="1:21" ht="15" thickBot="1" x14ac:dyDescent="0.35">
      <c r="A42" s="281"/>
      <c r="B42" s="283" t="s">
        <v>18</v>
      </c>
      <c r="C42" s="284"/>
      <c r="D42" s="284"/>
      <c r="E42" s="284"/>
      <c r="F42" s="284"/>
      <c r="G42" s="284"/>
      <c r="H42" s="284"/>
      <c r="I42" s="284"/>
      <c r="J42" s="284"/>
      <c r="K42" s="284"/>
      <c r="L42" s="284"/>
      <c r="M42" s="285"/>
      <c r="N42" s="150" t="s">
        <v>20</v>
      </c>
      <c r="O42" s="141">
        <f t="shared" ref="O42:U42" si="3">O38*O31</f>
        <v>350000</v>
      </c>
      <c r="P42" s="142">
        <f t="shared" si="3"/>
        <v>283500</v>
      </c>
      <c r="Q42" s="142">
        <f t="shared" si="3"/>
        <v>1123300</v>
      </c>
      <c r="R42" s="142">
        <f t="shared" si="3"/>
        <v>433500</v>
      </c>
      <c r="S42" s="142">
        <f t="shared" si="3"/>
        <v>600000</v>
      </c>
      <c r="T42" s="142">
        <f t="shared" si="3"/>
        <v>238500</v>
      </c>
      <c r="U42" s="173">
        <f t="shared" si="3"/>
        <v>88000</v>
      </c>
    </row>
    <row r="43" spans="1:21" ht="15" thickBot="1" x14ac:dyDescent="0.35">
      <c r="A43" s="281"/>
      <c r="B43" s="289"/>
      <c r="C43" s="290"/>
      <c r="D43" s="290"/>
      <c r="E43" s="290"/>
      <c r="F43" s="290"/>
      <c r="G43" s="290"/>
      <c r="H43" s="290"/>
      <c r="I43" s="290"/>
      <c r="J43" s="290"/>
      <c r="K43" s="290"/>
      <c r="L43" s="290"/>
      <c r="M43" s="291"/>
      <c r="N43" s="150" t="s">
        <v>17</v>
      </c>
      <c r="O43" s="292">
        <f>SUM(O42:U42)</f>
        <v>3116800</v>
      </c>
      <c r="P43" s="293"/>
      <c r="Q43" s="293"/>
      <c r="R43" s="293"/>
      <c r="S43" s="293"/>
      <c r="T43" s="293"/>
      <c r="U43" s="294"/>
    </row>
    <row r="44" spans="1:21" ht="14.7" customHeight="1" thickBot="1" x14ac:dyDescent="0.35">
      <c r="A44" s="281"/>
      <c r="B44" s="283" t="s">
        <v>19</v>
      </c>
      <c r="C44" s="284"/>
      <c r="D44" s="284"/>
      <c r="E44" s="284"/>
      <c r="F44" s="284"/>
      <c r="G44" s="284"/>
      <c r="H44" s="284"/>
      <c r="I44" s="284"/>
      <c r="J44" s="284"/>
      <c r="K44" s="284"/>
      <c r="L44" s="284"/>
      <c r="M44" s="285"/>
      <c r="N44" s="150" t="s">
        <v>20</v>
      </c>
      <c r="O44" s="174">
        <f>O42-O40</f>
        <v>297500</v>
      </c>
      <c r="P44" s="175">
        <f t="shared" ref="P44:U44" si="4">P42-P40</f>
        <v>144900</v>
      </c>
      <c r="Q44" s="175">
        <f t="shared" si="4"/>
        <v>382400</v>
      </c>
      <c r="R44" s="175">
        <f t="shared" si="4"/>
        <v>90984</v>
      </c>
      <c r="S44" s="175">
        <f t="shared" si="4"/>
        <v>200000</v>
      </c>
      <c r="T44" s="175">
        <f t="shared" si="4"/>
        <v>116600</v>
      </c>
      <c r="U44" s="176">
        <f t="shared" si="4"/>
        <v>58000</v>
      </c>
    </row>
    <row r="45" spans="1:21" ht="29.7" customHeight="1" thickBot="1" x14ac:dyDescent="0.35">
      <c r="A45" s="281"/>
      <c r="B45" s="289"/>
      <c r="C45" s="290"/>
      <c r="D45" s="290"/>
      <c r="E45" s="290"/>
      <c r="F45" s="290"/>
      <c r="G45" s="290"/>
      <c r="H45" s="290"/>
      <c r="I45" s="290"/>
      <c r="J45" s="290"/>
      <c r="K45" s="290"/>
      <c r="L45" s="290"/>
      <c r="M45" s="291"/>
      <c r="N45" s="150" t="s">
        <v>31</v>
      </c>
      <c r="O45" s="304">
        <f>SUM(O44:U44)</f>
        <v>1290384</v>
      </c>
      <c r="P45" s="305"/>
      <c r="Q45" s="305"/>
      <c r="R45" s="305"/>
      <c r="S45" s="305"/>
      <c r="T45" s="305"/>
      <c r="U45" s="306"/>
    </row>
    <row r="46" spans="1:21" ht="15" thickBot="1" x14ac:dyDescent="0.35">
      <c r="A46" s="281"/>
    </row>
    <row r="47" spans="1:21" ht="14.7" customHeight="1" thickBot="1" x14ac:dyDescent="0.35">
      <c r="A47" s="281"/>
      <c r="B47" s="256" t="s">
        <v>27</v>
      </c>
      <c r="C47" s="257"/>
      <c r="D47" s="257"/>
      <c r="E47" s="257"/>
      <c r="F47" s="257"/>
      <c r="G47" s="257"/>
      <c r="H47" s="257"/>
      <c r="I47" s="257"/>
      <c r="J47" s="257"/>
      <c r="K47" s="257"/>
      <c r="L47" s="257"/>
      <c r="M47" s="257"/>
      <c r="N47" s="258"/>
      <c r="O47" s="265" t="s">
        <v>28</v>
      </c>
      <c r="P47" s="266"/>
      <c r="Q47" s="267"/>
      <c r="R47" s="177" t="s">
        <v>29</v>
      </c>
      <c r="S47" s="178"/>
      <c r="T47" s="179"/>
      <c r="U47" s="179"/>
    </row>
    <row r="48" spans="1:21" ht="15" customHeight="1" x14ac:dyDescent="0.3">
      <c r="A48" s="281"/>
      <c r="B48" s="259"/>
      <c r="C48" s="260"/>
      <c r="D48" s="260"/>
      <c r="E48" s="260"/>
      <c r="F48" s="260"/>
      <c r="G48" s="260"/>
      <c r="H48" s="260"/>
      <c r="I48" s="260"/>
      <c r="J48" s="260"/>
      <c r="K48" s="260"/>
      <c r="L48" s="260"/>
      <c r="M48" s="260"/>
      <c r="N48" s="261"/>
      <c r="O48" s="268" t="s">
        <v>193</v>
      </c>
      <c r="P48" s="269"/>
      <c r="Q48" s="270"/>
      <c r="R48" s="180">
        <v>50000</v>
      </c>
      <c r="S48" s="181"/>
      <c r="T48" s="182"/>
      <c r="U48" s="182"/>
    </row>
    <row r="49" spans="1:21" ht="15" customHeight="1" x14ac:dyDescent="0.3">
      <c r="A49" s="281"/>
      <c r="B49" s="259"/>
      <c r="C49" s="260"/>
      <c r="D49" s="260"/>
      <c r="E49" s="260"/>
      <c r="F49" s="260"/>
      <c r="G49" s="260"/>
      <c r="H49" s="260"/>
      <c r="I49" s="260"/>
      <c r="J49" s="260"/>
      <c r="K49" s="260"/>
      <c r="L49" s="260"/>
      <c r="M49" s="260"/>
      <c r="N49" s="261"/>
      <c r="O49" s="271" t="s">
        <v>192</v>
      </c>
      <c r="P49" s="272"/>
      <c r="Q49" s="273"/>
      <c r="R49" s="183">
        <v>50000</v>
      </c>
      <c r="S49" s="181"/>
      <c r="T49" s="182"/>
      <c r="U49" s="182"/>
    </row>
    <row r="50" spans="1:21" ht="15" customHeight="1" x14ac:dyDescent="0.3">
      <c r="A50" s="281"/>
      <c r="B50" s="259"/>
      <c r="C50" s="260"/>
      <c r="D50" s="260"/>
      <c r="E50" s="260"/>
      <c r="F50" s="260"/>
      <c r="G50" s="260"/>
      <c r="H50" s="260"/>
      <c r="I50" s="260"/>
      <c r="J50" s="260"/>
      <c r="K50" s="260"/>
      <c r="L50" s="260"/>
      <c r="M50" s="260"/>
      <c r="N50" s="261"/>
      <c r="O50" s="271" t="s">
        <v>115</v>
      </c>
      <c r="P50" s="272"/>
      <c r="Q50" s="273"/>
      <c r="R50" s="183">
        <v>65000</v>
      </c>
      <c r="S50" s="181"/>
      <c r="T50" s="182"/>
      <c r="U50" s="182"/>
    </row>
    <row r="51" spans="1:21" ht="15" customHeight="1" x14ac:dyDescent="0.3">
      <c r="A51" s="281"/>
      <c r="B51" s="259"/>
      <c r="C51" s="260"/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61"/>
      <c r="O51" s="271" t="s">
        <v>208</v>
      </c>
      <c r="P51" s="272"/>
      <c r="Q51" s="273"/>
      <c r="R51" s="183">
        <v>60000</v>
      </c>
      <c r="S51" s="181"/>
      <c r="T51" s="182"/>
      <c r="U51" s="182"/>
    </row>
    <row r="52" spans="1:21" ht="15" customHeight="1" x14ac:dyDescent="0.3">
      <c r="A52" s="281"/>
      <c r="B52" s="259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1"/>
      <c r="O52" s="271" t="s">
        <v>209</v>
      </c>
      <c r="P52" s="272"/>
      <c r="Q52" s="273"/>
      <c r="R52" s="183">
        <v>20000</v>
      </c>
      <c r="S52" s="181"/>
      <c r="T52" s="182"/>
      <c r="U52" s="182"/>
    </row>
    <row r="53" spans="1:21" ht="15" customHeight="1" x14ac:dyDescent="0.3">
      <c r="A53" s="281"/>
      <c r="B53" s="259"/>
      <c r="C53" s="260"/>
      <c r="D53" s="260"/>
      <c r="E53" s="260"/>
      <c r="F53" s="260"/>
      <c r="G53" s="260"/>
      <c r="H53" s="260"/>
      <c r="I53" s="260"/>
      <c r="J53" s="260"/>
      <c r="K53" s="260"/>
      <c r="L53" s="260"/>
      <c r="M53" s="260"/>
      <c r="N53" s="261"/>
      <c r="O53" s="271" t="s">
        <v>141</v>
      </c>
      <c r="P53" s="272"/>
      <c r="Q53" s="273"/>
      <c r="R53" s="183">
        <v>20000</v>
      </c>
      <c r="S53" s="181"/>
      <c r="T53" s="182"/>
      <c r="U53" s="182"/>
    </row>
    <row r="54" spans="1:21" ht="15" customHeight="1" thickBot="1" x14ac:dyDescent="0.35">
      <c r="A54" s="281"/>
      <c r="B54" s="259"/>
      <c r="C54" s="260"/>
      <c r="D54" s="260"/>
      <c r="E54" s="260"/>
      <c r="F54" s="260"/>
      <c r="G54" s="260"/>
      <c r="H54" s="260"/>
      <c r="I54" s="260"/>
      <c r="J54" s="260"/>
      <c r="K54" s="260"/>
      <c r="L54" s="260"/>
      <c r="M54" s="260"/>
      <c r="N54" s="261"/>
      <c r="O54" s="295" t="s">
        <v>133</v>
      </c>
      <c r="P54" s="296"/>
      <c r="Q54" s="297"/>
      <c r="R54" s="183">
        <v>20000</v>
      </c>
      <c r="S54" s="181"/>
      <c r="T54" s="182"/>
      <c r="U54" s="182"/>
    </row>
    <row r="55" spans="1:21" ht="15.75" customHeight="1" thickBot="1" x14ac:dyDescent="0.35">
      <c r="A55" s="281"/>
      <c r="B55" s="262"/>
      <c r="C55" s="263"/>
      <c r="D55" s="263"/>
      <c r="E55" s="263"/>
      <c r="F55" s="263"/>
      <c r="G55" s="263"/>
      <c r="H55" s="263"/>
      <c r="I55" s="263"/>
      <c r="J55" s="263"/>
      <c r="K55" s="263"/>
      <c r="L55" s="263"/>
      <c r="M55" s="263"/>
      <c r="N55" s="264"/>
      <c r="O55" s="298" t="s">
        <v>17</v>
      </c>
      <c r="P55" s="299"/>
      <c r="Q55" s="300"/>
      <c r="R55" s="184">
        <f>SUM(R48:R54)</f>
        <v>285000</v>
      </c>
      <c r="S55" s="185"/>
      <c r="T55" s="182"/>
      <c r="U55" s="182"/>
    </row>
    <row r="56" spans="1:21" ht="15" thickBot="1" x14ac:dyDescent="0.35">
      <c r="A56" s="281"/>
    </row>
    <row r="57" spans="1:21" ht="51.75" customHeight="1" thickBot="1" x14ac:dyDescent="0.35">
      <c r="A57" s="282"/>
      <c r="B57" s="265" t="s">
        <v>19</v>
      </c>
      <c r="C57" s="266"/>
      <c r="D57" s="266"/>
      <c r="E57" s="266"/>
      <c r="F57" s="266"/>
      <c r="G57" s="266"/>
      <c r="H57" s="266"/>
      <c r="I57" s="266"/>
      <c r="J57" s="266"/>
      <c r="K57" s="266"/>
      <c r="L57" s="267"/>
      <c r="M57" s="150"/>
      <c r="N57" s="186" t="s">
        <v>17</v>
      </c>
      <c r="O57" s="301">
        <f>O45-SUM(R48:R54)</f>
        <v>1005384</v>
      </c>
      <c r="P57" s="302"/>
      <c r="Q57" s="302"/>
      <c r="R57" s="302"/>
      <c r="S57" s="302"/>
      <c r="T57" s="302"/>
      <c r="U57" s="303"/>
    </row>
    <row r="58" spans="1:21" ht="15.75" customHeight="1" x14ac:dyDescent="0.3">
      <c r="A58" s="187"/>
      <c r="P58" s="188"/>
      <c r="Q58" s="188"/>
      <c r="R58" s="188"/>
      <c r="S58" s="188"/>
      <c r="U58" s="189"/>
    </row>
    <row r="59" spans="1:21" ht="15" customHeight="1" x14ac:dyDescent="0.3">
      <c r="A59" s="187"/>
      <c r="P59" s="188"/>
      <c r="Q59" s="188"/>
      <c r="R59" s="188"/>
      <c r="S59" s="188"/>
      <c r="U59" s="190"/>
    </row>
    <row r="60" spans="1:21" ht="15" customHeight="1" x14ac:dyDescent="0.3">
      <c r="P60" s="188"/>
      <c r="Q60" s="188"/>
      <c r="R60" s="188"/>
      <c r="S60" s="188"/>
      <c r="U60" s="190"/>
    </row>
    <row r="61" spans="1:21" ht="15" customHeight="1" x14ac:dyDescent="0.3">
      <c r="P61" s="188"/>
      <c r="Q61" s="188"/>
      <c r="R61" s="188"/>
      <c r="S61" s="188"/>
      <c r="U61" s="190"/>
    </row>
    <row r="62" spans="1:21" ht="15" customHeight="1" x14ac:dyDescent="0.3">
      <c r="P62" s="188"/>
      <c r="Q62" s="188"/>
      <c r="R62" s="188"/>
      <c r="S62" s="188"/>
      <c r="U62" s="190"/>
    </row>
    <row r="63" spans="1:21" ht="15" customHeight="1" x14ac:dyDescent="0.3">
      <c r="P63" s="188"/>
      <c r="Q63" s="188"/>
      <c r="R63" s="188"/>
      <c r="S63" s="188"/>
      <c r="U63" s="190"/>
    </row>
    <row r="64" spans="1:21" ht="15" customHeight="1" x14ac:dyDescent="0.3">
      <c r="P64" s="188"/>
      <c r="Q64" s="188"/>
      <c r="R64" s="188"/>
      <c r="S64" s="188"/>
      <c r="U64" s="190"/>
    </row>
    <row r="65" spans="16:21" ht="15" customHeight="1" x14ac:dyDescent="0.3">
      <c r="P65" s="188"/>
      <c r="Q65" s="188"/>
      <c r="R65" s="188"/>
      <c r="S65" s="188"/>
      <c r="U65" s="190"/>
    </row>
    <row r="66" spans="16:21" ht="15.75" customHeight="1" x14ac:dyDescent="0.3">
      <c r="P66" s="188"/>
      <c r="Q66" s="188"/>
      <c r="R66" s="188"/>
      <c r="S66" s="188"/>
      <c r="U66" s="190"/>
    </row>
  </sheetData>
  <mergeCells count="24"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2017-10-07T19:53:33Z</dcterms:modified>
</cp:coreProperties>
</file>