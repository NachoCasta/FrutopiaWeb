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1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9" l="1"/>
  <c r="O31" i="9" l="1"/>
  <c r="N27" i="9"/>
  <c r="V27" i="9"/>
  <c r="N72" i="3" l="1"/>
  <c r="N71" i="3"/>
  <c r="N70" i="3"/>
  <c r="N69" i="3"/>
  <c r="N68" i="3"/>
  <c r="N14" i="9"/>
  <c r="N26" i="9"/>
  <c r="N6" i="9"/>
  <c r="N28" i="9"/>
  <c r="N21" i="9"/>
  <c r="N7" i="9"/>
  <c r="N12" i="9" l="1"/>
  <c r="N5" i="9"/>
  <c r="N13" i="9"/>
  <c r="N10" i="9"/>
  <c r="N18" i="9"/>
  <c r="N24" i="9"/>
  <c r="N8" i="9"/>
  <c r="N9" i="9"/>
  <c r="N22" i="9"/>
  <c r="N16" i="9"/>
  <c r="N19" i="9"/>
  <c r="N17" i="9"/>
  <c r="N15" i="9"/>
  <c r="N25" i="9"/>
  <c r="N11" i="9"/>
  <c r="N23" i="9"/>
  <c r="N20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 l="1"/>
  <c r="S37" i="9"/>
  <c r="S36" i="9" s="1"/>
  <c r="U36" i="9"/>
  <c r="T36" i="9"/>
  <c r="R36" i="9"/>
  <c r="Q36" i="9"/>
  <c r="P36" i="9"/>
  <c r="O36" i="9"/>
  <c r="U31" i="9"/>
  <c r="U33" i="9" s="1"/>
  <c r="T31" i="9"/>
  <c r="T33" i="9" s="1"/>
  <c r="S31" i="9"/>
  <c r="S42" i="9" s="1"/>
  <c r="R31" i="9"/>
  <c r="R42" i="9" s="1"/>
  <c r="Q31" i="9"/>
  <c r="Q33" i="9" s="1"/>
  <c r="P31" i="9"/>
  <c r="P42" i="9" s="1"/>
  <c r="O33" i="9"/>
  <c r="V28" i="9"/>
  <c r="V7" i="9"/>
  <c r="V20" i="9"/>
  <c r="V23" i="9"/>
  <c r="V11" i="9"/>
  <c r="V26" i="9"/>
  <c r="V25" i="9"/>
  <c r="V15" i="9"/>
  <c r="V17" i="9"/>
  <c r="V19" i="9"/>
  <c r="V16" i="9"/>
  <c r="V22" i="9"/>
  <c r="V14" i="9"/>
  <c r="V9" i="9"/>
  <c r="V8" i="9"/>
  <c r="V24" i="9"/>
  <c r="V6" i="9"/>
  <c r="V18" i="9"/>
  <c r="V10" i="9"/>
  <c r="V13" i="9"/>
  <c r="V5" i="9"/>
  <c r="V12" i="9"/>
  <c r="V21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 l="1"/>
  <c r="R33" i="9"/>
  <c r="S33" i="9"/>
  <c r="S40" i="9"/>
  <c r="S44" i="9" s="1"/>
  <c r="O42" i="9"/>
  <c r="T42" i="9"/>
  <c r="O40" i="9"/>
  <c r="P33" i="9"/>
  <c r="Q40" i="9"/>
  <c r="Q42" i="9"/>
  <c r="R40" i="9"/>
  <c r="R44" i="9" s="1"/>
  <c r="U40" i="9"/>
  <c r="U42" i="9"/>
  <c r="P40" i="9"/>
  <c r="V69" i="3"/>
  <c r="V70" i="3"/>
  <c r="V72" i="3"/>
  <c r="V71" i="3"/>
  <c r="U44" i="9" l="1"/>
  <c r="T44" i="9"/>
  <c r="O41" i="9"/>
  <c r="Q44" i="9"/>
  <c r="O44" i="9"/>
  <c r="P44" i="9"/>
  <c r="O43" i="9"/>
  <c r="N11" i="8"/>
  <c r="N16" i="8"/>
  <c r="N5" i="8"/>
  <c r="N8" i="8"/>
  <c r="N6" i="8"/>
  <c r="N13" i="8"/>
  <c r="N7" i="8"/>
  <c r="N10" i="8"/>
  <c r="N14" i="8"/>
  <c r="N9" i="8"/>
  <c r="N15" i="8"/>
  <c r="N12" i="8"/>
  <c r="N7" i="7"/>
  <c r="N6" i="7"/>
  <c r="N12" i="7"/>
  <c r="N11" i="7"/>
  <c r="N10" i="7"/>
  <c r="N13" i="7"/>
  <c r="N8" i="7"/>
  <c r="N5" i="7"/>
  <c r="N14" i="7"/>
  <c r="N15" i="7"/>
  <c r="N9" i="7"/>
  <c r="N32" i="6"/>
  <c r="N11" i="5"/>
  <c r="N12" i="5"/>
  <c r="N13" i="5"/>
  <c r="N6" i="5"/>
  <c r="N10" i="5"/>
  <c r="N14" i="5"/>
  <c r="N5" i="5"/>
  <c r="N18" i="5"/>
  <c r="N8" i="5"/>
  <c r="N7" i="5"/>
  <c r="N17" i="5"/>
  <c r="N19" i="5"/>
  <c r="N9" i="5"/>
  <c r="N27" i="5"/>
  <c r="N28" i="5"/>
  <c r="N25" i="5"/>
  <c r="N33" i="5"/>
  <c r="N15" i="5"/>
  <c r="N16" i="5"/>
  <c r="N23" i="5"/>
  <c r="N21" i="5"/>
  <c r="N24" i="5"/>
  <c r="N20" i="5"/>
  <c r="N26" i="5"/>
  <c r="N22" i="5"/>
  <c r="N30" i="5"/>
  <c r="N35" i="5"/>
  <c r="N34" i="5"/>
  <c r="N32" i="5"/>
  <c r="N29" i="5"/>
  <c r="N31" i="5"/>
  <c r="N9" i="6"/>
  <c r="N29" i="6"/>
  <c r="N14" i="6"/>
  <c r="N16" i="6"/>
  <c r="N21" i="6"/>
  <c r="N13" i="6"/>
  <c r="N17" i="6"/>
  <c r="N12" i="6"/>
  <c r="N27" i="6"/>
  <c r="N28" i="6"/>
  <c r="N6" i="6"/>
  <c r="N10" i="6"/>
  <c r="N31" i="6"/>
  <c r="N18" i="6"/>
  <c r="N7" i="6"/>
  <c r="N11" i="6"/>
  <c r="N19" i="6"/>
  <c r="N15" i="6"/>
  <c r="N30" i="6"/>
  <c r="N5" i="6"/>
  <c r="N20" i="6"/>
  <c r="N8" i="6"/>
  <c r="N22" i="6"/>
  <c r="N33" i="6"/>
  <c r="N23" i="6"/>
  <c r="N34" i="6"/>
  <c r="N35" i="6"/>
  <c r="N24" i="6"/>
  <c r="N25" i="6"/>
  <c r="N36" i="6"/>
  <c r="N26" i="6"/>
  <c r="N37" i="6"/>
  <c r="O45" i="9" l="1"/>
  <c r="O57" i="9" s="1"/>
  <c r="U9" i="7"/>
  <c r="R43" i="8" l="1"/>
  <c r="S25" i="8"/>
  <c r="S24" i="8" s="1"/>
  <c r="U24" i="8"/>
  <c r="T24" i="8"/>
  <c r="R24" i="8"/>
  <c r="Q24" i="8"/>
  <c r="P24" i="8"/>
  <c r="O24" i="8"/>
  <c r="U19" i="8"/>
  <c r="U21" i="8" s="1"/>
  <c r="T19" i="8"/>
  <c r="T21" i="8" s="1"/>
  <c r="S19" i="8"/>
  <c r="S21" i="8" s="1"/>
  <c r="R19" i="8"/>
  <c r="R21" i="8" s="1"/>
  <c r="Q19" i="8"/>
  <c r="Q30" i="8" s="1"/>
  <c r="P19" i="8"/>
  <c r="P30" i="8" s="1"/>
  <c r="O19" i="8"/>
  <c r="O21" i="8" s="1"/>
  <c r="V16" i="8"/>
  <c r="V6" i="8"/>
  <c r="V7" i="8"/>
  <c r="V12" i="8"/>
  <c r="V15" i="8"/>
  <c r="V13" i="8"/>
  <c r="V8" i="8"/>
  <c r="V14" i="8"/>
  <c r="V11" i="8"/>
  <c r="V9" i="8"/>
  <c r="V5" i="8"/>
  <c r="V10" i="8"/>
  <c r="S81" i="3"/>
  <c r="S75" i="3"/>
  <c r="S77" i="3" s="1"/>
  <c r="S80" i="3"/>
  <c r="S84" i="3" l="1"/>
  <c r="S86" i="3"/>
  <c r="R30" i="8"/>
  <c r="R28" i="8"/>
  <c r="Q21" i="8"/>
  <c r="P21" i="8"/>
  <c r="Q28" i="8"/>
  <c r="Q32" i="8" s="1"/>
  <c r="S28" i="8"/>
  <c r="S30" i="8"/>
  <c r="T28" i="8"/>
  <c r="T30" i="8"/>
  <c r="U28" i="8"/>
  <c r="U30" i="8"/>
  <c r="O28" i="8"/>
  <c r="O30" i="8"/>
  <c r="P28" i="8"/>
  <c r="P32" i="8" s="1"/>
  <c r="R42" i="7"/>
  <c r="T23" i="7"/>
  <c r="S23" i="7"/>
  <c r="R23" i="7"/>
  <c r="Q23" i="7"/>
  <c r="P23" i="7"/>
  <c r="O23" i="7"/>
  <c r="T18" i="7"/>
  <c r="T27" i="7" s="1"/>
  <c r="S18" i="7"/>
  <c r="S27" i="7" s="1"/>
  <c r="R18" i="7"/>
  <c r="R27" i="7" s="1"/>
  <c r="Q18" i="7"/>
  <c r="Q20" i="7" s="1"/>
  <c r="P18" i="7"/>
  <c r="P20" i="7" s="1"/>
  <c r="O18" i="7"/>
  <c r="O20" i="7" s="1"/>
  <c r="U13" i="7"/>
  <c r="U6" i="7"/>
  <c r="U7" i="7"/>
  <c r="U11" i="7"/>
  <c r="U15" i="7"/>
  <c r="U10" i="7"/>
  <c r="U14" i="7"/>
  <c r="U8" i="7"/>
  <c r="U5" i="7"/>
  <c r="U12" i="7"/>
  <c r="S88" i="3" l="1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 s="1"/>
  <c r="S29" i="7"/>
  <c r="S31" i="7" s="1"/>
  <c r="T29" i="7"/>
  <c r="T31" i="7" s="1"/>
  <c r="Q27" i="6"/>
  <c r="O33" i="8" l="1"/>
  <c r="O45" i="8" s="1"/>
  <c r="O31" i="7"/>
  <c r="P31" i="7"/>
  <c r="O30" i="7"/>
  <c r="Q31" i="7"/>
  <c r="O28" i="7"/>
  <c r="U13" i="6"/>
  <c r="R66" i="6"/>
  <c r="O32" i="7" l="1"/>
  <c r="O44" i="7" s="1"/>
  <c r="T45" i="6"/>
  <c r="S45" i="6"/>
  <c r="R45" i="6"/>
  <c r="Q45" i="6"/>
  <c r="P45" i="6"/>
  <c r="O45" i="6"/>
  <c r="T40" i="6"/>
  <c r="T49" i="6" s="1"/>
  <c r="S40" i="6"/>
  <c r="S49" i="6" s="1"/>
  <c r="R40" i="6"/>
  <c r="Q40" i="6"/>
  <c r="Q42" i="6" s="1"/>
  <c r="P40" i="6"/>
  <c r="P42" i="6" s="1"/>
  <c r="O40" i="6"/>
  <c r="O42" i="6" s="1"/>
  <c r="U37" i="6"/>
  <c r="U22" i="6"/>
  <c r="U8" i="6"/>
  <c r="U20" i="6"/>
  <c r="U5" i="6"/>
  <c r="U30" i="6"/>
  <c r="U26" i="6"/>
  <c r="U15" i="6"/>
  <c r="U19" i="6"/>
  <c r="U11" i="6"/>
  <c r="U36" i="6"/>
  <c r="U7" i="6"/>
  <c r="U25" i="6"/>
  <c r="U24" i="6"/>
  <c r="U35" i="6"/>
  <c r="U18" i="6"/>
  <c r="U34" i="6"/>
  <c r="U31" i="6"/>
  <c r="U10" i="6"/>
  <c r="U6" i="6"/>
  <c r="U27" i="6"/>
  <c r="U28" i="6"/>
  <c r="U23" i="6"/>
  <c r="U12" i="6"/>
  <c r="U17" i="6"/>
  <c r="U33" i="6"/>
  <c r="U21" i="6"/>
  <c r="U16" i="6"/>
  <c r="U14" i="6"/>
  <c r="U29" i="6"/>
  <c r="U9" i="6"/>
  <c r="U32" i="6"/>
  <c r="V68" i="3"/>
  <c r="R49" i="6" l="1"/>
  <c r="R42" i="6"/>
  <c r="O51" i="6"/>
  <c r="S42" i="6"/>
  <c r="O49" i="6"/>
  <c r="P51" i="6"/>
  <c r="T42" i="6"/>
  <c r="P49" i="6"/>
  <c r="Q51" i="6"/>
  <c r="Q49" i="6"/>
  <c r="R51" i="6"/>
  <c r="S51" i="6"/>
  <c r="S53" i="6" s="1"/>
  <c r="T51" i="6"/>
  <c r="T53" i="6" s="1"/>
  <c r="V65" i="3"/>
  <c r="V66" i="3"/>
  <c r="V67" i="3"/>
  <c r="V59" i="3"/>
  <c r="V61" i="3"/>
  <c r="V63" i="3"/>
  <c r="V64" i="3"/>
  <c r="R53" i="6" l="1"/>
  <c r="O53" i="6"/>
  <c r="Q53" i="6"/>
  <c r="O52" i="6"/>
  <c r="P53" i="6"/>
  <c r="O50" i="6"/>
  <c r="U5" i="5"/>
  <c r="U12" i="5"/>
  <c r="O54" i="6" l="1"/>
  <c r="O68" i="6" s="1"/>
  <c r="R62" i="5"/>
  <c r="T43" i="5"/>
  <c r="S43" i="5"/>
  <c r="R43" i="5"/>
  <c r="Q43" i="5"/>
  <c r="P43" i="5"/>
  <c r="O43" i="5"/>
  <c r="T38" i="5"/>
  <c r="S38" i="5"/>
  <c r="S47" i="5" s="1"/>
  <c r="R38" i="5"/>
  <c r="Q38" i="5"/>
  <c r="Q40" i="5" s="1"/>
  <c r="P38" i="5"/>
  <c r="P40" i="5" s="1"/>
  <c r="O38" i="5"/>
  <c r="O40" i="5" s="1"/>
  <c r="U11" i="5"/>
  <c r="U20" i="5"/>
  <c r="U22" i="5"/>
  <c r="U15" i="5"/>
  <c r="U21" i="5"/>
  <c r="U19" i="5"/>
  <c r="U29" i="5"/>
  <c r="U24" i="5"/>
  <c r="U23" i="5"/>
  <c r="U25" i="5"/>
  <c r="U7" i="5"/>
  <c r="U10" i="5"/>
  <c r="U17" i="5"/>
  <c r="U28" i="5"/>
  <c r="U26" i="5"/>
  <c r="U31" i="5"/>
  <c r="U30" i="5"/>
  <c r="U32" i="5"/>
  <c r="U9" i="5"/>
  <c r="U27" i="5"/>
  <c r="U13" i="5"/>
  <c r="U14" i="5"/>
  <c r="U16" i="5"/>
  <c r="U33" i="5"/>
  <c r="U18" i="5"/>
  <c r="U8" i="5"/>
  <c r="U34" i="5"/>
  <c r="U35" i="5"/>
  <c r="U6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 l="1"/>
  <c r="T47" i="5"/>
  <c r="O47" i="5"/>
  <c r="S40" i="5"/>
  <c r="P49" i="5"/>
  <c r="R40" i="5"/>
  <c r="O49" i="5"/>
  <c r="T40" i="5"/>
  <c r="P47" i="5"/>
  <c r="Q49" i="5"/>
  <c r="Q47" i="5"/>
  <c r="R49" i="5"/>
  <c r="S49" i="5"/>
  <c r="S51" i="5" s="1"/>
  <c r="T49" i="5"/>
  <c r="R51" i="5" l="1"/>
  <c r="T51" i="5"/>
  <c r="O48" i="5"/>
  <c r="P51" i="5"/>
  <c r="O51" i="5"/>
  <c r="O50" i="5"/>
  <c r="Q51" i="5"/>
  <c r="O52" i="5" l="1"/>
  <c r="O64" i="5" s="1"/>
  <c r="B5" i="3" l="1"/>
  <c r="C5" i="3"/>
  <c r="R99" i="3"/>
  <c r="U80" i="3"/>
  <c r="T80" i="3"/>
  <c r="R80" i="3"/>
  <c r="Q80" i="3"/>
  <c r="P80" i="3"/>
  <c r="O80" i="3"/>
  <c r="U75" i="3"/>
  <c r="T75" i="3"/>
  <c r="R75" i="3"/>
  <c r="P75" i="3"/>
  <c r="P77" i="3" s="1"/>
  <c r="K5" i="3"/>
  <c r="J5" i="3"/>
  <c r="I5" i="3"/>
  <c r="H5" i="3"/>
  <c r="G5" i="3"/>
  <c r="F5" i="3"/>
  <c r="E5" i="3"/>
  <c r="D5" i="3"/>
  <c r="O75" i="3"/>
  <c r="T84" i="3" l="1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 l="1"/>
  <c r="U88" i="3"/>
  <c r="R88" i="3"/>
  <c r="O88" i="3"/>
  <c r="P88" i="3"/>
  <c r="Q77" i="3"/>
  <c r="Q84" i="3"/>
  <c r="O85" i="3" s="1"/>
  <c r="Q86" i="3"/>
  <c r="O87" i="3" s="1"/>
  <c r="Q88" i="3" l="1"/>
  <c r="O89" i="3" l="1"/>
  <c r="O101" i="3" s="1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<sst xmlns="http://schemas.openxmlformats.org/spreadsheetml/2006/main" count="1590" uniqueCount="289">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</sst>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53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21" fillId="0" borderId="0" xfId="0" applyFont="1"/>
    <xf numFmtId="164" fontId="21" fillId="0" borderId="0" xfId="0" applyFont="1" applyAlignment="1">
      <alignment horizontal="left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4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left" vertical="center"/>
    </xf>
    <xf numFmtId="164" fontId="21" fillId="0" borderId="11" xfId="0" applyFont="1" applyBorder="1"/>
    <xf numFmtId="164" fontId="21" fillId="0" borderId="2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4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164" fontId="21" fillId="0" borderId="2" xfId="0" applyNumberFormat="1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4" fillId="0" borderId="8" xfId="0" applyFont="1" applyBorder="1" applyAlignment="1">
      <alignment vertical="center"/>
    </xf>
    <xf numFmtId="164" fontId="24" fillId="0" borderId="0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1" fillId="0" borderId="25" xfId="5" applyNumberFormat="1" applyFont="1" applyFill="1" applyBorder="1" applyAlignment="1">
      <alignment vertical="center"/>
    </xf>
    <xf numFmtId="164" fontId="21" fillId="0" borderId="0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" xfId="5" applyNumberFormat="1" applyFont="1" applyFill="1" applyBorder="1" applyAlignment="1">
      <alignment vertical="center"/>
    </xf>
    <xf numFmtId="164" fontId="21" fillId="0" borderId="8" xfId="0" applyNumberFormat="1" applyFont="1" applyFill="1" applyBorder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164" fontId="24" fillId="0" borderId="29" xfId="0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4" fillId="0" borderId="0" xfId="0" applyFont="1" applyBorder="1" applyAlignment="1">
      <alignment horizontal="center" vertical="center"/>
    </xf>
    <xf numFmtId="164" fontId="21" fillId="0" borderId="0" xfId="0" applyFont="1" applyBorder="1" applyAlignment="1">
      <alignment horizontal="center"/>
    </xf>
    <xf numFmtId="164" fontId="29" fillId="0" borderId="0" xfId="0" applyFont="1"/>
    <xf numFmtId="164" fontId="29" fillId="0" borderId="0" xfId="0" applyFont="1" applyAlignment="1">
      <alignment horizontal="left"/>
    </xf>
    <xf numFmtId="164" fontId="29" fillId="0" borderId="0" xfId="0" applyFont="1" applyAlignment="1">
      <alignment horizontal="center"/>
    </xf>
    <xf numFmtId="164" fontId="32" fillId="0" borderId="0" xfId="0" applyFont="1" applyBorder="1" applyAlignment="1">
      <alignment horizontal="center"/>
    </xf>
    <xf numFmtId="164" fontId="32" fillId="0" borderId="28" xfId="0" applyFont="1" applyBorder="1" applyAlignment="1">
      <alignment horizontal="center"/>
    </xf>
    <xf numFmtId="164" fontId="29" fillId="0" borderId="0" xfId="0" applyFont="1" applyAlignment="1">
      <alignment horizontal="center" vertical="center"/>
    </xf>
    <xf numFmtId="164" fontId="29" fillId="0" borderId="26" xfId="0" applyFont="1" applyBorder="1" applyAlignment="1">
      <alignment horizontal="center" vertical="center"/>
    </xf>
    <xf numFmtId="164" fontId="29" fillId="0" borderId="27" xfId="0" applyFont="1" applyBorder="1" applyAlignment="1">
      <alignment horizontal="center" vertical="center"/>
    </xf>
    <xf numFmtId="164" fontId="29" fillId="0" borderId="27" xfId="0" applyFont="1" applyBorder="1" applyAlignment="1">
      <alignment horizontal="left" vertical="center"/>
    </xf>
    <xf numFmtId="164" fontId="29" fillId="0" borderId="9" xfId="0" applyFont="1" applyBorder="1"/>
    <xf numFmtId="164" fontId="29" fillId="0" borderId="10" xfId="0" applyFont="1" applyBorder="1"/>
    <xf numFmtId="166" fontId="29" fillId="0" borderId="10" xfId="0" applyNumberFormat="1" applyFont="1" applyBorder="1" applyAlignment="1">
      <alignment horizontal="center" vertical="center"/>
    </xf>
    <xf numFmtId="43" fontId="29" fillId="0" borderId="10" xfId="6" applyFont="1" applyBorder="1" applyAlignment="1">
      <alignment horizontal="left" vertical="center"/>
    </xf>
    <xf numFmtId="165" fontId="29" fillId="0" borderId="10" xfId="0" applyNumberFormat="1" applyFont="1" applyBorder="1" applyAlignment="1">
      <alignment horizontal="center" vertical="center"/>
    </xf>
    <xf numFmtId="164" fontId="29" fillId="0" borderId="2" xfId="0" applyFont="1" applyBorder="1"/>
    <xf numFmtId="165" fontId="29" fillId="0" borderId="14" xfId="0" applyNumberFormat="1" applyFont="1" applyBorder="1" applyAlignment="1">
      <alignment horizontal="left" vertical="center"/>
    </xf>
    <xf numFmtId="164" fontId="29" fillId="0" borderId="11" xfId="0" applyFont="1" applyBorder="1"/>
    <xf numFmtId="166" fontId="29" fillId="0" borderId="2" xfId="0" applyNumberFormat="1" applyFont="1" applyBorder="1" applyAlignment="1">
      <alignment horizontal="center" vertical="center"/>
    </xf>
    <xf numFmtId="43" fontId="29" fillId="0" borderId="2" xfId="6" applyFont="1" applyBorder="1" applyAlignment="1">
      <alignment horizontal="left" vertical="center"/>
    </xf>
    <xf numFmtId="165" fontId="29" fillId="0" borderId="2" xfId="0" applyNumberFormat="1" applyFont="1" applyBorder="1" applyAlignment="1">
      <alignment horizontal="center" vertical="center"/>
    </xf>
    <xf numFmtId="165" fontId="29" fillId="0" borderId="15" xfId="0" applyNumberFormat="1" applyFont="1" applyBorder="1" applyAlignment="1">
      <alignment horizontal="left" vertical="center"/>
    </xf>
    <xf numFmtId="164" fontId="29" fillId="0" borderId="11" xfId="0" applyNumberFormat="1" applyFont="1" applyBorder="1"/>
    <xf numFmtId="164" fontId="29" fillId="0" borderId="2" xfId="0" applyNumberFormat="1" applyFont="1" applyBorder="1"/>
    <xf numFmtId="0" fontId="29" fillId="0" borderId="2" xfId="0" applyNumberFormat="1" applyFont="1" applyBorder="1"/>
    <xf numFmtId="0" fontId="29" fillId="0" borderId="2" xfId="0" applyNumberFormat="1" applyFont="1" applyBorder="1" applyAlignment="1">
      <alignment horizontal="center" vertical="center"/>
    </xf>
    <xf numFmtId="165" fontId="29" fillId="0" borderId="6" xfId="0" applyNumberFormat="1" applyFont="1" applyBorder="1" applyAlignment="1">
      <alignment horizontal="center" vertical="center"/>
    </xf>
    <xf numFmtId="165" fontId="29" fillId="0" borderId="37" xfId="0" applyNumberFormat="1" applyFont="1" applyBorder="1" applyAlignment="1">
      <alignment horizontal="left" vertical="center"/>
    </xf>
    <xf numFmtId="164" fontId="33" fillId="0" borderId="0" xfId="0" applyFont="1" applyBorder="1" applyAlignment="1">
      <alignment horizontal="center" vertical="center" textRotation="90"/>
    </xf>
    <xf numFmtId="164" fontId="29" fillId="0" borderId="0" xfId="0" applyFont="1" applyBorder="1"/>
    <xf numFmtId="166" fontId="29" fillId="0" borderId="0" xfId="0" applyNumberFormat="1" applyFont="1" applyBorder="1" applyAlignment="1">
      <alignment horizontal="center" vertical="center"/>
    </xf>
    <xf numFmtId="43" fontId="29" fillId="0" borderId="0" xfId="4" applyFont="1" applyBorder="1" applyAlignment="1">
      <alignment horizontal="left" vertical="center"/>
    </xf>
    <xf numFmtId="165" fontId="29" fillId="0" borderId="0" xfId="0" applyNumberFormat="1" applyFont="1" applyBorder="1" applyAlignment="1">
      <alignment horizontal="center" vertical="center"/>
    </xf>
    <xf numFmtId="164" fontId="32" fillId="0" borderId="18" xfId="0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center" vertical="center"/>
    </xf>
    <xf numFmtId="164" fontId="32" fillId="0" borderId="0" xfId="0" applyFont="1" applyBorder="1" applyAlignment="1">
      <alignment horizontal="center" vertical="center"/>
    </xf>
    <xf numFmtId="165" fontId="29" fillId="0" borderId="11" xfId="0" applyNumberFormat="1" applyFont="1" applyBorder="1" applyAlignment="1">
      <alignment horizontal="center" vertical="center"/>
    </xf>
    <xf numFmtId="168" fontId="29" fillId="0" borderId="2" xfId="0" applyNumberFormat="1" applyFont="1" applyBorder="1" applyAlignment="1">
      <alignment horizontal="center" vertical="center"/>
    </xf>
    <xf numFmtId="167" fontId="29" fillId="0" borderId="15" xfId="0" applyNumberFormat="1" applyFont="1" applyBorder="1" applyAlignment="1">
      <alignment horizontal="center" vertical="center"/>
    </xf>
    <xf numFmtId="165" fontId="29" fillId="0" borderId="15" xfId="0" applyNumberFormat="1" applyFont="1" applyBorder="1" applyAlignment="1">
      <alignment horizontal="center" vertical="center"/>
    </xf>
    <xf numFmtId="164" fontId="32" fillId="0" borderId="23" xfId="0" applyFont="1" applyBorder="1" applyAlignment="1">
      <alignment horizontal="center" vertical="center"/>
    </xf>
    <xf numFmtId="165" fontId="29" fillId="0" borderId="12" xfId="0" applyNumberFormat="1" applyFont="1" applyBorder="1" applyAlignment="1">
      <alignment horizontal="center" vertical="center"/>
    </xf>
    <xf numFmtId="165" fontId="29" fillId="0" borderId="13" xfId="0" applyNumberFormat="1" applyFont="1" applyBorder="1" applyAlignment="1">
      <alignment horizontal="center" vertical="center"/>
    </xf>
    <xf numFmtId="165" fontId="29" fillId="0" borderId="16" xfId="0" applyNumberFormat="1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1" fillId="0" borderId="20" xfId="0" applyFont="1" applyBorder="1" applyAlignment="1">
      <alignment vertical="center" textRotation="90"/>
    </xf>
    <xf numFmtId="164" fontId="31" fillId="0" borderId="0" xfId="0" applyFont="1" applyBorder="1" applyAlignment="1">
      <alignment vertical="center" textRotation="90"/>
    </xf>
    <xf numFmtId="164" fontId="31" fillId="0" borderId="21" xfId="0" applyFont="1" applyBorder="1" applyAlignment="1">
      <alignment vertical="center" textRotation="90"/>
    </xf>
    <xf numFmtId="164" fontId="32" fillId="0" borderId="0" xfId="0" applyFont="1" applyAlignment="1">
      <alignment horizontal="center" vertical="center"/>
    </xf>
    <xf numFmtId="164" fontId="29" fillId="0" borderId="14" xfId="0" applyFont="1" applyBorder="1"/>
    <xf numFmtId="164" fontId="29" fillId="0" borderId="15" xfId="0" applyFont="1" applyBorder="1"/>
    <xf numFmtId="164" fontId="29" fillId="0" borderId="12" xfId="0" applyFont="1" applyBorder="1"/>
    <xf numFmtId="164" fontId="29" fillId="0" borderId="13" xfId="0" applyFont="1" applyBorder="1"/>
    <xf numFmtId="164" fontId="29" fillId="0" borderId="16" xfId="0" applyFont="1" applyBorder="1"/>
    <xf numFmtId="164" fontId="29" fillId="0" borderId="9" xfId="0" applyNumberFormat="1" applyFont="1" applyBorder="1"/>
    <xf numFmtId="164" fontId="29" fillId="0" borderId="10" xfId="0" applyNumberFormat="1" applyFont="1" applyBorder="1"/>
    <xf numFmtId="164" fontId="29" fillId="0" borderId="10" xfId="0" applyNumberFormat="1" applyFont="1" applyBorder="1" applyAlignment="1">
      <alignment horizontal="center"/>
    </xf>
    <xf numFmtId="164" fontId="29" fillId="0" borderId="14" xfId="0" applyNumberFormat="1" applyFont="1" applyBorder="1"/>
    <xf numFmtId="164" fontId="29" fillId="0" borderId="15" xfId="0" applyNumberFormat="1" applyFont="1" applyBorder="1"/>
    <xf numFmtId="164" fontId="29" fillId="0" borderId="12" xfId="0" applyNumberFormat="1" applyFont="1" applyBorder="1"/>
    <xf numFmtId="164" fontId="29" fillId="0" borderId="13" xfId="0" applyNumberFormat="1" applyFont="1" applyBorder="1"/>
    <xf numFmtId="164" fontId="29" fillId="0" borderId="16" xfId="0" applyNumberFormat="1" applyFont="1" applyBorder="1"/>
    <xf numFmtId="164" fontId="32" fillId="0" borderId="26" xfId="0" applyFont="1" applyBorder="1" applyAlignment="1">
      <alignment vertical="center"/>
    </xf>
    <xf numFmtId="164" fontId="32" fillId="0" borderId="0" xfId="0" applyFont="1" applyFill="1" applyBorder="1" applyAlignment="1">
      <alignment horizontal="center" vertical="center"/>
    </xf>
    <xf numFmtId="164" fontId="29" fillId="0" borderId="14" xfId="5" applyNumberFormat="1" applyFont="1" applyFill="1" applyBorder="1" applyAlignment="1">
      <alignment vertical="center"/>
    </xf>
    <xf numFmtId="164" fontId="29" fillId="0" borderId="0" xfId="0" applyNumberFormat="1" applyFont="1" applyFill="1" applyBorder="1"/>
    <xf numFmtId="164" fontId="29" fillId="0" borderId="15" xfId="5" applyNumberFormat="1" applyFont="1" applyFill="1" applyBorder="1" applyAlignment="1">
      <alignment vertical="center"/>
    </xf>
    <xf numFmtId="164" fontId="29" fillId="0" borderId="16" xfId="5" applyNumberFormat="1" applyFont="1" applyFill="1" applyBorder="1" applyAlignment="1">
      <alignment vertical="center"/>
    </xf>
    <xf numFmtId="164" fontId="29" fillId="0" borderId="28" xfId="0" applyNumberFormat="1" applyFont="1" applyFill="1" applyBorder="1" applyAlignment="1">
      <alignment vertical="center"/>
    </xf>
    <xf numFmtId="164" fontId="32" fillId="0" borderId="29" xfId="0" applyFont="1" applyBorder="1" applyAlignment="1">
      <alignment horizontal="center" vertical="center"/>
    </xf>
    <xf numFmtId="164" fontId="34" fillId="0" borderId="0" xfId="0" applyFont="1" applyBorder="1" applyAlignment="1">
      <alignment vertical="center" textRotation="90"/>
    </xf>
    <xf numFmtId="164" fontId="29" fillId="0" borderId="0" xfId="0" applyFont="1" applyAlignment="1"/>
    <xf numFmtId="164" fontId="29" fillId="0" borderId="0" xfId="0" applyFon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30" fillId="0" borderId="29" xfId="0" applyFont="1" applyBorder="1" applyAlignment="1">
      <alignment horizontal="center" vertical="center"/>
    </xf>
    <xf numFmtId="164" fontId="30" fillId="0" borderId="30" xfId="0" applyFont="1" applyBorder="1" applyAlignment="1">
      <alignment horizontal="center" vertical="center"/>
    </xf>
    <xf numFmtId="164" fontId="30" fillId="0" borderId="31" xfId="0" applyFont="1" applyBorder="1" applyAlignment="1">
      <alignment horizontal="center" vertical="center"/>
    </xf>
    <xf numFmtId="164" fontId="31" fillId="0" borderId="29" xfId="0" applyFont="1" applyBorder="1" applyAlignment="1">
      <alignment horizontal="center" vertical="center"/>
    </xf>
    <xf numFmtId="164" fontId="31" fillId="0" borderId="30" xfId="0" applyFont="1" applyBorder="1" applyAlignment="1">
      <alignment horizontal="center" vertical="center"/>
    </xf>
    <xf numFmtId="164" fontId="31" fillId="0" borderId="31" xfId="0" applyFont="1" applyBorder="1" applyAlignment="1">
      <alignment horizontal="center" vertical="center"/>
    </xf>
    <xf numFmtId="164" fontId="34" fillId="0" borderId="26" xfId="0" applyFont="1" applyBorder="1" applyAlignment="1">
      <alignment horizontal="center" vertical="center" textRotation="90"/>
    </xf>
    <xf numFmtId="164" fontId="34" fillId="0" borderId="27" xfId="0" applyFont="1" applyBorder="1" applyAlignment="1">
      <alignment horizontal="center" vertical="center" textRotation="90"/>
    </xf>
    <xf numFmtId="164" fontId="34" fillId="0" borderId="28" xfId="0" applyFont="1" applyBorder="1" applyAlignment="1">
      <alignment horizontal="center" vertical="center" textRotation="90"/>
    </xf>
    <xf numFmtId="164" fontId="32" fillId="0" borderId="17" xfId="0" applyFont="1" applyBorder="1" applyAlignment="1">
      <alignment horizontal="center" vertical="center"/>
    </xf>
    <xf numFmtId="164" fontId="32" fillId="0" borderId="18" xfId="0" applyFont="1" applyBorder="1" applyAlignment="1">
      <alignment horizontal="center" vertical="center"/>
    </xf>
    <xf numFmtId="164" fontId="32" fillId="0" borderId="19" xfId="0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2" fillId="0" borderId="0" xfId="0" applyFont="1" applyBorder="1" applyAlignment="1">
      <alignment horizontal="center" vertical="center"/>
    </xf>
    <xf numFmtId="164" fontId="32" fillId="0" borderId="21" xfId="0" applyFont="1" applyBorder="1" applyAlignment="1">
      <alignment horizontal="center" vertical="center"/>
    </xf>
    <xf numFmtId="164" fontId="32" fillId="0" borderId="22" xfId="0" applyFont="1" applyBorder="1" applyAlignment="1">
      <alignment horizontal="center" vertical="center"/>
    </xf>
    <xf numFmtId="164" fontId="32" fillId="0" borderId="23" xfId="0" applyFont="1" applyBorder="1" applyAlignment="1">
      <alignment horizontal="center" vertical="center"/>
    </xf>
    <xf numFmtId="164" fontId="32" fillId="0" borderId="24" xfId="0" applyFont="1" applyBorder="1" applyAlignment="1">
      <alignment horizontal="center" vertical="center"/>
    </xf>
    <xf numFmtId="164" fontId="29" fillId="0" borderId="11" xfId="0" applyNumberFormat="1" applyFont="1" applyBorder="1" applyAlignment="1">
      <alignment horizontal="center"/>
    </xf>
    <xf numFmtId="164" fontId="29" fillId="0" borderId="2" xfId="0" applyNumberFormat="1" applyFont="1" applyBorder="1" applyAlignment="1">
      <alignment horizontal="center"/>
    </xf>
    <xf numFmtId="164" fontId="29" fillId="0" borderId="15" xfId="0" applyNumberFormat="1" applyFont="1" applyBorder="1" applyAlignment="1">
      <alignment horizontal="center"/>
    </xf>
    <xf numFmtId="164" fontId="29" fillId="0" borderId="12" xfId="0" applyFont="1" applyBorder="1" applyAlignment="1">
      <alignment horizontal="center" vertical="center"/>
    </xf>
    <xf numFmtId="164" fontId="29" fillId="0" borderId="13" xfId="0" applyFont="1" applyBorder="1" applyAlignment="1">
      <alignment horizontal="center" vertical="center"/>
    </xf>
    <xf numFmtId="164" fontId="29" fillId="0" borderId="11" xfId="0" applyFont="1" applyBorder="1" applyAlignment="1">
      <alignment horizontal="center" vertical="center"/>
    </xf>
    <xf numFmtId="164" fontId="29" fillId="0" borderId="2" xfId="0" applyFont="1" applyBorder="1" applyAlignment="1">
      <alignment horizontal="center" vertical="center"/>
    </xf>
    <xf numFmtId="164" fontId="33" fillId="0" borderId="26" xfId="0" applyFont="1" applyBorder="1" applyAlignment="1">
      <alignment horizontal="center" vertical="center" textRotation="90"/>
    </xf>
    <xf numFmtId="164" fontId="33" fillId="0" borderId="27" xfId="0" applyFont="1" applyBorder="1" applyAlignment="1">
      <alignment horizontal="center" vertical="center" textRotation="90"/>
    </xf>
    <xf numFmtId="164" fontId="33" fillId="0" borderId="28" xfId="0" applyFont="1" applyBorder="1" applyAlignment="1">
      <alignment horizontal="center" vertical="center" textRotation="90"/>
    </xf>
    <xf numFmtId="164" fontId="32" fillId="0" borderId="40" xfId="0" applyFont="1" applyBorder="1" applyAlignment="1">
      <alignment horizontal="center" vertical="center"/>
    </xf>
    <xf numFmtId="164" fontId="32" fillId="0" borderId="41" xfId="0" applyFont="1" applyBorder="1" applyAlignment="1">
      <alignment horizontal="center" vertical="center"/>
    </xf>
    <xf numFmtId="164" fontId="32" fillId="0" borderId="42" xfId="0" applyFont="1" applyBorder="1" applyAlignment="1">
      <alignment horizontal="center" vertical="center"/>
    </xf>
    <xf numFmtId="164" fontId="32" fillId="0" borderId="29" xfId="0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4" fontId="32" fillId="0" borderId="31" xfId="0" applyFont="1" applyBorder="1" applyAlignment="1">
      <alignment horizontal="center" vertical="center"/>
    </xf>
    <xf numFmtId="164" fontId="35" fillId="0" borderId="29" xfId="0" applyNumberFormat="1" applyFont="1" applyBorder="1" applyAlignment="1">
      <alignment horizontal="center" vertical="center"/>
    </xf>
    <xf numFmtId="164" fontId="35" fillId="0" borderId="30" xfId="0" applyNumberFormat="1" applyFont="1" applyBorder="1" applyAlignment="1">
      <alignment horizontal="center" vertical="center"/>
    </xf>
    <xf numFmtId="164" fontId="35" fillId="0" borderId="31" xfId="0" applyNumberFormat="1" applyFont="1" applyBorder="1" applyAlignment="1">
      <alignment horizontal="center" vertical="center"/>
    </xf>
    <xf numFmtId="164" fontId="35" fillId="0" borderId="22" xfId="0" applyNumberFormat="1" applyFont="1" applyBorder="1" applyAlignment="1">
      <alignment horizontal="center" vertical="center"/>
    </xf>
    <xf numFmtId="164" fontId="35" fillId="0" borderId="23" xfId="0" applyNumberFormat="1" applyFont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6" fillId="0" borderId="17" xfId="0" applyFont="1" applyBorder="1" applyAlignment="1">
      <alignment horizontal="center" vertical="center"/>
    </xf>
    <xf numFmtId="164" fontId="36" fillId="0" borderId="18" xfId="0" applyFont="1" applyBorder="1" applyAlignment="1">
      <alignment horizontal="center" vertical="center"/>
    </xf>
    <xf numFmtId="164" fontId="36" fillId="0" borderId="19" xfId="0" applyFont="1" applyBorder="1" applyAlignment="1">
      <alignment horizontal="center" vertical="center"/>
    </xf>
    <xf numFmtId="164" fontId="36" fillId="0" borderId="20" xfId="0" applyFont="1" applyBorder="1" applyAlignment="1">
      <alignment horizontal="center" vertical="center"/>
    </xf>
    <xf numFmtId="164" fontId="36" fillId="0" borderId="0" xfId="0" applyFont="1" applyBorder="1" applyAlignment="1">
      <alignment horizontal="center" vertical="center"/>
    </xf>
    <xf numFmtId="164" fontId="36" fillId="0" borderId="22" xfId="0" applyFont="1" applyBorder="1" applyAlignment="1">
      <alignment horizontal="center" vertical="center"/>
    </xf>
    <xf numFmtId="164" fontId="36" fillId="0" borderId="23" xfId="0" applyFont="1" applyBorder="1" applyAlignment="1">
      <alignment horizontal="center" vertical="center"/>
    </xf>
    <xf numFmtId="164" fontId="36" fillId="0" borderId="24" xfId="0" applyFont="1" applyBorder="1" applyAlignment="1">
      <alignment horizontal="center" vertical="center"/>
    </xf>
    <xf numFmtId="164" fontId="29" fillId="0" borderId="9" xfId="0" applyFont="1" applyBorder="1" applyAlignment="1">
      <alignment horizontal="center" vertical="center"/>
    </xf>
    <xf numFmtId="164" fontId="29" fillId="0" borderId="10" xfId="0" applyFont="1" applyBorder="1" applyAlignment="1">
      <alignment horizontal="center" vertical="center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6" fillId="0" borderId="27" xfId="0" applyFont="1" applyBorder="1" applyAlignment="1">
      <alignment horizontal="center" vertical="center" textRotation="90"/>
    </xf>
    <xf numFmtId="164" fontId="26" fillId="0" borderId="28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35" xfId="0" applyFont="1" applyBorder="1" applyAlignment="1">
      <alignment horizontal="center" vertical="center"/>
    </xf>
    <xf numFmtId="164" fontId="21" fillId="0" borderId="6" xfId="0" applyFont="1" applyBorder="1" applyAlignment="1">
      <alignment horizontal="center" vertical="center"/>
    </xf>
    <xf numFmtId="164" fontId="21" fillId="0" borderId="7" xfId="0" applyFont="1" applyBorder="1" applyAlignment="1">
      <alignment horizontal="center" vertical="center"/>
    </xf>
    <xf numFmtId="164" fontId="24" fillId="0" borderId="33" xfId="0" applyFont="1" applyBorder="1" applyAlignment="1">
      <alignment horizontal="center" vertical="center"/>
    </xf>
    <xf numFmtId="164" fontId="24" fillId="0" borderId="34" xfId="0" applyFont="1" applyBorder="1" applyAlignment="1">
      <alignment horizontal="center" vertical="center"/>
    </xf>
    <xf numFmtId="164" fontId="24" fillId="0" borderId="36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5" fillId="0" borderId="17" xfId="0" applyFont="1" applyBorder="1" applyAlignment="1">
      <alignment horizontal="center" vertical="center" textRotation="90"/>
    </xf>
    <xf numFmtId="164" fontId="25" fillId="0" borderId="20" xfId="0" applyFont="1" applyBorder="1" applyAlignment="1">
      <alignment horizontal="center" vertical="center" textRotation="90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1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1" fillId="0" borderId="32" xfId="0" applyFont="1" applyBorder="1" applyAlignment="1">
      <alignment horizontal="center" vertical="center"/>
    </xf>
    <xf numFmtId="164" fontId="21" fillId="0" borderId="3" xfId="0" applyFont="1" applyBorder="1" applyAlignment="1">
      <alignment horizontal="center" vertical="center"/>
    </xf>
    <xf numFmtId="164" fontId="21" fillId="0" borderId="4" xfId="0" applyFont="1" applyBorder="1" applyAlignment="1">
      <alignment horizontal="center" vertical="center"/>
    </xf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1" fillId="0" borderId="5" xfId="0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Caeviedes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acaeviedes@uc.cl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1" width="15.42578125" customWidth="1"/>
    <col min="23" max="23" width="71.42578125" style="58" customWidth="1"/>
  </cols>
  <sheetData>
    <row r="1" spans="1:23" ht="15.75" thickBot="1" x14ac:dyDescent="0.3"/>
    <row r="2" spans="1:23" ht="29.65" customHeight="1" thickBot="1" x14ac:dyDescent="0.3">
      <c r="B2" s="325" t="s">
        <v>44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29"/>
      <c r="U2" s="330"/>
    </row>
    <row r="3" spans="1:23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65" customHeight="1" outlineLevel="1" x14ac:dyDescent="0.25">
      <c r="A5" s="373" t="s">
        <v>45</v>
      </c>
      <c r="B5" s="81" t="str">
        <f>[1]Personas!A2</f>
        <v>Amalia</v>
      </c>
      <c r="C5" s="78" t="str">
        <f>[1]Personas!B2</f>
        <v>Abogabir</v>
      </c>
      <c r="D5" s="78" t="str">
        <f>[1]Personas!C2</f>
        <v>Condominio El Algarrobal 2 Casa Z-95</v>
      </c>
      <c r="E5" s="78" t="str">
        <f>[1]Personas!D2</f>
        <v>Chicureo</v>
      </c>
      <c r="F5" s="78" t="str">
        <f>[1]Personas!E2</f>
        <v>Piedra Roja</v>
      </c>
      <c r="G5" s="78" t="str">
        <f>[1]Personas!F2</f>
        <v>CLSA</v>
      </c>
      <c r="H5" s="78" t="str">
        <f>[1]Personas!G2</f>
        <v>JEFE</v>
      </c>
      <c r="I5" s="82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76"/>
      <c r="M5" s="76"/>
      <c r="N5" s="74">
        <f>SUMPRODUCT(Tabla523[[#This Row],[N 2 kg]:[N 500 gr]],O$82:U$82)</f>
        <v>0</v>
      </c>
      <c r="O5" s="76"/>
      <c r="P5" s="76"/>
      <c r="Q5" s="76"/>
      <c r="R5" s="76"/>
      <c r="S5" s="76"/>
      <c r="T5" s="76"/>
      <c r="U5" s="76"/>
      <c r="V5" s="76">
        <f>SUM(Tabla523[[#This Row],[N 2 kg]:[N 500 gr]])</f>
        <v>0</v>
      </c>
      <c r="W5" s="84"/>
    </row>
    <row r="6" spans="1:23" outlineLevel="1" x14ac:dyDescent="0.25">
      <c r="A6" s="374"/>
      <c r="B6" s="83" t="str">
        <f>[1]Personas!A3</f>
        <v>Maida</v>
      </c>
      <c r="C6" s="74" t="str">
        <f>[1]Personas!B3</f>
        <v>Andrews</v>
      </c>
      <c r="D6" s="74" t="str">
        <f>[1]Personas!C3</f>
        <v>Martin De Zamora 5245, Torre 2, Dpto 52</v>
      </c>
      <c r="E6" s="74" t="str">
        <f>[1]Personas!D3</f>
        <v>Las Condes</v>
      </c>
      <c r="F6" s="74" t="str">
        <f>[1]Personas!E3</f>
        <v>Manquehue</v>
      </c>
      <c r="G6" s="74" t="str">
        <f>[1]Personas!F3</f>
        <v>VMA</v>
      </c>
      <c r="H6" s="74" t="str">
        <f>[1]Personas!G3</f>
        <v>JEFE</v>
      </c>
      <c r="I6" s="80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79"/>
      <c r="M6" s="79"/>
      <c r="N6" s="74">
        <f>SUMPRODUCT(Tabla523[[#This Row],[N 2 kg]:[N 500 gr]],O$82:U$82)</f>
        <v>0</v>
      </c>
      <c r="O6" s="79"/>
      <c r="P6" s="79"/>
      <c r="Q6" s="79"/>
      <c r="R6" s="79"/>
      <c r="S6" s="79"/>
      <c r="T6" s="79"/>
      <c r="U6" s="79"/>
      <c r="V6" s="79">
        <f>SUM(Tabla523[[#This Row],[N 2 kg]:[N 500 gr]])</f>
        <v>0</v>
      </c>
      <c r="W6" s="85"/>
    </row>
    <row r="7" spans="1:23" outlineLevel="1" x14ac:dyDescent="0.25">
      <c r="A7" s="374"/>
      <c r="B7" s="83" t="str">
        <f>[1]Personas!A4</f>
        <v>Gabriel</v>
      </c>
      <c r="C7" s="74" t="str">
        <f>[1]Personas!B4</f>
        <v>Araneda</v>
      </c>
      <c r="D7" s="74" t="str">
        <f>[1]Personas!C4</f>
        <v>Apoquindo 6797 Dpto 203-3</v>
      </c>
      <c r="E7" s="74" t="str">
        <f>[1]Personas!D4</f>
        <v>Las Condes</v>
      </c>
      <c r="F7" s="74" t="str">
        <f>[1]Personas!E4</f>
        <v>Manquehue</v>
      </c>
      <c r="G7" s="74" t="str">
        <f>[1]Personas!F4</f>
        <v>UDD</v>
      </c>
      <c r="H7" s="74" t="str">
        <f>[1]Personas!G4</f>
        <v>JEFE</v>
      </c>
      <c r="I7" s="80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79"/>
      <c r="M7" s="79"/>
      <c r="N7" s="74">
        <f>SUMPRODUCT(Tabla523[[#This Row],[N 2 kg]:[N 500 gr]],O$82:U$82)</f>
        <v>0</v>
      </c>
      <c r="O7" s="79"/>
      <c r="P7" s="79"/>
      <c r="Q7" s="79"/>
      <c r="R7" s="79"/>
      <c r="S7" s="79"/>
      <c r="T7" s="79"/>
      <c r="U7" s="79"/>
      <c r="V7" s="79">
        <f>SUM(Tabla523[[#This Row],[N 2 kg]:[N 500 gr]])</f>
        <v>0</v>
      </c>
      <c r="W7" s="85"/>
    </row>
    <row r="8" spans="1:23" outlineLevel="1" x14ac:dyDescent="0.25">
      <c r="A8" s="374"/>
      <c r="B8" s="83" t="str">
        <f>[1]Personas!A5</f>
        <v>Martin</v>
      </c>
      <c r="C8" s="74" t="str">
        <f>[1]Personas!B5</f>
        <v>Araos</v>
      </c>
      <c r="D8" s="74" t="str">
        <f>[1]Personas!C5</f>
        <v>Cristal De Roca 10542</v>
      </c>
      <c r="E8" s="74" t="str">
        <f>[1]Personas!D5</f>
        <v>Chicureo</v>
      </c>
      <c r="F8" s="74" t="str">
        <f>[1]Personas!E5</f>
        <v>La Radial</v>
      </c>
      <c r="G8" s="74" t="str">
        <f>[1]Personas!F5</f>
        <v>Santa Cruz</v>
      </c>
      <c r="H8" s="74" t="str">
        <f>[1]Personas!G5</f>
        <v>JEFE</v>
      </c>
      <c r="I8" s="80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79"/>
      <c r="M8" s="79"/>
      <c r="N8" s="74">
        <f>SUMPRODUCT(Tabla523[[#This Row],[N 2 kg]:[N 500 gr]],O$82:U$82)</f>
        <v>0</v>
      </c>
      <c r="O8" s="79"/>
      <c r="P8" s="79"/>
      <c r="Q8" s="79"/>
      <c r="R8" s="79"/>
      <c r="S8" s="79"/>
      <c r="T8" s="79"/>
      <c r="U8" s="79"/>
      <c r="V8" s="79">
        <f>SUM(Tabla523[[#This Row],[N 2 kg]:[N 500 gr]])</f>
        <v>0</v>
      </c>
      <c r="W8" s="85"/>
    </row>
    <row r="9" spans="1:23" outlineLevel="1" x14ac:dyDescent="0.25">
      <c r="A9" s="374"/>
      <c r="B9" s="83" t="str">
        <f>[1]Personas!A6</f>
        <v>Javi</v>
      </c>
      <c r="C9" s="74" t="str">
        <f>[1]Personas!B6</f>
        <v>Bernaus</v>
      </c>
      <c r="D9" s="74" t="str">
        <f>[1]Personas!C6</f>
        <v>Cerro La Campana 2311 Casa 2</v>
      </c>
      <c r="E9" s="74" t="str">
        <f>[1]Personas!D6</f>
        <v>Lo Barnechea</v>
      </c>
      <c r="F9" s="74" t="str">
        <f>[1]Personas!E6</f>
        <v>Los Trapenses</v>
      </c>
      <c r="G9" s="74" t="str">
        <f>[1]Personas!F6</f>
        <v>UAI</v>
      </c>
      <c r="H9" s="74" t="str">
        <f>[1]Personas!G6</f>
        <v>JEFE</v>
      </c>
      <c r="I9" s="80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79"/>
      <c r="M9" s="79"/>
      <c r="N9" s="74">
        <f>SUMPRODUCT(Tabla523[[#This Row],[N 2 kg]:[N 500 gr]],O$82:U$82)</f>
        <v>0</v>
      </c>
      <c r="O9" s="79"/>
      <c r="P9" s="79"/>
      <c r="Q9" s="79"/>
      <c r="R9" s="79"/>
      <c r="S9" s="79"/>
      <c r="T9" s="79"/>
      <c r="U9" s="79"/>
      <c r="V9" s="79">
        <f>SUM(Tabla523[[#This Row],[N 2 kg]:[N 500 gr]])</f>
        <v>0</v>
      </c>
      <c r="W9" s="85"/>
    </row>
    <row r="10" spans="1:23" outlineLevel="1" x14ac:dyDescent="0.25">
      <c r="A10" s="374"/>
      <c r="B10" s="83" t="str">
        <f>[1]Personas!A7</f>
        <v>Samuel</v>
      </c>
      <c r="C10" s="74" t="str">
        <f>[1]Personas!B7</f>
        <v>Billikopf</v>
      </c>
      <c r="D10" s="74">
        <f>[1]Personas!C7</f>
        <v>0</v>
      </c>
      <c r="E10" s="74">
        <f>[1]Personas!D7</f>
        <v>0</v>
      </c>
      <c r="F10" s="74">
        <f>[1]Personas!E7</f>
        <v>0</v>
      </c>
      <c r="G10" s="74" t="str">
        <f>[1]Personas!F7</f>
        <v>UC</v>
      </c>
      <c r="H10" s="74" t="str">
        <f>[1]Personas!G7</f>
        <v>JEFE</v>
      </c>
      <c r="I10" s="80">
        <f>[1]Personas!H7</f>
        <v>56977051605</v>
      </c>
      <c r="J10" s="42" t="str">
        <f>[1]Personas!I7</f>
        <v>samuelbillikopfmujica@gmail.com</v>
      </c>
      <c r="K10" s="42" t="str">
        <f>[1]Personas!J7</f>
        <v>Joaquin Eichholz</v>
      </c>
      <c r="L10" s="79"/>
      <c r="M10" s="79"/>
      <c r="N10" s="74">
        <f>SUMPRODUCT(Tabla523[[#This Row],[N 2 kg]:[N 500 gr]],O$82:U$82)</f>
        <v>0</v>
      </c>
      <c r="O10" s="79"/>
      <c r="P10" s="79"/>
      <c r="Q10" s="79"/>
      <c r="R10" s="79"/>
      <c r="S10" s="79"/>
      <c r="T10" s="79"/>
      <c r="U10" s="79"/>
      <c r="V10" s="79">
        <f>SUM(Tabla523[[#This Row],[N 2 kg]:[N 500 gr]])</f>
        <v>0</v>
      </c>
      <c r="W10" s="85"/>
    </row>
    <row r="11" spans="1:23" outlineLevel="1" x14ac:dyDescent="0.25">
      <c r="A11" s="374"/>
      <c r="B11" s="83" t="str">
        <f>[1]Personas!A8</f>
        <v>Paul</v>
      </c>
      <c r="C11" s="74" t="str">
        <f>[1]Personas!B8</f>
        <v>Brenner</v>
      </c>
      <c r="D11" s="74" t="str">
        <f>[1]Personas!C8</f>
        <v>San Jose De La Sierra 1105</v>
      </c>
      <c r="E11" s="74" t="str">
        <f>[1]Personas!D8</f>
        <v>Las Condes</v>
      </c>
      <c r="F11" s="74" t="str">
        <f>[1]Personas!E8</f>
        <v>Quinchamali</v>
      </c>
      <c r="G11" s="74" t="str">
        <f>[1]Personas!F8</f>
        <v>UDD</v>
      </c>
      <c r="H11" s="74" t="str">
        <f>[1]Personas!G8</f>
        <v>JEFE</v>
      </c>
      <c r="I11" s="80">
        <f>[1]Personas!H8</f>
        <v>56955324629</v>
      </c>
      <c r="J11" s="42" t="str">
        <f>[1]Personas!I8</f>
        <v>paulmartinbrenner@hotmail.com</v>
      </c>
      <c r="K11" s="42" t="str">
        <f>[1]Personas!J8</f>
        <v>Lukas Quense</v>
      </c>
      <c r="L11" s="79"/>
      <c r="M11" s="79"/>
      <c r="N11" s="74">
        <f>SUMPRODUCT(Tabla523[[#This Row],[N 2 kg]:[N 500 gr]],O$82:U$82)</f>
        <v>0</v>
      </c>
      <c r="O11" s="79"/>
      <c r="P11" s="79"/>
      <c r="Q11" s="79"/>
      <c r="R11" s="79"/>
      <c r="S11" s="79"/>
      <c r="T11" s="79"/>
      <c r="U11" s="79"/>
      <c r="V11" s="79">
        <f>SUM(Tabla523[[#This Row],[N 2 kg]:[N 500 gr]])</f>
        <v>0</v>
      </c>
      <c r="W11" s="85"/>
    </row>
    <row r="12" spans="1:23" outlineLevel="1" x14ac:dyDescent="0.25">
      <c r="A12" s="374"/>
      <c r="B12" s="83" t="str">
        <f>[1]Personas!A9</f>
        <v>Alvaro</v>
      </c>
      <c r="C12" s="74" t="str">
        <f>[1]Personas!B9</f>
        <v>Caeviedes</v>
      </c>
      <c r="D12" s="74" t="str">
        <f>[1]Personas!C9</f>
        <v>Cerro El Paico 9756</v>
      </c>
      <c r="E12" s="74" t="str">
        <f>[1]Personas!D9</f>
        <v>Lo Barnechea</v>
      </c>
      <c r="F12" s="74" t="str">
        <f>[1]Personas!E9</f>
        <v>Los Trapenses</v>
      </c>
      <c r="G12" s="74" t="str">
        <f>[1]Personas!F9</f>
        <v>UC</v>
      </c>
      <c r="H12" s="74" t="str">
        <f>[1]Personas!G9</f>
        <v>JEFE</v>
      </c>
      <c r="I12" s="80">
        <f>[1]Personas!H9</f>
        <v>56963033603</v>
      </c>
      <c r="J12" s="42" t="str">
        <f>[1]Personas!I9</f>
        <v>acaeviedes@uc.cl</v>
      </c>
      <c r="K12" s="42" t="str">
        <f>[1]Personas!J9</f>
        <v>Joaquin Eichholz</v>
      </c>
      <c r="L12" s="79"/>
      <c r="M12" s="79"/>
      <c r="N12" s="74">
        <f>SUMPRODUCT(Tabla523[[#This Row],[N 2 kg]:[N 500 gr]],O$82:U$82)</f>
        <v>0</v>
      </c>
      <c r="O12" s="79"/>
      <c r="P12" s="79"/>
      <c r="Q12" s="79"/>
      <c r="R12" s="79"/>
      <c r="S12" s="79"/>
      <c r="T12" s="79"/>
      <c r="U12" s="79"/>
      <c r="V12" s="79">
        <f>SUM(Tabla523[[#This Row],[N 2 kg]:[N 500 gr]])</f>
        <v>0</v>
      </c>
      <c r="W12" s="85"/>
    </row>
    <row r="13" spans="1:23" outlineLevel="1" x14ac:dyDescent="0.25">
      <c r="A13" s="374"/>
      <c r="B13" s="83" t="str">
        <f>[1]Personas!A10</f>
        <v>Ignacio</v>
      </c>
      <c r="C13" s="74" t="str">
        <f>[1]Personas!B10</f>
        <v>Castañeda</v>
      </c>
      <c r="D13" s="74" t="str">
        <f>[1]Personas!C10</f>
        <v>Punta de Aguilas Norte 9300 Casa 12</v>
      </c>
      <c r="E13" s="74" t="str">
        <f>[1]Personas!D10</f>
        <v>Lo Barnechea</v>
      </c>
      <c r="F13" s="74" t="str">
        <f>[1]Personas!E10</f>
        <v>Los Trapenses</v>
      </c>
      <c r="G13" s="74" t="str">
        <f>[1]Personas!F10</f>
        <v>UC</v>
      </c>
      <c r="H13" s="74" t="str">
        <f>[1]Personas!G10</f>
        <v>SOCIO</v>
      </c>
      <c r="I13" s="80">
        <f>[1]Personas!H10</f>
        <v>56982328250</v>
      </c>
      <c r="J13" s="42" t="str">
        <f>[1]Personas!I10</f>
        <v>icastanedaw@gmail.com</v>
      </c>
      <c r="K13" s="42" t="str">
        <f>[1]Personas!J10</f>
        <v>Ignacio Castañeda</v>
      </c>
      <c r="L13" s="79"/>
      <c r="M13" s="79"/>
      <c r="N13" s="74">
        <f>SUMPRODUCT(Tabla523[[#This Row],[N 2 kg]:[N 500 gr]],O$82:U$82)</f>
        <v>0</v>
      </c>
      <c r="O13" s="79"/>
      <c r="P13" s="79"/>
      <c r="Q13" s="79"/>
      <c r="R13" s="79"/>
      <c r="S13" s="79"/>
      <c r="T13" s="79"/>
      <c r="U13" s="79"/>
      <c r="V13" s="79">
        <f>SUM(Tabla523[[#This Row],[N 2 kg]:[N 500 gr]])</f>
        <v>0</v>
      </c>
      <c r="W13" s="85"/>
    </row>
    <row r="14" spans="1:23" outlineLevel="1" x14ac:dyDescent="0.25">
      <c r="A14" s="374"/>
      <c r="B14" s="83" t="str">
        <f>[1]Personas!A11</f>
        <v>Majo</v>
      </c>
      <c r="C14" s="74" t="str">
        <f>[1]Personas!B11</f>
        <v>Castañeda</v>
      </c>
      <c r="D14" s="74" t="str">
        <f>[1]Personas!C11</f>
        <v>Punta de Aguilas Norte 9300 Casa 12</v>
      </c>
      <c r="E14" s="74" t="str">
        <f>[1]Personas!D11</f>
        <v>Lo Barnechea</v>
      </c>
      <c r="F14" s="74" t="str">
        <f>[1]Personas!E11</f>
        <v>Los Trapenses</v>
      </c>
      <c r="G14" s="74" t="str">
        <f>[1]Personas!F11</f>
        <v>UAndes</v>
      </c>
      <c r="H14" s="74" t="str">
        <f>[1]Personas!G11</f>
        <v>JEFE</v>
      </c>
      <c r="I14" s="80">
        <f>[1]Personas!H11</f>
        <v>56982328251</v>
      </c>
      <c r="J14" s="42" t="str">
        <f>[1]Personas!I11</f>
        <v>mjcastaneda@miuandes.cl</v>
      </c>
      <c r="K14" s="42" t="str">
        <f>[1]Personas!J11</f>
        <v>Ignacio Castañeda</v>
      </c>
      <c r="L14" s="79"/>
      <c r="M14" s="79"/>
      <c r="N14" s="74">
        <f>SUMPRODUCT(Tabla523[[#This Row],[N 2 kg]:[N 500 gr]],O$82:U$82)</f>
        <v>0</v>
      </c>
      <c r="O14" s="79"/>
      <c r="P14" s="79"/>
      <c r="Q14" s="79"/>
      <c r="R14" s="79"/>
      <c r="S14" s="79"/>
      <c r="T14" s="79"/>
      <c r="U14" s="79"/>
      <c r="V14" s="79">
        <f>SUM(Tabla523[[#This Row],[N 2 kg]:[N 500 gr]])</f>
        <v>0</v>
      </c>
      <c r="W14" s="85"/>
    </row>
    <row r="15" spans="1:23" outlineLevel="1" x14ac:dyDescent="0.25">
      <c r="A15" s="374"/>
      <c r="B15" s="83" t="str">
        <f>[1]Personas!A12</f>
        <v>Vicky</v>
      </c>
      <c r="C15" s="74" t="str">
        <f>[1]Personas!B12</f>
        <v>Chaparro</v>
      </c>
      <c r="D15" s="74" t="str">
        <f>[1]Personas!C12</f>
        <v>Carolina Rabat 780 Casa 8</v>
      </c>
      <c r="E15" s="74" t="str">
        <f>[1]Personas!D12</f>
        <v>Vitacura</v>
      </c>
      <c r="F15" s="74" t="str">
        <f>[1]Personas!E12</f>
        <v>Santa Maria</v>
      </c>
      <c r="G15" s="74" t="str">
        <f>[1]Personas!F12</f>
        <v>UDD</v>
      </c>
      <c r="H15" s="74" t="str">
        <f>[1]Personas!G12</f>
        <v>JEFE</v>
      </c>
      <c r="I15" s="80">
        <f>[1]Personas!H12</f>
        <v>56968348679</v>
      </c>
      <c r="J15" s="42" t="str">
        <f>[1]Personas!I12</f>
        <v>mchaparroh@udd.cl</v>
      </c>
      <c r="K15" s="42" t="str">
        <f>[1]Personas!J12</f>
        <v>Ignacio Castañeda</v>
      </c>
      <c r="L15" s="79"/>
      <c r="M15" s="79"/>
      <c r="N15" s="74">
        <f>SUMPRODUCT(Tabla523[[#This Row],[N 2 kg]:[N 500 gr]],O$82:U$82)</f>
        <v>0</v>
      </c>
      <c r="O15" s="79"/>
      <c r="P15" s="79"/>
      <c r="Q15" s="79"/>
      <c r="R15" s="79"/>
      <c r="S15" s="79"/>
      <c r="T15" s="79"/>
      <c r="U15" s="79"/>
      <c r="V15" s="79">
        <f>SUM(Tabla523[[#This Row],[N 2 kg]:[N 500 gr]])</f>
        <v>0</v>
      </c>
      <c r="W15" s="85"/>
    </row>
    <row r="16" spans="1:23" outlineLevel="1" x14ac:dyDescent="0.25">
      <c r="A16" s="374"/>
      <c r="B16" s="83" t="str">
        <f>[1]Personas!A13</f>
        <v>Antonia</v>
      </c>
      <c r="C16" s="74" t="str">
        <f>[1]Personas!B13</f>
        <v>Cisternas</v>
      </c>
      <c r="D16" s="74" t="str">
        <f>[1]Personas!C13</f>
        <v>Calle Parque 12700 Casa 38</v>
      </c>
      <c r="E16" s="74" t="str">
        <f>[1]Personas!D13</f>
        <v>Lo Barnechea</v>
      </c>
      <c r="F16" s="74" t="str">
        <f>[1]Personas!E13</f>
        <v>Los Trapenses</v>
      </c>
      <c r="G16" s="74">
        <f>[1]Personas!F13</f>
        <v>0</v>
      </c>
      <c r="H16" s="74" t="str">
        <f>[1]Personas!G13</f>
        <v>JEFE</v>
      </c>
      <c r="I16" s="80">
        <f>[1]Personas!H13</f>
        <v>56944346775</v>
      </c>
      <c r="J16" s="42" t="str">
        <f>[1]Personas!I13</f>
        <v>antocisternas@hotmail.com</v>
      </c>
      <c r="K16" s="42" t="str">
        <f>[1]Personas!J13</f>
        <v>Lukas Quense</v>
      </c>
      <c r="L16" s="79"/>
      <c r="M16" s="79"/>
      <c r="N16" s="74">
        <f>SUMPRODUCT(Tabla523[[#This Row],[N 2 kg]:[N 500 gr]],O$82:U$82)</f>
        <v>0</v>
      </c>
      <c r="O16" s="79"/>
      <c r="P16" s="79"/>
      <c r="Q16" s="79"/>
      <c r="R16" s="79"/>
      <c r="S16" s="79"/>
      <c r="T16" s="79"/>
      <c r="U16" s="79"/>
      <c r="V16" s="79">
        <f>SUM(Tabla523[[#This Row],[N 2 kg]:[N 500 gr]])</f>
        <v>0</v>
      </c>
      <c r="W16" s="85"/>
    </row>
    <row r="17" spans="1:23" outlineLevel="1" x14ac:dyDescent="0.25">
      <c r="A17" s="374"/>
      <c r="B17" s="83" t="str">
        <f>[1]Personas!A14</f>
        <v>Josefa</v>
      </c>
      <c r="C17" s="74" t="str">
        <f>[1]Personas!B14</f>
        <v>Covarrubias</v>
      </c>
      <c r="D17" s="74" t="str">
        <f>[1]Personas!C14</f>
        <v>Camino Las Flores 12163</v>
      </c>
      <c r="E17" s="74" t="str">
        <f>[1]Personas!D14</f>
        <v>Las Condes</v>
      </c>
      <c r="F17" s="74" t="str">
        <f>[1]Personas!E14</f>
        <v>San Carlos</v>
      </c>
      <c r="G17" s="74" t="str">
        <f>[1]Personas!F14</f>
        <v>Saint George</v>
      </c>
      <c r="H17" s="74" t="str">
        <f>[1]Personas!G14</f>
        <v>JEFE</v>
      </c>
      <c r="I17" s="80">
        <f>[1]Personas!H14</f>
        <v>56995346870</v>
      </c>
      <c r="J17" s="42" t="str">
        <f>[1]Personas!I14</f>
        <v>josefacovarrubias@gmail.com</v>
      </c>
      <c r="K17" s="42" t="str">
        <f>[1]Personas!J14</f>
        <v>Joaquin Eichholz</v>
      </c>
      <c r="L17" s="79"/>
      <c r="M17" s="79"/>
      <c r="N17" s="74">
        <f>SUMPRODUCT(Tabla523[[#This Row],[N 2 kg]:[N 500 gr]],O$82:U$82)</f>
        <v>0</v>
      </c>
      <c r="O17" s="79"/>
      <c r="P17" s="79"/>
      <c r="Q17" s="79"/>
      <c r="R17" s="79"/>
      <c r="S17" s="79"/>
      <c r="T17" s="79"/>
      <c r="U17" s="79"/>
      <c r="V17" s="79">
        <f>SUM(Tabla523[[#This Row],[N 2 kg]:[N 500 gr]])</f>
        <v>0</v>
      </c>
      <c r="W17" s="85"/>
    </row>
    <row r="18" spans="1:23" outlineLevel="1" x14ac:dyDescent="0.25">
      <c r="A18" s="374"/>
      <c r="B18" s="83" t="str">
        <f>[1]Personas!A15</f>
        <v>Florencia</v>
      </c>
      <c r="C18" s="74" t="str">
        <f>[1]Personas!B15</f>
        <v>Croxatto</v>
      </c>
      <c r="D18" s="74" t="str">
        <f>[1]Personas!C15</f>
        <v>Los Olivos 12179</v>
      </c>
      <c r="E18" s="74" t="str">
        <f>[1]Personas!D15</f>
        <v>Las Condes</v>
      </c>
      <c r="F18" s="74" t="str">
        <f>[1]Personas!E15</f>
        <v>San Carlos</v>
      </c>
      <c r="G18" s="74" t="str">
        <f>[1]Personas!F15</f>
        <v>UC</v>
      </c>
      <c r="H18" s="74" t="str">
        <f>[1]Personas!G15</f>
        <v>JEFE</v>
      </c>
      <c r="I18" s="80">
        <f>[1]Personas!H15</f>
        <v>56963061299</v>
      </c>
      <c r="J18" s="42" t="str">
        <f>[1]Personas!I15</f>
        <v>fcroxatto@uc.cl</v>
      </c>
      <c r="K18" s="42" t="str">
        <f>[1]Personas!J15</f>
        <v>Joaquin Eichholz</v>
      </c>
      <c r="L18" s="79"/>
      <c r="M18" s="79"/>
      <c r="N18" s="74">
        <f>SUMPRODUCT(Tabla523[[#This Row],[N 2 kg]:[N 500 gr]],O$82:U$82)</f>
        <v>0</v>
      </c>
      <c r="O18" s="79"/>
      <c r="P18" s="79"/>
      <c r="Q18" s="79"/>
      <c r="R18" s="79"/>
      <c r="S18" s="79"/>
      <c r="T18" s="79"/>
      <c r="U18" s="79"/>
      <c r="V18" s="79">
        <f>SUM(Tabla523[[#This Row],[N 2 kg]:[N 500 gr]])</f>
        <v>0</v>
      </c>
      <c r="W18" s="85"/>
    </row>
    <row r="19" spans="1:23" outlineLevel="1" x14ac:dyDescent="0.25">
      <c r="A19" s="374"/>
      <c r="B19" s="83" t="str">
        <f>[1]Personas!A16</f>
        <v>Joaquin</v>
      </c>
      <c r="C19" s="74" t="str">
        <f>[1]Personas!B16</f>
        <v>Daly</v>
      </c>
      <c r="D19" s="74" t="str">
        <f>[1]Personas!C16</f>
        <v>Polo 1 de Manquehue Casa 112</v>
      </c>
      <c r="E19" s="74" t="str">
        <f>[1]Personas!D16</f>
        <v>Chicureo</v>
      </c>
      <c r="F19" s="74" t="str">
        <f>[1]Personas!E16</f>
        <v>Piedra Roja</v>
      </c>
      <c r="G19" s="74" t="str">
        <f>[1]Personas!F16</f>
        <v>CSA</v>
      </c>
      <c r="H19" s="74" t="str">
        <f>[1]Personas!G16</f>
        <v>JEFE</v>
      </c>
      <c r="I19" s="80">
        <f>[1]Personas!H16</f>
        <v>56979987750</v>
      </c>
      <c r="J19" s="42" t="str">
        <f>[1]Personas!I16</f>
        <v>dalyjoaquin@gmail.com</v>
      </c>
      <c r="K19" s="42" t="str">
        <f>[1]Personas!J16</f>
        <v>Lukas Quense</v>
      </c>
      <c r="L19" s="79"/>
      <c r="M19" s="79"/>
      <c r="N19" s="74">
        <f>SUMPRODUCT(Tabla523[[#This Row],[N 2 kg]:[N 500 gr]],O$82:U$82)</f>
        <v>0</v>
      </c>
      <c r="O19" s="79"/>
      <c r="P19" s="79"/>
      <c r="Q19" s="79"/>
      <c r="R19" s="79"/>
      <c r="S19" s="79"/>
      <c r="T19" s="79"/>
      <c r="U19" s="79"/>
      <c r="V19" s="79">
        <f>SUM(Tabla523[[#This Row],[N 2 kg]:[N 500 gr]])</f>
        <v>0</v>
      </c>
      <c r="W19" s="85"/>
    </row>
    <row r="20" spans="1:23" outlineLevel="1" x14ac:dyDescent="0.25">
      <c r="A20" s="374"/>
      <c r="B20" s="83" t="str">
        <f>[1]Personas!A17</f>
        <v>Dominique</v>
      </c>
      <c r="C20" s="74" t="str">
        <f>[1]Personas!B17</f>
        <v>Daroch</v>
      </c>
      <c r="D20" s="74" t="str">
        <f>[1]Personas!C17</f>
        <v>El Algarrobal 2 Casa U2</v>
      </c>
      <c r="E20" s="74" t="str">
        <f>[1]Personas!D17</f>
        <v>Chicureo</v>
      </c>
      <c r="F20" s="74" t="str">
        <f>[1]Personas!E17</f>
        <v>Vespucio</v>
      </c>
      <c r="G20" s="74" t="str">
        <f>[1]Personas!F17</f>
        <v>Highlands</v>
      </c>
      <c r="H20" s="74" t="str">
        <f>[1]Personas!G17</f>
        <v>JEFE</v>
      </c>
      <c r="I20" s="80">
        <f>[1]Personas!H17</f>
        <v>56974474437</v>
      </c>
      <c r="J20" s="42" t="str">
        <f>[1]Personas!I17</f>
        <v>dominique_daroch@hotmail.com</v>
      </c>
      <c r="K20" s="42" t="str">
        <f>[1]Personas!J17</f>
        <v>Ignacio Castañeda</v>
      </c>
      <c r="L20" s="79"/>
      <c r="M20" s="79"/>
      <c r="N20" s="74">
        <f>SUMPRODUCT(Tabla523[[#This Row],[N 2 kg]:[N 500 gr]],O$82:U$82)</f>
        <v>0</v>
      </c>
      <c r="O20" s="79"/>
      <c r="P20" s="79"/>
      <c r="Q20" s="79"/>
      <c r="R20" s="79"/>
      <c r="S20" s="79"/>
      <c r="T20" s="79"/>
      <c r="U20" s="79"/>
      <c r="V20" s="79">
        <f>SUM(Tabla523[[#This Row],[N 2 kg]:[N 500 gr]])</f>
        <v>0</v>
      </c>
      <c r="W20" s="85"/>
    </row>
    <row r="21" spans="1:23" outlineLevel="1" x14ac:dyDescent="0.25">
      <c r="A21" s="374"/>
      <c r="B21" s="83" t="str">
        <f>[1]Personas!A18</f>
        <v>Camila</v>
      </c>
      <c r="C21" s="74" t="str">
        <f>[1]Personas!B18</f>
        <v>De La Sotta</v>
      </c>
      <c r="D21" s="74" t="str">
        <f>[1]Personas!C18</f>
        <v>Jose de Moraleda 4837</v>
      </c>
      <c r="E21" s="74" t="str">
        <f>[1]Personas!D18</f>
        <v>Las Condes</v>
      </c>
      <c r="F21" s="74" t="str">
        <f>[1]Personas!E18</f>
        <v>Vespucio</v>
      </c>
      <c r="G21" s="74" t="str">
        <f>[1]Personas!F18</f>
        <v>UDD</v>
      </c>
      <c r="H21" s="74" t="str">
        <f>[1]Personas!G18</f>
        <v>JEFE</v>
      </c>
      <c r="I21" s="80">
        <f>[1]Personas!H18</f>
        <v>56967289638</v>
      </c>
      <c r="J21" s="42" t="str">
        <f>[1]Personas!I18</f>
        <v>camila.delasotta@gmail.com</v>
      </c>
      <c r="K21" s="42" t="str">
        <f>[1]Personas!J18</f>
        <v>Ignacio Castañeda</v>
      </c>
      <c r="L21" s="79"/>
      <c r="M21" s="79"/>
      <c r="N21" s="74">
        <f>SUMPRODUCT(Tabla523[[#This Row],[N 2 kg]:[N 500 gr]],O$82:U$82)</f>
        <v>0</v>
      </c>
      <c r="O21" s="79"/>
      <c r="P21" s="79"/>
      <c r="Q21" s="79"/>
      <c r="R21" s="79"/>
      <c r="S21" s="79"/>
      <c r="T21" s="79"/>
      <c r="U21" s="79"/>
      <c r="V21" s="79">
        <f>SUM(Tabla523[[#This Row],[N 2 kg]:[N 500 gr]])</f>
        <v>0</v>
      </c>
      <c r="W21" s="85"/>
    </row>
    <row r="22" spans="1:23" outlineLevel="1" x14ac:dyDescent="0.25">
      <c r="A22" s="374"/>
      <c r="B22" s="83" t="str">
        <f>[1]Personas!A19</f>
        <v>Amelia</v>
      </c>
      <c r="C22" s="74" t="str">
        <f>[1]Personas!B19</f>
        <v>Del Rio</v>
      </c>
      <c r="D22" s="74" t="str">
        <f>[1]Personas!C19</f>
        <v>Candelaria Goyenechea 5765</v>
      </c>
      <c r="E22" s="74" t="str">
        <f>[1]Personas!D19</f>
        <v>Vitacura</v>
      </c>
      <c r="F22" s="74" t="str">
        <f>[1]Personas!E19</f>
        <v>Manquehue</v>
      </c>
      <c r="G22" s="74" t="str">
        <f>[1]Personas!F19</f>
        <v>UCH</v>
      </c>
      <c r="H22" s="74" t="str">
        <f>[1]Personas!G19</f>
        <v>JEFE</v>
      </c>
      <c r="I22" s="80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79"/>
      <c r="M22" s="79"/>
      <c r="N22" s="74">
        <f>SUMPRODUCT(Tabla523[[#This Row],[N 2 kg]:[N 500 gr]],O$82:U$82)</f>
        <v>0</v>
      </c>
      <c r="O22" s="79"/>
      <c r="P22" s="79"/>
      <c r="Q22" s="79"/>
      <c r="R22" s="79"/>
      <c r="S22" s="79"/>
      <c r="T22" s="79"/>
      <c r="U22" s="79"/>
      <c r="V22" s="79">
        <f>SUM(Tabla523[[#This Row],[N 2 kg]:[N 500 gr]])</f>
        <v>0</v>
      </c>
      <c r="W22" s="85"/>
    </row>
    <row r="23" spans="1:23" outlineLevel="1" x14ac:dyDescent="0.25">
      <c r="A23" s="374"/>
      <c r="B23" s="83" t="str">
        <f>[1]Personas!A20</f>
        <v>Javi</v>
      </c>
      <c r="C23" s="74" t="str">
        <f>[1]Personas!B20</f>
        <v>Del Rio</v>
      </c>
      <c r="D23" s="74" t="str">
        <f>[1]Personas!C20</f>
        <v>Valle del monasterio 2664</v>
      </c>
      <c r="E23" s="74" t="str">
        <f>[1]Personas!D20</f>
        <v>Lo Barnechea</v>
      </c>
      <c r="F23" s="74" t="str">
        <f>[1]Personas!E20</f>
        <v>Los Trapenses</v>
      </c>
      <c r="G23" s="74" t="str">
        <f>[1]Personas!F20</f>
        <v>UC</v>
      </c>
      <c r="H23" s="74" t="str">
        <f>[1]Personas!G20</f>
        <v>JEFE</v>
      </c>
      <c r="I23" s="80">
        <f>[1]Personas!H20</f>
        <v>56967898535</v>
      </c>
      <c r="J23" s="42" t="str">
        <f>[1]Personas!I20</f>
        <v>jpdelrio@uc.cl</v>
      </c>
      <c r="K23" s="42" t="str">
        <f>[1]Personas!J20</f>
        <v>Ignacio Castañeda</v>
      </c>
      <c r="L23" s="79"/>
      <c r="M23" s="79"/>
      <c r="N23" s="74">
        <f>SUMPRODUCT(Tabla523[[#This Row],[N 2 kg]:[N 500 gr]],O$82:U$82)</f>
        <v>0</v>
      </c>
      <c r="O23" s="79"/>
      <c r="P23" s="79"/>
      <c r="Q23" s="79"/>
      <c r="R23" s="79"/>
      <c r="S23" s="79"/>
      <c r="T23" s="79"/>
      <c r="U23" s="79"/>
      <c r="V23" s="79">
        <f>SUM(Tabla523[[#This Row],[N 2 kg]:[N 500 gr]])</f>
        <v>0</v>
      </c>
      <c r="W23" s="85"/>
    </row>
    <row r="24" spans="1:23" outlineLevel="1" x14ac:dyDescent="0.25">
      <c r="A24" s="374"/>
      <c r="B24" s="83" t="str">
        <f>[1]Personas!A21</f>
        <v>Constanza</v>
      </c>
      <c r="C24" s="74" t="str">
        <f>[1]Personas!B21</f>
        <v>Delfau</v>
      </c>
      <c r="D24" s="74" t="str">
        <f>[1]Personas!C21</f>
        <v>Calle Parque 12700 Casa 1</v>
      </c>
      <c r="E24" s="74" t="str">
        <f>[1]Personas!D21</f>
        <v>Lo Barnechea</v>
      </c>
      <c r="F24" s="74" t="str">
        <f>[1]Personas!E21</f>
        <v>La Dehesa</v>
      </c>
      <c r="G24" s="74" t="str">
        <f>[1]Personas!F21</f>
        <v>UC</v>
      </c>
      <c r="H24" s="74" t="str">
        <f>[1]Personas!G21</f>
        <v>JEFE</v>
      </c>
      <c r="I24" s="80">
        <f>[1]Personas!H21</f>
        <v>56991889995</v>
      </c>
      <c r="J24" s="42" t="str">
        <f>[1]Personas!I21</f>
        <v>conidelfau@gmail.com</v>
      </c>
      <c r="K24" s="42" t="str">
        <f>[1]Personas!J21</f>
        <v>Ignacio Castañeda</v>
      </c>
      <c r="L24" s="79"/>
      <c r="M24" s="79"/>
      <c r="N24" s="74">
        <f>SUMPRODUCT(Tabla523[[#This Row],[N 2 kg]:[N 500 gr]],O$82:U$82)</f>
        <v>0</v>
      </c>
      <c r="O24" s="79"/>
      <c r="P24" s="79"/>
      <c r="Q24" s="79"/>
      <c r="R24" s="79"/>
      <c r="S24" s="79"/>
      <c r="T24" s="79"/>
      <c r="U24" s="79"/>
      <c r="V24" s="79">
        <f>SUM(Tabla523[[#This Row],[N 2 kg]:[N 500 gr]])</f>
        <v>0</v>
      </c>
      <c r="W24" s="85"/>
    </row>
    <row r="25" spans="1:23" outlineLevel="1" x14ac:dyDescent="0.25">
      <c r="A25" s="374"/>
      <c r="B25" s="83" t="str">
        <f>[1]Personas!A22</f>
        <v>Rosario</v>
      </c>
      <c r="C25" s="74" t="str">
        <f>[1]Personas!B22</f>
        <v>Diez</v>
      </c>
      <c r="D25" s="74" t="str">
        <f>[1]Personas!C22</f>
        <v>Hermanos Cabott 6671</v>
      </c>
      <c r="E25" s="74" t="str">
        <f>[1]Personas!D22</f>
        <v>Las Condes</v>
      </c>
      <c r="F25" s="74" t="str">
        <f>[1]Personas!E22</f>
        <v>Manquehue</v>
      </c>
      <c r="G25" s="74" t="str">
        <f>[1]Personas!F22</f>
        <v>Aleman</v>
      </c>
      <c r="H25" s="74" t="str">
        <f>[1]Personas!G22</f>
        <v>JEFE</v>
      </c>
      <c r="I25" s="80">
        <f>[1]Personas!H22</f>
        <v>56997267212</v>
      </c>
      <c r="J25" s="42" t="str">
        <f>[1]Personas!I22</f>
        <v>rdiezperry@gmail.com</v>
      </c>
      <c r="K25" s="42" t="str">
        <f>[1]Personas!J22</f>
        <v>Lukas Quense</v>
      </c>
      <c r="L25" s="79"/>
      <c r="M25" s="79"/>
      <c r="N25" s="74">
        <f>SUMPRODUCT(Tabla523[[#This Row],[N 2 kg]:[N 500 gr]],O$82:U$82)</f>
        <v>0</v>
      </c>
      <c r="O25" s="79"/>
      <c r="P25" s="79"/>
      <c r="Q25" s="79"/>
      <c r="R25" s="79"/>
      <c r="S25" s="79"/>
      <c r="T25" s="79"/>
      <c r="U25" s="79"/>
      <c r="V25" s="79">
        <f>SUM(Tabla523[[#This Row],[N 2 kg]:[N 500 gr]])</f>
        <v>0</v>
      </c>
      <c r="W25" s="85"/>
    </row>
    <row r="26" spans="1:23" outlineLevel="1" x14ac:dyDescent="0.25">
      <c r="A26" s="374"/>
      <c r="B26" s="83" t="str">
        <f>[1]Personas!A23</f>
        <v>Pilar</v>
      </c>
      <c r="C26" s="74" t="str">
        <f>[1]Personas!B23</f>
        <v>Edwards</v>
      </c>
      <c r="D26" s="74" t="str">
        <f>[1]Personas!C23</f>
        <v>El Roquerio 2028</v>
      </c>
      <c r="E26" s="74" t="str">
        <f>[1]Personas!D23</f>
        <v>Lo Barnechea</v>
      </c>
      <c r="F26" s="74" t="str">
        <f>[1]Personas!E23</f>
        <v>Los Trapenses</v>
      </c>
      <c r="G26" s="74" t="str">
        <f>[1]Personas!F23</f>
        <v>UDD</v>
      </c>
      <c r="H26" s="74" t="str">
        <f>[1]Personas!G23</f>
        <v>JEFE</v>
      </c>
      <c r="I26" s="80">
        <f>[1]Personas!H23</f>
        <v>56983708702</v>
      </c>
      <c r="J26" s="42" t="str">
        <f>[1]Personas!I23</f>
        <v>piliedwards@gmail.com</v>
      </c>
      <c r="K26" s="42" t="str">
        <f>[1]Personas!J23</f>
        <v>Joaquin Eichholz</v>
      </c>
      <c r="L26" s="79"/>
      <c r="M26" s="79"/>
      <c r="N26" s="74">
        <f>SUMPRODUCT(Tabla523[[#This Row],[N 2 kg]:[N 500 gr]],O$82:U$82)</f>
        <v>0</v>
      </c>
      <c r="O26" s="79"/>
      <c r="P26" s="79"/>
      <c r="Q26" s="79"/>
      <c r="R26" s="79"/>
      <c r="S26" s="79"/>
      <c r="T26" s="79"/>
      <c r="U26" s="79"/>
      <c r="V26" s="79">
        <f>SUM(Tabla523[[#This Row],[N 2 kg]:[N 500 gr]])</f>
        <v>0</v>
      </c>
      <c r="W26" s="85"/>
    </row>
    <row r="27" spans="1:23" outlineLevel="1" x14ac:dyDescent="0.25">
      <c r="A27" s="374"/>
      <c r="B27" s="83" t="str">
        <f>[1]Personas!A24</f>
        <v>Joaquin</v>
      </c>
      <c r="C27" s="74" t="str">
        <f>[1]Personas!B24</f>
        <v>Eichholz</v>
      </c>
      <c r="D27" s="74" t="str">
        <f>[1]Personas!C24</f>
        <v>Estrella Del Norte 980 Dpto 154</v>
      </c>
      <c r="E27" s="74" t="str">
        <f>[1]Personas!D24</f>
        <v>Las Condes</v>
      </c>
      <c r="F27" s="74" t="str">
        <f>[1]Personas!E24</f>
        <v>Alto Las Condes</v>
      </c>
      <c r="G27" s="74" t="str">
        <f>[1]Personas!F24</f>
        <v>UC</v>
      </c>
      <c r="H27" s="74" t="str">
        <f>[1]Personas!G24</f>
        <v>SOCIO</v>
      </c>
      <c r="I27" s="80">
        <f>[1]Personas!H24</f>
        <v>56996324787</v>
      </c>
      <c r="J27" s="42" t="str">
        <f>[1]Personas!I24</f>
        <v>joaquin.eichholz@gmail.com</v>
      </c>
      <c r="K27" s="42" t="str">
        <f>[1]Personas!J24</f>
        <v>Joaquin Eichholz</v>
      </c>
      <c r="L27" s="79"/>
      <c r="M27" s="79"/>
      <c r="N27" s="74">
        <f>SUMPRODUCT(Tabla523[[#This Row],[N 2 kg]:[N 500 gr]],O$82:U$82)</f>
        <v>0</v>
      </c>
      <c r="O27" s="79"/>
      <c r="P27" s="79"/>
      <c r="Q27" s="79"/>
      <c r="R27" s="79"/>
      <c r="S27" s="79"/>
      <c r="T27" s="79"/>
      <c r="U27" s="79"/>
      <c r="V27" s="79">
        <f>SUM(Tabla523[[#This Row],[N 2 kg]:[N 500 gr]])</f>
        <v>0</v>
      </c>
      <c r="W27" s="85"/>
    </row>
    <row r="28" spans="1:23" outlineLevel="1" x14ac:dyDescent="0.25">
      <c r="A28" s="374"/>
      <c r="B28" s="83" t="str">
        <f>[1]Personas!A25</f>
        <v>Maria Jesus</v>
      </c>
      <c r="C28" s="74" t="str">
        <f>[1]Personas!B25</f>
        <v>Elias</v>
      </c>
      <c r="D28" s="74" t="str">
        <f>[1]Personas!C25</f>
        <v>Manquehue Norte 555</v>
      </c>
      <c r="E28" s="74" t="str">
        <f>[1]Personas!D25</f>
        <v>Las Condes</v>
      </c>
      <c r="F28" s="74" t="str">
        <f>[1]Personas!E25</f>
        <v>Manquehue</v>
      </c>
      <c r="G28" s="74" t="str">
        <f>[1]Personas!F25</f>
        <v>UDD</v>
      </c>
      <c r="H28" s="74" t="str">
        <f>[1]Personas!G25</f>
        <v>JEFE</v>
      </c>
      <c r="I28" s="80">
        <f>[1]Personas!H25</f>
        <v>56958589916</v>
      </c>
      <c r="J28" s="42" t="str">
        <f>[1]Personas!I25</f>
        <v>meliasm@udd.cl</v>
      </c>
      <c r="K28" s="42" t="str">
        <f>[1]Personas!J25</f>
        <v>Lukas Quense</v>
      </c>
      <c r="L28" s="79"/>
      <c r="M28" s="79"/>
      <c r="N28" s="74">
        <f>SUMPRODUCT(Tabla523[[#This Row],[N 2 kg]:[N 500 gr]],O$82:U$82)</f>
        <v>0</v>
      </c>
      <c r="O28" s="79"/>
      <c r="P28" s="79"/>
      <c r="Q28" s="79"/>
      <c r="R28" s="79"/>
      <c r="S28" s="79"/>
      <c r="T28" s="79"/>
      <c r="U28" s="79"/>
      <c r="V28" s="79">
        <f>SUM(Tabla523[[#This Row],[N 2 kg]:[N 500 gr]])</f>
        <v>0</v>
      </c>
      <c r="W28" s="85"/>
    </row>
    <row r="29" spans="1:23" outlineLevel="1" x14ac:dyDescent="0.25">
      <c r="A29" s="374"/>
      <c r="B29" s="83" t="str">
        <f>[1]Personas!A26</f>
        <v>Rafael</v>
      </c>
      <c r="C29" s="74" t="str">
        <f>[1]Personas!B26</f>
        <v>Errazuriz</v>
      </c>
      <c r="D29" s="74" t="str">
        <f>[1]Personas!C26</f>
        <v>Pasaje La Aurora 1883</v>
      </c>
      <c r="E29" s="74" t="str">
        <f>[1]Personas!D26</f>
        <v>Vitacura</v>
      </c>
      <c r="F29" s="74" t="str">
        <f>[1]Personas!E26</f>
        <v>Estoril</v>
      </c>
      <c r="G29" s="74" t="str">
        <f>[1]Personas!F26</f>
        <v>UDD</v>
      </c>
      <c r="H29" s="74" t="str">
        <f>[1]Personas!G26</f>
        <v>JEFE</v>
      </c>
      <c r="I29" s="80">
        <f>[1]Personas!H26</f>
        <v>56995483434</v>
      </c>
      <c r="J29" s="42" t="str">
        <f>[1]Personas!I26</f>
        <v>rerrazurizf@udd.cl</v>
      </c>
      <c r="K29" s="42" t="str">
        <f>[1]Personas!J26</f>
        <v>Joaquin Eichholz</v>
      </c>
      <c r="L29" s="79"/>
      <c r="M29" s="79"/>
      <c r="N29" s="74">
        <f>SUMPRODUCT(Tabla523[[#This Row],[N 2 kg]:[N 500 gr]],O$82:U$82)</f>
        <v>0</v>
      </c>
      <c r="O29" s="79"/>
      <c r="P29" s="79"/>
      <c r="Q29" s="79"/>
      <c r="R29" s="79"/>
      <c r="S29" s="79"/>
      <c r="T29" s="79"/>
      <c r="U29" s="79"/>
      <c r="V29" s="79">
        <f>SUM(Tabla523[[#This Row],[N 2 kg]:[N 500 gr]])</f>
        <v>0</v>
      </c>
      <c r="W29" s="85"/>
    </row>
    <row r="30" spans="1:23" outlineLevel="1" x14ac:dyDescent="0.25">
      <c r="A30" s="374"/>
      <c r="B30" s="83" t="str">
        <f>[1]Personas!A27</f>
        <v>Isidora</v>
      </c>
      <c r="C30" s="74" t="str">
        <f>[1]Personas!B27</f>
        <v>Fernandez</v>
      </c>
      <c r="D30" s="74" t="str">
        <f>[1]Personas!C27</f>
        <v>Casa De Piedra 2628</v>
      </c>
      <c r="E30" s="74" t="str">
        <f>[1]Personas!D27</f>
        <v>Las Condes</v>
      </c>
      <c r="F30" s="74" t="str">
        <f>[1]Personas!E27</f>
        <v>San Carlos</v>
      </c>
      <c r="G30" s="74" t="str">
        <f>[1]Personas!F27</f>
        <v>UAndes</v>
      </c>
      <c r="H30" s="74" t="str">
        <f>[1]Personas!G27</f>
        <v>JEFE</v>
      </c>
      <c r="I30" s="80">
        <f>[1]Personas!H27</f>
        <v>56997550244</v>
      </c>
      <c r="J30" s="42" t="str">
        <f>[1]Personas!I27</f>
        <v>ifernandez1@miuandes.cl</v>
      </c>
      <c r="K30" s="42" t="str">
        <f>[1]Personas!J27</f>
        <v>Joaquin Eichholz</v>
      </c>
      <c r="L30" s="79"/>
      <c r="M30" s="79"/>
      <c r="N30" s="74">
        <f>SUMPRODUCT(Tabla523[[#This Row],[N 2 kg]:[N 500 gr]],O$82:U$82)</f>
        <v>0</v>
      </c>
      <c r="O30" s="79"/>
      <c r="P30" s="79"/>
      <c r="Q30" s="79"/>
      <c r="R30" s="79"/>
      <c r="S30" s="79"/>
      <c r="T30" s="79"/>
      <c r="U30" s="79"/>
      <c r="V30" s="79">
        <f>SUM(Tabla523[[#This Row],[N 2 kg]:[N 500 gr]])</f>
        <v>0</v>
      </c>
      <c r="W30" s="85"/>
    </row>
    <row r="31" spans="1:23" outlineLevel="1" x14ac:dyDescent="0.25">
      <c r="A31" s="374"/>
      <c r="B31" s="83" t="str">
        <f>[1]Personas!A28</f>
        <v>Maria Luisa</v>
      </c>
      <c r="C31" s="74" t="str">
        <f>[1]Personas!B28</f>
        <v>Fernandez</v>
      </c>
      <c r="D31" s="74" t="str">
        <f>[1]Personas!C28</f>
        <v>La Invernada 7005</v>
      </c>
      <c r="E31" s="74" t="str">
        <f>[1]Personas!D28</f>
        <v>Vitacura</v>
      </c>
      <c r="F31" s="74" t="str">
        <f>[1]Personas!E28</f>
        <v>Santa Maria</v>
      </c>
      <c r="G31" s="74" t="str">
        <f>[1]Personas!F28</f>
        <v>UCH</v>
      </c>
      <c r="H31" s="74" t="str">
        <f>[1]Personas!G28</f>
        <v>JEFE</v>
      </c>
      <c r="I31" s="80">
        <f>[1]Personas!H28</f>
        <v>56982978895</v>
      </c>
      <c r="J31" s="42" t="str">
        <f>[1]Personas!I28</f>
        <v>guisa97@hotmail.com</v>
      </c>
      <c r="K31" s="42" t="str">
        <f>[1]Personas!J28</f>
        <v>Lukas Quense</v>
      </c>
      <c r="L31" s="79"/>
      <c r="M31" s="79"/>
      <c r="N31" s="74">
        <f>SUMPRODUCT(Tabla523[[#This Row],[N 2 kg]:[N 500 gr]],O$82:U$82)</f>
        <v>0</v>
      </c>
      <c r="O31" s="79"/>
      <c r="P31" s="79"/>
      <c r="Q31" s="79"/>
      <c r="R31" s="79"/>
      <c r="S31" s="79"/>
      <c r="T31" s="79"/>
      <c r="U31" s="79"/>
      <c r="V31" s="79">
        <f>SUM(Tabla523[[#This Row],[N 2 kg]:[N 500 gr]])</f>
        <v>0</v>
      </c>
      <c r="W31" s="85"/>
    </row>
    <row r="32" spans="1:23" outlineLevel="1" x14ac:dyDescent="0.25">
      <c r="A32" s="374"/>
      <c r="B32" s="83" t="str">
        <f>[1]Personas!A29</f>
        <v>Rodrigo</v>
      </c>
      <c r="C32" s="74" t="str">
        <f>[1]Personas!B29</f>
        <v>Fernandez</v>
      </c>
      <c r="D32" s="74" t="str">
        <f>[1]Personas!C29</f>
        <v>Las Hualtatas 4555 Casa 9</v>
      </c>
      <c r="E32" s="74" t="str">
        <f>[1]Personas!D29</f>
        <v>Lo Barnechea</v>
      </c>
      <c r="F32" s="74" t="str">
        <f>[1]Personas!E29</f>
        <v>Los Trapenses</v>
      </c>
      <c r="G32" s="74" t="str">
        <f>[1]Personas!F29</f>
        <v>UC</v>
      </c>
      <c r="H32" s="74" t="str">
        <f>[1]Personas!G29</f>
        <v>JEFE</v>
      </c>
      <c r="I32" s="80">
        <f>[1]Personas!H29</f>
        <v>56986194003</v>
      </c>
      <c r="J32" s="42" t="str">
        <f>[1]Personas!I29</f>
        <v>rfernandezdelrio@uc.cl</v>
      </c>
      <c r="K32" s="42" t="str">
        <f>[1]Personas!J29</f>
        <v>Lukas Quense</v>
      </c>
      <c r="L32" s="79"/>
      <c r="M32" s="79"/>
      <c r="N32" s="74">
        <f>SUMPRODUCT(Tabla523[[#This Row],[N 2 kg]:[N 500 gr]],O$82:U$82)</f>
        <v>0</v>
      </c>
      <c r="O32" s="79"/>
      <c r="P32" s="79"/>
      <c r="Q32" s="79"/>
      <c r="R32" s="79"/>
      <c r="S32" s="79"/>
      <c r="T32" s="79"/>
      <c r="U32" s="79"/>
      <c r="V32" s="79">
        <f>SUM(Tabla523[[#This Row],[N 2 kg]:[N 500 gr]])</f>
        <v>0</v>
      </c>
      <c r="W32" s="85"/>
    </row>
    <row r="33" spans="1:23" outlineLevel="1" x14ac:dyDescent="0.25">
      <c r="A33" s="374"/>
      <c r="B33" s="83" t="str">
        <f>[1]Personas!A30</f>
        <v>Tere</v>
      </c>
      <c r="C33" s="74" t="str">
        <f>[1]Personas!B30</f>
        <v>Fernandez</v>
      </c>
      <c r="D33" s="74" t="str">
        <f>[1]Personas!C30</f>
        <v>Las Torcazas 3080</v>
      </c>
      <c r="E33" s="74" t="str">
        <f>[1]Personas!D30</f>
        <v>Chicureo</v>
      </c>
      <c r="F33" s="74" t="str">
        <f>[1]Personas!E30</f>
        <v>Colina</v>
      </c>
      <c r="G33" s="74" t="str">
        <f>[1]Personas!F30</f>
        <v>Highlands</v>
      </c>
      <c r="H33" s="74" t="str">
        <f>[1]Personas!G30</f>
        <v>JEFE</v>
      </c>
      <c r="I33" s="80">
        <f>[1]Personas!H30</f>
        <v>56965542496</v>
      </c>
      <c r="J33" s="42" t="str">
        <f>[1]Personas!I30</f>
        <v>terefernandez99@yahoo.com</v>
      </c>
      <c r="K33" s="42" t="str">
        <f>[1]Personas!J30</f>
        <v>Lukas Quense</v>
      </c>
      <c r="L33" s="79"/>
      <c r="M33" s="79"/>
      <c r="N33" s="74">
        <f>SUMPRODUCT(Tabla523[[#This Row],[N 2 kg]:[N 500 gr]],O$82:U$82)</f>
        <v>0</v>
      </c>
      <c r="O33" s="79"/>
      <c r="P33" s="79"/>
      <c r="Q33" s="79"/>
      <c r="R33" s="79"/>
      <c r="S33" s="79"/>
      <c r="T33" s="79"/>
      <c r="U33" s="79"/>
      <c r="V33" s="79">
        <f>SUM(Tabla523[[#This Row],[N 2 kg]:[N 500 gr]])</f>
        <v>0</v>
      </c>
      <c r="W33" s="85"/>
    </row>
    <row r="34" spans="1:23" outlineLevel="1" x14ac:dyDescent="0.25">
      <c r="A34" s="374"/>
      <c r="B34" s="83" t="str">
        <f>[1]Personas!A31</f>
        <v>Diego</v>
      </c>
      <c r="C34" s="74" t="str">
        <f>[1]Personas!B31</f>
        <v>Figueroa</v>
      </c>
      <c r="D34" s="74" t="str">
        <f>[1]Personas!C31</f>
        <v>Las Lavandulas 10006</v>
      </c>
      <c r="E34" s="74" t="str">
        <f>[1]Personas!D31</f>
        <v>Las Condes</v>
      </c>
      <c r="F34" s="74" t="str">
        <f>[1]Personas!E31</f>
        <v>San Carlos</v>
      </c>
      <c r="G34" s="74">
        <f>[1]Personas!F31</f>
        <v>0</v>
      </c>
      <c r="H34" s="74" t="str">
        <f>[1]Personas!G31</f>
        <v>JEFE</v>
      </c>
      <c r="I34" s="80">
        <f>[1]Personas!H31</f>
        <v>56979579233</v>
      </c>
      <c r="J34" s="42" t="str">
        <f>[1]Personas!I31</f>
        <v>diegofiba2@gmail.com</v>
      </c>
      <c r="K34" s="42" t="str">
        <f>[1]Personas!J31</f>
        <v>Joaquin Eichholz</v>
      </c>
      <c r="L34" s="79"/>
      <c r="M34" s="79"/>
      <c r="N34" s="74">
        <f>SUMPRODUCT(Tabla523[[#This Row],[N 2 kg]:[N 500 gr]],O$82:U$82)</f>
        <v>0</v>
      </c>
      <c r="O34" s="79"/>
      <c r="P34" s="79"/>
      <c r="Q34" s="79"/>
      <c r="R34" s="79"/>
      <c r="S34" s="79"/>
      <c r="T34" s="79"/>
      <c r="U34" s="79"/>
      <c r="V34" s="79">
        <f>SUM(Tabla523[[#This Row],[N 2 kg]:[N 500 gr]])</f>
        <v>0</v>
      </c>
      <c r="W34" s="85"/>
    </row>
    <row r="35" spans="1:23" outlineLevel="1" x14ac:dyDescent="0.25">
      <c r="A35" s="374"/>
      <c r="B35" s="83" t="str">
        <f>[1]Personas!A32</f>
        <v>Matias</v>
      </c>
      <c r="C35" s="74" t="str">
        <f>[1]Personas!B32</f>
        <v>Flores</v>
      </c>
      <c r="D35" s="74" t="str">
        <f>[1]Personas!C32</f>
        <v>Condominio Sta Teresita P14 Sta Ester De Liray</v>
      </c>
      <c r="E35" s="74" t="str">
        <f>[1]Personas!D32</f>
        <v>Chicureo</v>
      </c>
      <c r="F35" s="74" t="str">
        <f>[1]Personas!E32</f>
        <v>Lo Pinto</v>
      </c>
      <c r="G35" s="74" t="str">
        <f>[1]Personas!F32</f>
        <v>UDD</v>
      </c>
      <c r="H35" s="74" t="str">
        <f>[1]Personas!G32</f>
        <v>JEFE</v>
      </c>
      <c r="I35" s="80">
        <f>[1]Personas!H32</f>
        <v>56986351953</v>
      </c>
      <c r="J35" s="42" t="str">
        <f>[1]Personas!I32</f>
        <v>matifloresdonetch@hotmail.com</v>
      </c>
      <c r="K35" s="42" t="str">
        <f>[1]Personas!J32</f>
        <v>Ignacio Castañeda</v>
      </c>
      <c r="L35" s="79"/>
      <c r="M35" s="79"/>
      <c r="N35" s="74">
        <f>SUMPRODUCT(Tabla523[[#This Row],[N 2 kg]:[N 500 gr]],O$82:U$82)</f>
        <v>0</v>
      </c>
      <c r="O35" s="79"/>
      <c r="P35" s="79"/>
      <c r="Q35" s="79"/>
      <c r="R35" s="79"/>
      <c r="S35" s="79"/>
      <c r="T35" s="79"/>
      <c r="U35" s="79"/>
      <c r="V35" s="79">
        <f>SUM(Tabla523[[#This Row],[N 2 kg]:[N 500 gr]])</f>
        <v>0</v>
      </c>
      <c r="W35" s="85"/>
    </row>
    <row r="36" spans="1:23" outlineLevel="1" x14ac:dyDescent="0.25">
      <c r="A36" s="374"/>
      <c r="B36" s="83" t="str">
        <f>[1]Personas!A33</f>
        <v>Benjamin</v>
      </c>
      <c r="C36" s="74" t="str">
        <f>[1]Personas!B33</f>
        <v>Hartmann</v>
      </c>
      <c r="D36" s="74" t="str">
        <f>[1]Personas!C33</f>
        <v>Camino Otonal 1368 Casa 6</v>
      </c>
      <c r="E36" s="74" t="str">
        <f>[1]Personas!D33</f>
        <v>Las Condes</v>
      </c>
      <c r="F36" s="74" t="str">
        <f>[1]Personas!E33</f>
        <v>San Carlos</v>
      </c>
      <c r="G36" s="74" t="str">
        <f>[1]Personas!F33</f>
        <v>UC</v>
      </c>
      <c r="H36" s="74" t="str">
        <f>[1]Personas!G33</f>
        <v>JEFE</v>
      </c>
      <c r="I36" s="80">
        <f>[1]Personas!H33</f>
        <v>56982958975</v>
      </c>
      <c r="J36" s="42" t="str">
        <f>[1]Personas!I33</f>
        <v>hartmann12@gmail.com</v>
      </c>
      <c r="K36" s="42" t="str">
        <f>[1]Personas!J33</f>
        <v>Ignacio Castañeda</v>
      </c>
      <c r="L36" s="79"/>
      <c r="M36" s="79"/>
      <c r="N36" s="74">
        <f>SUMPRODUCT(Tabla523[[#This Row],[N 2 kg]:[N 500 gr]],O$82:U$82)</f>
        <v>0</v>
      </c>
      <c r="O36" s="79"/>
      <c r="P36" s="79"/>
      <c r="Q36" s="79"/>
      <c r="R36" s="79"/>
      <c r="S36" s="79"/>
      <c r="T36" s="79"/>
      <c r="U36" s="79"/>
      <c r="V36" s="79">
        <f>SUM(Tabla523[[#This Row],[N 2 kg]:[N 500 gr]])</f>
        <v>0</v>
      </c>
      <c r="W36" s="85"/>
    </row>
    <row r="37" spans="1:23" outlineLevel="1" x14ac:dyDescent="0.25">
      <c r="A37" s="374"/>
      <c r="B37" s="83" t="str">
        <f>[1]Personas!A34</f>
        <v>Mauricio</v>
      </c>
      <c r="C37" s="74" t="str">
        <f>[1]Personas!B34</f>
        <v>Hernandez</v>
      </c>
      <c r="D37" s="74" t="str">
        <f>[1]Personas!C34</f>
        <v>Julia Bernstein 607 Casa G-40</v>
      </c>
      <c r="E37" s="74" t="str">
        <f>[1]Personas!D34</f>
        <v>La Reina</v>
      </c>
      <c r="F37" s="74" t="str">
        <f>[1]Personas!E34</f>
        <v>La Reina</v>
      </c>
      <c r="G37" s="74" t="str">
        <f>[1]Personas!F34</f>
        <v>UCH</v>
      </c>
      <c r="H37" s="74" t="str">
        <f>[1]Personas!G34</f>
        <v>JEFE</v>
      </c>
      <c r="I37" s="80">
        <f>[1]Personas!H34</f>
        <v>56965951459</v>
      </c>
      <c r="J37" s="42" t="str">
        <f>[1]Personas!I34</f>
        <v>mauhernand@fen.uchile.cl</v>
      </c>
      <c r="K37" s="42" t="str">
        <f>[1]Personas!J34</f>
        <v>Lukas Quense</v>
      </c>
      <c r="L37" s="79"/>
      <c r="M37" s="79"/>
      <c r="N37" s="74">
        <f>SUMPRODUCT(Tabla523[[#This Row],[N 2 kg]:[N 500 gr]],O$82:U$82)</f>
        <v>0</v>
      </c>
      <c r="O37" s="79"/>
      <c r="P37" s="79"/>
      <c r="Q37" s="79"/>
      <c r="R37" s="79"/>
      <c r="S37" s="79"/>
      <c r="T37" s="79"/>
      <c r="U37" s="79"/>
      <c r="V37" s="79">
        <f>SUM(Tabla523[[#This Row],[N 2 kg]:[N 500 gr]])</f>
        <v>0</v>
      </c>
      <c r="W37" s="85"/>
    </row>
    <row r="38" spans="1:23" outlineLevel="1" x14ac:dyDescent="0.25">
      <c r="A38" s="374"/>
      <c r="B38" s="83" t="str">
        <f>[1]Personas!A35</f>
        <v>Andres</v>
      </c>
      <c r="C38" s="74" t="str">
        <f>[1]Personas!B35</f>
        <v>Infante</v>
      </c>
      <c r="D38" s="74" t="str">
        <f>[1]Personas!C35</f>
        <v>Camino De Las Ermitas 3804</v>
      </c>
      <c r="E38" s="74" t="str">
        <f>[1]Personas!D35</f>
        <v>Lo Barnechea</v>
      </c>
      <c r="F38" s="74" t="str">
        <f>[1]Personas!E35</f>
        <v>Los Trapenses</v>
      </c>
      <c r="G38" s="74" t="str">
        <f>[1]Personas!F35</f>
        <v>UAI</v>
      </c>
      <c r="H38" s="74" t="str">
        <f>[1]Personas!G35</f>
        <v>JEFE</v>
      </c>
      <c r="I38" s="80">
        <f>[1]Personas!H35</f>
        <v>56979891544</v>
      </c>
      <c r="J38" s="42" t="str">
        <f>[1]Personas!I35</f>
        <v>andres_infanter@hotmail.com</v>
      </c>
      <c r="K38" s="42" t="str">
        <f>[1]Personas!J35</f>
        <v>Lukas Quense</v>
      </c>
      <c r="L38" s="79"/>
      <c r="M38" s="79"/>
      <c r="N38" s="74">
        <f>SUMPRODUCT(Tabla523[[#This Row],[N 2 kg]:[N 500 gr]],O$82:U$82)</f>
        <v>0</v>
      </c>
      <c r="O38" s="79"/>
      <c r="P38" s="79"/>
      <c r="Q38" s="79"/>
      <c r="R38" s="79"/>
      <c r="S38" s="79"/>
      <c r="T38" s="79"/>
      <c r="U38" s="79"/>
      <c r="V38" s="79">
        <f>SUM(Tabla523[[#This Row],[N 2 kg]:[N 500 gr]])</f>
        <v>0</v>
      </c>
      <c r="W38" s="85"/>
    </row>
    <row r="39" spans="1:23" outlineLevel="1" x14ac:dyDescent="0.25">
      <c r="A39" s="374"/>
      <c r="B39" s="83" t="str">
        <f>[1]Personas!A36</f>
        <v>Cata</v>
      </c>
      <c r="C39" s="74" t="str">
        <f>[1]Personas!B36</f>
        <v>Izcue</v>
      </c>
      <c r="D39" s="74" t="str">
        <f>[1]Personas!C36</f>
        <v>Los Pumas 11996</v>
      </c>
      <c r="E39" s="74" t="str">
        <f>[1]Personas!D36</f>
        <v>Las Condes</v>
      </c>
      <c r="F39" s="74" t="str">
        <f>[1]Personas!E36</f>
        <v>San Carlos</v>
      </c>
      <c r="G39" s="74" t="str">
        <f>[1]Personas!F36</f>
        <v>Los Andes</v>
      </c>
      <c r="H39" s="74" t="str">
        <f>[1]Personas!G36</f>
        <v>JEFE</v>
      </c>
      <c r="I39" s="80">
        <f>[1]Personas!H36</f>
        <v>56995952212</v>
      </c>
      <c r="J39" s="42" t="str">
        <f>[1]Personas!I36</f>
        <v>cataizcue@gmail.com</v>
      </c>
      <c r="K39" s="42" t="str">
        <f>[1]Personas!J36</f>
        <v>Lukas Quense</v>
      </c>
      <c r="L39" s="79"/>
      <c r="M39" s="79"/>
      <c r="N39" s="74">
        <f>SUMPRODUCT(Tabla523[[#This Row],[N 2 kg]:[N 500 gr]],O$82:U$82)</f>
        <v>0</v>
      </c>
      <c r="O39" s="79"/>
      <c r="P39" s="79"/>
      <c r="Q39" s="79"/>
      <c r="R39" s="79"/>
      <c r="S39" s="79"/>
      <c r="T39" s="79"/>
      <c r="U39" s="79"/>
      <c r="V39" s="79">
        <f>SUM(Tabla523[[#This Row],[N 2 kg]:[N 500 gr]])</f>
        <v>0</v>
      </c>
      <c r="W39" s="85"/>
    </row>
    <row r="40" spans="1:23" outlineLevel="1" x14ac:dyDescent="0.25">
      <c r="A40" s="374"/>
      <c r="B40" s="83" t="str">
        <f>[1]Personas!A37</f>
        <v>Margarita</v>
      </c>
      <c r="C40" s="74" t="str">
        <f>[1]Personas!B37</f>
        <v>Joglar</v>
      </c>
      <c r="D40" s="74" t="str">
        <f>[1]Personas!C37</f>
        <v>Camino Los Trapenses 4860 Casa 9</v>
      </c>
      <c r="E40" s="74" t="str">
        <f>[1]Personas!D37</f>
        <v>Lo Barnechea</v>
      </c>
      <c r="F40" s="74" t="str">
        <f>[1]Personas!E37</f>
        <v>Los Trapenses</v>
      </c>
      <c r="G40" s="74">
        <f>[1]Personas!F37</f>
        <v>0</v>
      </c>
      <c r="H40" s="74" t="str">
        <f>[1]Personas!G37</f>
        <v>JEFE</v>
      </c>
      <c r="I40" s="80">
        <f>[1]Personas!H37</f>
        <v>56963124612</v>
      </c>
      <c r="J40" s="42" t="str">
        <f>[1]Personas!I37</f>
        <v>magui.joglar22@gmail.com</v>
      </c>
      <c r="K40" s="42" t="str">
        <f>[1]Personas!J37</f>
        <v>Lukas Quense</v>
      </c>
      <c r="L40" s="79"/>
      <c r="M40" s="79"/>
      <c r="N40" s="74">
        <f>SUMPRODUCT(Tabla523[[#This Row],[N 2 kg]:[N 500 gr]],O$82:U$82)</f>
        <v>0</v>
      </c>
      <c r="O40" s="79"/>
      <c r="P40" s="79"/>
      <c r="Q40" s="79"/>
      <c r="R40" s="79"/>
      <c r="S40" s="79"/>
      <c r="T40" s="79"/>
      <c r="U40" s="79"/>
      <c r="V40" s="79">
        <f>SUM(Tabla523[[#This Row],[N 2 kg]:[N 500 gr]])</f>
        <v>0</v>
      </c>
      <c r="W40" s="85"/>
    </row>
    <row r="41" spans="1:23" outlineLevel="1" x14ac:dyDescent="0.25">
      <c r="A41" s="374"/>
      <c r="B41" s="83" t="str">
        <f>[1]Personas!A38</f>
        <v>Ric</v>
      </c>
      <c r="C41" s="74" t="str">
        <f>[1]Personas!B38</f>
        <v>Jungk</v>
      </c>
      <c r="D41" s="74" t="str">
        <f>[1]Personas!C38</f>
        <v>Pasaje Pie Andino 4209A</v>
      </c>
      <c r="E41" s="74" t="str">
        <f>[1]Personas!D38</f>
        <v>Lo Barnechea</v>
      </c>
      <c r="F41" s="74" t="str">
        <f>[1]Personas!E38</f>
        <v>La Dehesa</v>
      </c>
      <c r="G41" s="74" t="str">
        <f>[1]Personas!F38</f>
        <v>UAndes</v>
      </c>
      <c r="H41" s="74" t="str">
        <f>[1]Personas!G38</f>
        <v>JEFE</v>
      </c>
      <c r="I41" s="80">
        <f>[1]Personas!H38</f>
        <v>56966477967</v>
      </c>
      <c r="J41" s="42" t="str">
        <f>[1]Personas!I38</f>
        <v>rtjungk@miuandes.cl</v>
      </c>
      <c r="K41" s="42" t="str">
        <f>[1]Personas!J38</f>
        <v>Ignacio Castañeda</v>
      </c>
      <c r="L41" s="79"/>
      <c r="M41" s="79"/>
      <c r="N41" s="74">
        <f>SUMPRODUCT(Tabla523[[#This Row],[N 2 kg]:[N 500 gr]],O$82:U$82)</f>
        <v>0</v>
      </c>
      <c r="O41" s="79"/>
      <c r="P41" s="79"/>
      <c r="Q41" s="79"/>
      <c r="R41" s="79"/>
      <c r="S41" s="79"/>
      <c r="T41" s="79"/>
      <c r="U41" s="79"/>
      <c r="V41" s="79">
        <f>SUM(Tabla523[[#This Row],[N 2 kg]:[N 500 gr]])</f>
        <v>0</v>
      </c>
      <c r="W41" s="85"/>
    </row>
    <row r="42" spans="1:23" outlineLevel="1" x14ac:dyDescent="0.25">
      <c r="A42" s="374"/>
      <c r="B42" s="83" t="str">
        <f>[1]Personas!A39</f>
        <v>Matias</v>
      </c>
      <c r="C42" s="74" t="str">
        <f>[1]Personas!B39</f>
        <v>Krumm</v>
      </c>
      <c r="D42" s="74" t="str">
        <f>[1]Personas!C39</f>
        <v>La Cienaga 12315</v>
      </c>
      <c r="E42" s="74" t="str">
        <f>[1]Personas!D39</f>
        <v>Lo Barnechea</v>
      </c>
      <c r="F42" s="74" t="str">
        <f>[1]Personas!E39</f>
        <v>La Dehesa</v>
      </c>
      <c r="G42" s="74" t="str">
        <f>[1]Personas!F39</f>
        <v>UAI</v>
      </c>
      <c r="H42" s="74" t="str">
        <f>[1]Personas!G39</f>
        <v>JEFE</v>
      </c>
      <c r="I42" s="80">
        <f>[1]Personas!H39</f>
        <v>56988587944</v>
      </c>
      <c r="J42" s="42" t="str">
        <f>[1]Personas!I39</f>
        <v>matiask7@gmail.com</v>
      </c>
      <c r="K42" s="42" t="str">
        <f>[1]Personas!J39</f>
        <v>Lukas Quense</v>
      </c>
      <c r="L42" s="79"/>
      <c r="M42" s="79"/>
      <c r="N42" s="74">
        <f>SUMPRODUCT(Tabla523[[#This Row],[N 2 kg]:[N 500 gr]],O$82:U$82)</f>
        <v>0</v>
      </c>
      <c r="O42" s="79"/>
      <c r="P42" s="79"/>
      <c r="Q42" s="79"/>
      <c r="R42" s="79"/>
      <c r="S42" s="79"/>
      <c r="T42" s="79"/>
      <c r="U42" s="79"/>
      <c r="V42" s="79">
        <f>SUM(Tabla523[[#This Row],[N 2 kg]:[N 500 gr]])</f>
        <v>0</v>
      </c>
      <c r="W42" s="85"/>
    </row>
    <row r="43" spans="1:23" outlineLevel="1" x14ac:dyDescent="0.25">
      <c r="A43" s="374"/>
      <c r="B43" s="83" t="str">
        <f>[1]Personas!A40</f>
        <v>Juan Diego</v>
      </c>
      <c r="C43" s="74" t="str">
        <f>[1]Personas!B40</f>
        <v>Lyon</v>
      </c>
      <c r="D43" s="74" t="str">
        <f>[1]Personas!C40</f>
        <v>Las Hualtatas 10725</v>
      </c>
      <c r="E43" s="74" t="str">
        <f>[1]Personas!D40</f>
        <v>Vitacura</v>
      </c>
      <c r="F43" s="74" t="str">
        <f>[1]Personas!E40</f>
        <v>Estoril</v>
      </c>
      <c r="G43" s="74" t="str">
        <f>[1]Personas!F40</f>
        <v>UAndes</v>
      </c>
      <c r="H43" s="74" t="str">
        <f>[1]Personas!G40</f>
        <v>JEFE</v>
      </c>
      <c r="I43" s="80">
        <f>[1]Personas!H40</f>
        <v>56977684576</v>
      </c>
      <c r="J43" s="42" t="str">
        <f>[1]Personas!I40</f>
        <v>juandiegolyon@gmail.com</v>
      </c>
      <c r="K43" s="42" t="str">
        <f>[1]Personas!J40</f>
        <v>Joaquin Eichholz</v>
      </c>
      <c r="L43" s="79"/>
      <c r="M43" s="79"/>
      <c r="N43" s="74">
        <f>SUMPRODUCT(Tabla523[[#This Row],[N 2 kg]:[N 500 gr]],O$82:U$82)</f>
        <v>0</v>
      </c>
      <c r="O43" s="79"/>
      <c r="P43" s="79"/>
      <c r="Q43" s="79"/>
      <c r="R43" s="79"/>
      <c r="S43" s="79"/>
      <c r="T43" s="79"/>
      <c r="U43" s="79"/>
      <c r="V43" s="79">
        <f>SUM(Tabla523[[#This Row],[N 2 kg]:[N 500 gr]])</f>
        <v>0</v>
      </c>
      <c r="W43" s="85"/>
    </row>
    <row r="44" spans="1:23" outlineLevel="1" x14ac:dyDescent="0.25">
      <c r="A44" s="374"/>
      <c r="B44" s="83" t="str">
        <f>[1]Personas!A41</f>
        <v>Bernardita</v>
      </c>
      <c r="C44" s="74" t="str">
        <f>[1]Personas!B41</f>
        <v>Mackenney</v>
      </c>
      <c r="D44" s="74" t="str">
        <f>[1]Personas!C41</f>
        <v>La Fontana 11221</v>
      </c>
      <c r="E44" s="74" t="str">
        <f>[1]Personas!D41</f>
        <v>Las Condes</v>
      </c>
      <c r="F44" s="74" t="str">
        <f>[1]Personas!E41</f>
        <v>San Carlos</v>
      </c>
      <c r="G44" s="74" t="str">
        <f>[1]Personas!F41</f>
        <v>UC</v>
      </c>
      <c r="H44" s="74" t="str">
        <f>[1]Personas!G41</f>
        <v>JEFE</v>
      </c>
      <c r="I44" s="80">
        <f>[1]Personas!H41</f>
        <v>56978785698</v>
      </c>
      <c r="J44" s="42" t="str">
        <f>[1]Personas!I41</f>
        <v>bmackenney@uc.cl</v>
      </c>
      <c r="K44" s="42" t="str">
        <f>[1]Personas!J41</f>
        <v>Joaquin Eichholz</v>
      </c>
      <c r="L44" s="79"/>
      <c r="M44" s="79"/>
      <c r="N44" s="74">
        <f>SUMPRODUCT(Tabla523[[#This Row],[N 2 kg]:[N 500 gr]],O$82:U$82)</f>
        <v>0</v>
      </c>
      <c r="O44" s="79"/>
      <c r="P44" s="79"/>
      <c r="Q44" s="79"/>
      <c r="R44" s="79"/>
      <c r="S44" s="79"/>
      <c r="T44" s="79"/>
      <c r="U44" s="79"/>
      <c r="V44" s="79">
        <f>SUM(Tabla523[[#This Row],[N 2 kg]:[N 500 gr]])</f>
        <v>0</v>
      </c>
      <c r="W44" s="85"/>
    </row>
    <row r="45" spans="1:23" outlineLevel="1" x14ac:dyDescent="0.25">
      <c r="A45" s="374"/>
      <c r="B45" s="83" t="str">
        <f>[1]Personas!A42</f>
        <v>Michella</v>
      </c>
      <c r="C45" s="74" t="str">
        <f>[1]Personas!B42</f>
        <v>Mascarello</v>
      </c>
      <c r="D45" s="74" t="str">
        <f>[1]Personas!C42</f>
        <v>Quinchamali 14336</v>
      </c>
      <c r="E45" s="74" t="str">
        <f>[1]Personas!D42</f>
        <v>Las Condes</v>
      </c>
      <c r="F45" s="74" t="str">
        <f>[1]Personas!E42</f>
        <v>Quinchamali</v>
      </c>
      <c r="G45" s="74" t="str">
        <f>[1]Personas!F42</f>
        <v>UC</v>
      </c>
      <c r="H45" s="74" t="str">
        <f>[1]Personas!G42</f>
        <v>JEFE</v>
      </c>
      <c r="I45" s="80">
        <f>[1]Personas!H42</f>
        <v>56979878976</v>
      </c>
      <c r="J45" s="42" t="str">
        <f>[1]Personas!I42</f>
        <v>miki.mascarello@gmail.com</v>
      </c>
      <c r="K45" s="42" t="str">
        <f>[1]Personas!J42</f>
        <v>Joaquin Eichholz</v>
      </c>
      <c r="L45" s="79"/>
      <c r="M45" s="79"/>
      <c r="N45" s="74">
        <f>SUMPRODUCT(Tabla523[[#This Row],[N 2 kg]:[N 500 gr]],O$82:U$82)</f>
        <v>0</v>
      </c>
      <c r="O45" s="79"/>
      <c r="P45" s="79"/>
      <c r="Q45" s="79"/>
      <c r="R45" s="79"/>
      <c r="S45" s="79"/>
      <c r="T45" s="79"/>
      <c r="U45" s="79"/>
      <c r="V45" s="79">
        <f>SUM(Tabla523[[#This Row],[N 2 kg]:[N 500 gr]])</f>
        <v>0</v>
      </c>
      <c r="W45" s="85"/>
    </row>
    <row r="46" spans="1:23" outlineLevel="1" x14ac:dyDescent="0.25">
      <c r="A46" s="374"/>
      <c r="B46" s="83" t="str">
        <f>[1]Personas!A43</f>
        <v>Vicente</v>
      </c>
      <c r="C46" s="74" t="str">
        <f>[1]Personas!B43</f>
        <v>Mayol</v>
      </c>
      <c r="D46" s="74" t="str">
        <f>[1]Personas!C43</f>
        <v>Paseo Pie Andino 6500 Casa O</v>
      </c>
      <c r="E46" s="74" t="str">
        <f>[1]Personas!D43</f>
        <v>Lo Barnechea</v>
      </c>
      <c r="F46" s="74" t="str">
        <f>[1]Personas!E43</f>
        <v>Los Trapenses</v>
      </c>
      <c r="G46" s="74" t="str">
        <f>[1]Personas!F43</f>
        <v>Monte Tabor</v>
      </c>
      <c r="H46" s="74" t="str">
        <f>[1]Personas!G43</f>
        <v>JEFE</v>
      </c>
      <c r="I46" s="80">
        <f>[1]Personas!H43</f>
        <v>56978189115</v>
      </c>
      <c r="J46" s="42" t="str">
        <f>[1]Personas!I43</f>
        <v>vmayol@live.cl</v>
      </c>
      <c r="K46" s="42" t="str">
        <f>[1]Personas!J43</f>
        <v>Lukas Quense</v>
      </c>
      <c r="L46" s="79"/>
      <c r="M46" s="79"/>
      <c r="N46" s="74">
        <f>SUMPRODUCT(Tabla523[[#This Row],[N 2 kg]:[N 500 gr]],O$82:U$82)</f>
        <v>0</v>
      </c>
      <c r="O46" s="79"/>
      <c r="P46" s="79"/>
      <c r="Q46" s="79"/>
      <c r="R46" s="79"/>
      <c r="S46" s="79"/>
      <c r="T46" s="79"/>
      <c r="U46" s="79"/>
      <c r="V46" s="79">
        <f>SUM(Tabla523[[#This Row],[N 2 kg]:[N 500 gr]])</f>
        <v>0</v>
      </c>
      <c r="W46" s="85"/>
    </row>
    <row r="47" spans="1:23" outlineLevel="1" x14ac:dyDescent="0.25">
      <c r="A47" s="374"/>
      <c r="B47" s="83" t="str">
        <f>[1]Personas!A44</f>
        <v>Jesu</v>
      </c>
      <c r="C47" s="74" t="str">
        <f>[1]Personas!B44</f>
        <v>Mckay</v>
      </c>
      <c r="D47" s="74" t="str">
        <f>[1]Personas!C44</f>
        <v>Blvd Jardin De Los Pajaros 4700 Casa 5</v>
      </c>
      <c r="E47" s="74" t="str">
        <f>[1]Personas!D44</f>
        <v>Lo Barnechea</v>
      </c>
      <c r="F47" s="74" t="str">
        <f>[1]Personas!E44</f>
        <v>Los Trapenses</v>
      </c>
      <c r="G47" s="74" t="str">
        <f>[1]Personas!F44</f>
        <v>CLA</v>
      </c>
      <c r="H47" s="74" t="str">
        <f>[1]Personas!G44</f>
        <v>JEFE</v>
      </c>
      <c r="I47" s="80">
        <f>[1]Personas!H44</f>
        <v>56971837517</v>
      </c>
      <c r="J47" s="42" t="str">
        <f>[1]Personas!I44</f>
        <v>jesumckayg@hotmail.com</v>
      </c>
      <c r="K47" s="42" t="str">
        <f>[1]Personas!J44</f>
        <v>Joaquin Eichholz</v>
      </c>
      <c r="L47" s="79"/>
      <c r="M47" s="79"/>
      <c r="N47" s="74">
        <f>SUMPRODUCT(Tabla523[[#This Row],[N 2 kg]:[N 500 gr]],O$82:U$82)</f>
        <v>0</v>
      </c>
      <c r="O47" s="79"/>
      <c r="P47" s="79"/>
      <c r="Q47" s="79"/>
      <c r="R47" s="79"/>
      <c r="S47" s="79"/>
      <c r="T47" s="79"/>
      <c r="U47" s="79"/>
      <c r="V47" s="79">
        <f>SUM(Tabla523[[#This Row],[N 2 kg]:[N 500 gr]])</f>
        <v>0</v>
      </c>
      <c r="W47" s="85"/>
    </row>
    <row r="48" spans="1:23" outlineLevel="1" x14ac:dyDescent="0.25">
      <c r="A48" s="374"/>
      <c r="B48" s="83" t="str">
        <f>[1]Personas!A45</f>
        <v>Ignacio</v>
      </c>
      <c r="C48" s="74" t="str">
        <f>[1]Personas!B45</f>
        <v>Montt</v>
      </c>
      <c r="D48" s="74" t="str">
        <f>[1]Personas!C45</f>
        <v>Rio Maule 475</v>
      </c>
      <c r="E48" s="74" t="str">
        <f>[1]Personas!D45</f>
        <v>Las Condes</v>
      </c>
      <c r="F48" s="74" t="str">
        <f>[1]Personas!E45</f>
        <v>Estoril</v>
      </c>
      <c r="G48" s="74">
        <f>[1]Personas!F45</f>
        <v>0</v>
      </c>
      <c r="H48" s="74" t="str">
        <f>[1]Personas!G45</f>
        <v>JEFE</v>
      </c>
      <c r="I48" s="80">
        <f>[1]Personas!H45</f>
        <v>56954243532</v>
      </c>
      <c r="J48" s="42" t="str">
        <f>[1]Personas!I45</f>
        <v>imontt@miuandes.cl</v>
      </c>
      <c r="K48" s="42" t="str">
        <f>[1]Personas!J45</f>
        <v>Joaquin Eichholz</v>
      </c>
      <c r="L48" s="79"/>
      <c r="M48" s="79"/>
      <c r="N48" s="74">
        <f>SUMPRODUCT(Tabla523[[#This Row],[N 2 kg]:[N 500 gr]],O$82:U$82)</f>
        <v>0</v>
      </c>
      <c r="O48" s="79"/>
      <c r="P48" s="79"/>
      <c r="Q48" s="79"/>
      <c r="R48" s="79"/>
      <c r="S48" s="79"/>
      <c r="T48" s="79"/>
      <c r="U48" s="79"/>
      <c r="V48" s="79">
        <f>SUM(Tabla523[[#This Row],[N 2 kg]:[N 500 gr]])</f>
        <v>0</v>
      </c>
      <c r="W48" s="85"/>
    </row>
    <row r="49" spans="1:23" outlineLevel="1" x14ac:dyDescent="0.25">
      <c r="A49" s="374"/>
      <c r="B49" s="83" t="str">
        <f>[1]Personas!A46</f>
        <v>Ignacio</v>
      </c>
      <c r="C49" s="74" t="str">
        <f>[1]Personas!B46</f>
        <v>Morales</v>
      </c>
      <c r="D49" s="74" t="str">
        <f>[1]Personas!C46</f>
        <v>Cristobal Colon 4696 Dpto 1403</v>
      </c>
      <c r="E49" s="74" t="str">
        <f>[1]Personas!D46</f>
        <v>Las Condes</v>
      </c>
      <c r="F49" s="74" t="str">
        <f>[1]Personas!E46</f>
        <v>Colon</v>
      </c>
      <c r="G49" s="74" t="str">
        <f>[1]Personas!F46</f>
        <v>UC</v>
      </c>
      <c r="H49" s="74" t="str">
        <f>[1]Personas!G46</f>
        <v>JEFE</v>
      </c>
      <c r="I49" s="80">
        <f>[1]Personas!H46</f>
        <v>56993024442</v>
      </c>
      <c r="J49" s="42" t="str">
        <f>[1]Personas!I46</f>
        <v>ibmorales@uc.cl</v>
      </c>
      <c r="K49" s="42" t="str">
        <f>[1]Personas!J46</f>
        <v>Lukas Quense</v>
      </c>
      <c r="L49" s="79"/>
      <c r="M49" s="79"/>
      <c r="N49" s="74">
        <f>SUMPRODUCT(Tabla523[[#This Row],[N 2 kg]:[N 500 gr]],O$82:U$82)</f>
        <v>0</v>
      </c>
      <c r="O49" s="79"/>
      <c r="P49" s="79"/>
      <c r="Q49" s="79"/>
      <c r="R49" s="79"/>
      <c r="S49" s="79"/>
      <c r="T49" s="79"/>
      <c r="U49" s="79"/>
      <c r="V49" s="79">
        <f>SUM(Tabla523[[#This Row],[N 2 kg]:[N 500 gr]])</f>
        <v>0</v>
      </c>
      <c r="W49" s="85"/>
    </row>
    <row r="50" spans="1:23" outlineLevel="1" x14ac:dyDescent="0.25">
      <c r="A50" s="374"/>
      <c r="B50" s="83" t="str">
        <f>[1]Personas!A47</f>
        <v>Rodrigo</v>
      </c>
      <c r="C50" s="74" t="str">
        <f>[1]Personas!B47</f>
        <v>Morales</v>
      </c>
      <c r="D50" s="74" t="str">
        <f>[1]Personas!C47</f>
        <v>Los Trapenses 3230</v>
      </c>
      <c r="E50" s="74" t="str">
        <f>[1]Personas!D47</f>
        <v>Lo Barnechea</v>
      </c>
      <c r="F50" s="74" t="str">
        <f>[1]Personas!E47</f>
        <v>Los Trapenses</v>
      </c>
      <c r="G50" s="74" t="str">
        <f>[1]Personas!F47</f>
        <v>UDD</v>
      </c>
      <c r="H50" s="74" t="str">
        <f>[1]Personas!G47</f>
        <v>JEFE</v>
      </c>
      <c r="I50" s="80">
        <f>[1]Personas!H47</f>
        <v>56975684552</v>
      </c>
      <c r="J50" s="42" t="str">
        <f>[1]Personas!I47</f>
        <v>morales.villar25@gmail.com</v>
      </c>
      <c r="K50" s="42" t="str">
        <f>[1]Personas!J47</f>
        <v>Ignacio Castañeda</v>
      </c>
      <c r="L50" s="79"/>
      <c r="M50" s="79"/>
      <c r="N50" s="74">
        <f>SUMPRODUCT(Tabla523[[#This Row],[N 2 kg]:[N 500 gr]],O$82:U$82)</f>
        <v>0</v>
      </c>
      <c r="O50" s="79"/>
      <c r="P50" s="79"/>
      <c r="Q50" s="79"/>
      <c r="R50" s="79"/>
      <c r="S50" s="79"/>
      <c r="T50" s="79"/>
      <c r="U50" s="79"/>
      <c r="V50" s="79">
        <f>SUM(Tabla523[[#This Row],[N 2 kg]:[N 500 gr]])</f>
        <v>0</v>
      </c>
      <c r="W50" s="85"/>
    </row>
    <row r="51" spans="1:23" outlineLevel="1" x14ac:dyDescent="0.25">
      <c r="A51" s="374"/>
      <c r="B51" s="83" t="str">
        <f>[1]Personas!A48</f>
        <v>Josefina</v>
      </c>
      <c r="C51" s="74" t="str">
        <f>[1]Personas!B48</f>
        <v>Nazer</v>
      </c>
      <c r="D51" s="74" t="str">
        <f>[1]Personas!C48</f>
        <v>Camino del ayuntamiento 2087</v>
      </c>
      <c r="E51" s="74" t="str">
        <f>[1]Personas!D48</f>
        <v>Lo Barnechea</v>
      </c>
      <c r="F51" s="74" t="str">
        <f>[1]Personas!E48</f>
        <v>La Dehesa</v>
      </c>
      <c r="G51" s="74" t="str">
        <f>[1]Personas!F48</f>
        <v>Newland</v>
      </c>
      <c r="H51" s="74" t="str">
        <f>[1]Personas!G48</f>
        <v>JEFE</v>
      </c>
      <c r="I51" s="80">
        <f>[1]Personas!H48</f>
        <v>56998246537</v>
      </c>
      <c r="J51" s="42" t="str">
        <f>[1]Personas!I48</f>
        <v>cotenazer@hotmail.com</v>
      </c>
      <c r="K51" s="42" t="str">
        <f>[1]Personas!J48</f>
        <v>Joaquin Eichholz</v>
      </c>
      <c r="L51" s="79"/>
      <c r="M51" s="79"/>
      <c r="N51" s="74">
        <f>SUMPRODUCT(Tabla523[[#This Row],[N 2 kg]:[N 500 gr]],O$82:U$82)</f>
        <v>0</v>
      </c>
      <c r="O51" s="79"/>
      <c r="P51" s="79"/>
      <c r="Q51" s="79"/>
      <c r="R51" s="79"/>
      <c r="S51" s="79"/>
      <c r="T51" s="79"/>
      <c r="U51" s="79"/>
      <c r="V51" s="79">
        <f>SUM(Tabla523[[#This Row],[N 2 kg]:[N 500 gr]])</f>
        <v>0</v>
      </c>
      <c r="W51" s="85"/>
    </row>
    <row r="52" spans="1:23" outlineLevel="1" x14ac:dyDescent="0.25">
      <c r="A52" s="374"/>
      <c r="B52" s="83" t="str">
        <f>[1]Personas!A49</f>
        <v>Raimundo</v>
      </c>
      <c r="C52" s="74" t="str">
        <f>[1]Personas!B49</f>
        <v>Opazo</v>
      </c>
      <c r="D52" s="74" t="str">
        <f>[1]Personas!C49</f>
        <v>Av Contralmirante Fernandez Vial 10455</v>
      </c>
      <c r="E52" s="74" t="str">
        <f>[1]Personas!D49</f>
        <v>Lo Barnechea</v>
      </c>
      <c r="F52" s="74" t="str">
        <f>[1]Personas!E49</f>
        <v>Los Trapenses</v>
      </c>
      <c r="G52" s="74" t="str">
        <f>[1]Personas!F49</f>
        <v>Monte Tabor</v>
      </c>
      <c r="H52" s="74" t="str">
        <f>[1]Personas!G49</f>
        <v>JEFE</v>
      </c>
      <c r="I52" s="80">
        <f>[1]Personas!H49</f>
        <v>56952304675</v>
      </c>
      <c r="J52" s="42" t="str">
        <f>[1]Personas!I49</f>
        <v>opazoraimundo@gmail.com</v>
      </c>
      <c r="K52" s="42" t="str">
        <f>[1]Personas!J49</f>
        <v>Lukas Quense</v>
      </c>
      <c r="L52" s="79"/>
      <c r="M52" s="79"/>
      <c r="N52" s="74">
        <f>SUMPRODUCT(Tabla523[[#This Row],[N 2 kg]:[N 500 gr]],O$82:U$82)</f>
        <v>0</v>
      </c>
      <c r="O52" s="79"/>
      <c r="P52" s="79"/>
      <c r="Q52" s="79"/>
      <c r="R52" s="79"/>
      <c r="S52" s="79"/>
      <c r="T52" s="79"/>
      <c r="U52" s="79"/>
      <c r="V52" s="79">
        <f>SUM(Tabla523[[#This Row],[N 2 kg]:[N 500 gr]])</f>
        <v>0</v>
      </c>
      <c r="W52" s="85"/>
    </row>
    <row r="53" spans="1:23" outlineLevel="1" x14ac:dyDescent="0.25">
      <c r="A53" s="374"/>
      <c r="B53" s="83" t="str">
        <f>[1]Personas!A50</f>
        <v>Vicente</v>
      </c>
      <c r="C53" s="74" t="str">
        <f>[1]Personas!B50</f>
        <v>Opazo</v>
      </c>
      <c r="D53" s="74" t="str">
        <f>[1]Personas!C50</f>
        <v>Av Contralmirante Fernandez Vial 10455</v>
      </c>
      <c r="E53" s="74" t="str">
        <f>[1]Personas!D50</f>
        <v>Lo Barnechea</v>
      </c>
      <c r="F53" s="74" t="str">
        <f>[1]Personas!E50</f>
        <v>Los Trapenses</v>
      </c>
      <c r="G53" s="74" t="str">
        <f>[1]Personas!F50</f>
        <v>Monte Tabor</v>
      </c>
      <c r="H53" s="74" t="str">
        <f>[1]Personas!G50</f>
        <v>JEFE</v>
      </c>
      <c r="I53" s="80">
        <f>[1]Personas!H50</f>
        <v>56994178481</v>
      </c>
      <c r="J53" s="42" t="str">
        <f>[1]Personas!I50</f>
        <v>vicente.opazo2005@gmail.com</v>
      </c>
      <c r="K53" s="42" t="str">
        <f>[1]Personas!J50</f>
        <v>Lukas Quense</v>
      </c>
      <c r="L53" s="79"/>
      <c r="M53" s="79"/>
      <c r="N53" s="74">
        <f>SUMPRODUCT(Tabla523[[#This Row],[N 2 kg]:[N 500 gr]],O$82:U$82)</f>
        <v>0</v>
      </c>
      <c r="O53" s="79"/>
      <c r="P53" s="79"/>
      <c r="Q53" s="79"/>
      <c r="R53" s="79"/>
      <c r="S53" s="79"/>
      <c r="T53" s="79"/>
      <c r="U53" s="79"/>
      <c r="V53" s="79">
        <f>SUM(Tabla523[[#This Row],[N 2 kg]:[N 500 gr]])</f>
        <v>0</v>
      </c>
      <c r="W53" s="85"/>
    </row>
    <row r="54" spans="1:23" outlineLevel="1" x14ac:dyDescent="0.25">
      <c r="A54" s="374"/>
      <c r="B54" s="83" t="str">
        <f>[1]Personas!A51</f>
        <v>Trinidad</v>
      </c>
      <c r="C54" s="74" t="str">
        <f>[1]Personas!B51</f>
        <v>Ossa</v>
      </c>
      <c r="D54" s="74" t="str">
        <f>[1]Personas!C51</f>
        <v>Escribano Diego Rutal 2471</v>
      </c>
      <c r="E54" s="74" t="str">
        <f>[1]Personas!D51</f>
        <v>Vitacura</v>
      </c>
      <c r="F54" s="74" t="str">
        <f>[1]Personas!E51</f>
        <v>Vespucio</v>
      </c>
      <c r="G54" s="74">
        <f>[1]Personas!F51</f>
        <v>0</v>
      </c>
      <c r="H54" s="74" t="str">
        <f>[1]Personas!G51</f>
        <v>JEFE</v>
      </c>
      <c r="I54" s="80">
        <f>[1]Personas!H51</f>
        <v>56978647106</v>
      </c>
      <c r="J54" s="42" t="str">
        <f>[1]Personas!I51</f>
        <v>trinidadossag@gmail.com</v>
      </c>
      <c r="K54" s="42" t="str">
        <f>[1]Personas!J51</f>
        <v>Ignacio Castañeda</v>
      </c>
      <c r="L54" s="79"/>
      <c r="M54" s="79"/>
      <c r="N54" s="74">
        <f>SUMPRODUCT(Tabla523[[#This Row],[N 2 kg]:[N 500 gr]],O$82:U$82)</f>
        <v>0</v>
      </c>
      <c r="O54" s="79"/>
      <c r="P54" s="79"/>
      <c r="Q54" s="79"/>
      <c r="R54" s="79"/>
      <c r="S54" s="79"/>
      <c r="T54" s="79"/>
      <c r="U54" s="79"/>
      <c r="V54" s="79">
        <f>SUM(Tabla523[[#This Row],[N 2 kg]:[N 500 gr]])</f>
        <v>0</v>
      </c>
      <c r="W54" s="85"/>
    </row>
    <row r="55" spans="1:23" outlineLevel="1" x14ac:dyDescent="0.25">
      <c r="A55" s="374"/>
      <c r="B55" s="83" t="str">
        <f>[1]Personas!A52</f>
        <v>Sofia</v>
      </c>
      <c r="C55" s="74" t="str">
        <f>[1]Personas!B52</f>
        <v>Ovalle</v>
      </c>
      <c r="D55" s="74" t="str">
        <f>[1]Personas!C52</f>
        <v>Manuel Guzman Maturana 1900 Casa 9</v>
      </c>
      <c r="E55" s="74" t="str">
        <f>[1]Personas!D52</f>
        <v>Lo Barnechea</v>
      </c>
      <c r="F55" s="74" t="str">
        <f>[1]Personas!E52</f>
        <v>Los Trapenses</v>
      </c>
      <c r="G55" s="74" t="str">
        <f>[1]Personas!F52</f>
        <v>UDD</v>
      </c>
      <c r="H55" s="74" t="str">
        <f>[1]Personas!G52</f>
        <v>JEFE</v>
      </c>
      <c r="I55" s="80">
        <f>[1]Personas!H52</f>
        <v>56987143347</v>
      </c>
      <c r="J55" s="42" t="str">
        <f>[1]Personas!I52</f>
        <v>maovallel@udd.cl</v>
      </c>
      <c r="K55" s="42" t="str">
        <f>[1]Personas!J52</f>
        <v>Lukas Quense</v>
      </c>
      <c r="L55" s="79"/>
      <c r="M55" s="79"/>
      <c r="N55" s="74">
        <f>SUMPRODUCT(Tabla523[[#This Row],[N 2 kg]:[N 500 gr]],O$82:U$82)</f>
        <v>0</v>
      </c>
      <c r="O55" s="79"/>
      <c r="P55" s="79"/>
      <c r="Q55" s="79"/>
      <c r="R55" s="79"/>
      <c r="S55" s="79"/>
      <c r="T55" s="79"/>
      <c r="U55" s="79"/>
      <c r="V55" s="79">
        <f>SUM(Tabla523[[#This Row],[N 2 kg]:[N 500 gr]])</f>
        <v>0</v>
      </c>
      <c r="W55" s="85"/>
    </row>
    <row r="56" spans="1:23" outlineLevel="1" x14ac:dyDescent="0.25">
      <c r="A56" s="374"/>
      <c r="B56" s="83" t="str">
        <f>[1]Personas!A53</f>
        <v>Francesco</v>
      </c>
      <c r="C56" s="74" t="str">
        <f>[1]Personas!B53</f>
        <v>Pamparana</v>
      </c>
      <c r="D56" s="74" t="str">
        <f>[1]Personas!C53</f>
        <v>Parque Las Garzas 16, Condominio Las Banadadas</v>
      </c>
      <c r="E56" s="74" t="str">
        <f>[1]Personas!D53</f>
        <v>Chicureo</v>
      </c>
      <c r="F56" s="74" t="str">
        <f>[1]Personas!E53</f>
        <v>Piedra Roja</v>
      </c>
      <c r="G56" s="74" t="str">
        <f>[1]Personas!F53</f>
        <v>UDD</v>
      </c>
      <c r="H56" s="74" t="str">
        <f>[1]Personas!G53</f>
        <v>JEFE</v>
      </c>
      <c r="I56" s="80">
        <f>[1]Personas!H53</f>
        <v>56984695829</v>
      </c>
      <c r="J56" s="42" t="str">
        <f>[1]Personas!I53</f>
        <v>pancho.pamparana@gmail.com</v>
      </c>
      <c r="K56" s="42" t="str">
        <f>[1]Personas!J53</f>
        <v>Lukas Quense</v>
      </c>
      <c r="L56" s="79"/>
      <c r="M56" s="79"/>
      <c r="N56" s="74">
        <f>SUMPRODUCT(Tabla523[[#This Row],[N 2 kg]:[N 500 gr]],O$82:U$82)</f>
        <v>0</v>
      </c>
      <c r="O56" s="79"/>
      <c r="P56" s="79"/>
      <c r="Q56" s="79"/>
      <c r="R56" s="79"/>
      <c r="S56" s="79"/>
      <c r="T56" s="79"/>
      <c r="U56" s="79"/>
      <c r="V56" s="79">
        <f>SUM(Tabla523[[#This Row],[N 2 kg]:[N 500 gr]])</f>
        <v>0</v>
      </c>
      <c r="W56" s="85"/>
    </row>
    <row r="57" spans="1:23" outlineLevel="1" x14ac:dyDescent="0.25">
      <c r="A57" s="374"/>
      <c r="B57" s="83" t="str">
        <f>[1]Personas!A54</f>
        <v>Trinidad</v>
      </c>
      <c r="C57" s="74" t="str">
        <f>[1]Personas!B54</f>
        <v>Pereira</v>
      </c>
      <c r="D57" s="74" t="str">
        <f>[1]Personas!C54</f>
        <v>Punta de Aguilas 4311</v>
      </c>
      <c r="E57" s="74" t="str">
        <f>[1]Personas!D54</f>
        <v>Lo Barnechea</v>
      </c>
      <c r="F57" s="74" t="str">
        <f>[1]Personas!E54</f>
        <v>Los Trapenses</v>
      </c>
      <c r="G57" s="74" t="str">
        <f>[1]Personas!F54</f>
        <v>UAB</v>
      </c>
      <c r="H57" s="74" t="str">
        <f>[1]Personas!G54</f>
        <v>JEFE</v>
      </c>
      <c r="I57" s="80">
        <f>[1]Personas!H54</f>
        <v>56968320616</v>
      </c>
      <c r="J57" s="42" t="str">
        <f>[1]Personas!I54</f>
        <v>trinipereira@gmail.com</v>
      </c>
      <c r="K57" s="42" t="str">
        <f>[1]Personas!J54</f>
        <v>Ignacio Castañeda</v>
      </c>
      <c r="L57" s="79"/>
      <c r="M57" s="79"/>
      <c r="N57" s="74">
        <f>SUMPRODUCT(Tabla523[[#This Row],[N 2 kg]:[N 500 gr]],O$82:U$82)</f>
        <v>0</v>
      </c>
      <c r="O57" s="79"/>
      <c r="P57" s="79"/>
      <c r="Q57" s="79"/>
      <c r="R57" s="79"/>
      <c r="S57" s="79"/>
      <c r="T57" s="79"/>
      <c r="U57" s="79"/>
      <c r="V57" s="79">
        <f>SUM(Tabla523[[#This Row],[N 2 kg]:[N 500 gr]])</f>
        <v>0</v>
      </c>
      <c r="W57" s="85"/>
    </row>
    <row r="58" spans="1:23" outlineLevel="1" x14ac:dyDescent="0.25">
      <c r="A58" s="374"/>
      <c r="B58" s="83" t="str">
        <f>[1]Personas!A55</f>
        <v>Agustina</v>
      </c>
      <c r="C58" s="74" t="str">
        <f>[1]Personas!B55</f>
        <v>Pineda</v>
      </c>
      <c r="D58" s="74" t="str">
        <f>[1]Personas!C55</f>
        <v>Artigas 643</v>
      </c>
      <c r="E58" s="74" t="str">
        <f>[1]Personas!D55</f>
        <v>Vitacura</v>
      </c>
      <c r="F58" s="74" t="str">
        <f>[1]Personas!E55</f>
        <v>Santa Maria</v>
      </c>
      <c r="G58" s="74" t="str">
        <f>[1]Personas!F55</f>
        <v>Pacifico</v>
      </c>
      <c r="H58" s="74" t="str">
        <f>[1]Personas!G55</f>
        <v>JEFE</v>
      </c>
      <c r="I58" s="80">
        <f>[1]Personas!H55</f>
        <v>56991997991</v>
      </c>
      <c r="J58" s="42" t="str">
        <f>[1]Personas!I55</f>
        <v>agustina-pineda@hotmail.com</v>
      </c>
      <c r="K58" s="42" t="str">
        <f>[1]Personas!J55</f>
        <v>Lukas Quense</v>
      </c>
      <c r="L58" s="79"/>
      <c r="M58" s="79"/>
      <c r="N58" s="74">
        <f>SUMPRODUCT(Tabla523[[#This Row],[N 2 kg]:[N 500 gr]],O$82:U$82)</f>
        <v>0</v>
      </c>
      <c r="O58" s="79"/>
      <c r="P58" s="79"/>
      <c r="Q58" s="79"/>
      <c r="R58" s="79"/>
      <c r="S58" s="79"/>
      <c r="T58" s="79"/>
      <c r="U58" s="79"/>
      <c r="V58" s="79">
        <f>SUM(Tabla523[[#This Row],[N 2 kg]:[N 500 gr]])</f>
        <v>0</v>
      </c>
      <c r="W58" s="85"/>
    </row>
    <row r="59" spans="1:23" outlineLevel="1" x14ac:dyDescent="0.25">
      <c r="A59" s="374"/>
      <c r="B59" s="83" t="str">
        <f>[1]Personas!A56</f>
        <v>Benjamin</v>
      </c>
      <c r="C59" s="74" t="str">
        <f>[1]Personas!B56</f>
        <v>Piña</v>
      </c>
      <c r="D59" s="74" t="str">
        <f>[1]Personas!C56</f>
        <v>La Cienaga 12184</v>
      </c>
      <c r="E59" s="74" t="str">
        <f>[1]Personas!D56</f>
        <v>Lo Barnechea</v>
      </c>
      <c r="F59" s="74" t="str">
        <f>[1]Personas!E56</f>
        <v>La Dehesa</v>
      </c>
      <c r="G59" s="74" t="str">
        <f>[1]Personas!F56</f>
        <v>Uandes</v>
      </c>
      <c r="H59" s="74" t="str">
        <f>[1]Personas!G56</f>
        <v>JEFE</v>
      </c>
      <c r="I59" s="80">
        <f>[1]Personas!H56</f>
        <v>56974529859</v>
      </c>
      <c r="J59" s="42" t="str">
        <f>[1]Personas!I56</f>
        <v>pina.benjamin@gmail.com</v>
      </c>
      <c r="K59" s="42" t="str">
        <f>[1]Personas!J56</f>
        <v>Ignacio Castañeda</v>
      </c>
      <c r="L59" s="79"/>
      <c r="M59" s="79"/>
      <c r="N59" s="74">
        <f>SUMPRODUCT(Tabla523[[#This Row],[N 2 kg]:[N 500 gr]],O$82:U$82)</f>
        <v>0</v>
      </c>
      <c r="O59" s="79"/>
      <c r="P59" s="79"/>
      <c r="Q59" s="79"/>
      <c r="R59" s="79"/>
      <c r="S59" s="79"/>
      <c r="T59" s="79"/>
      <c r="U59" s="79"/>
      <c r="V59" s="79">
        <f>SUM(Tabla523[[#This Row],[N 2 kg]:[N 500 gr]])</f>
        <v>0</v>
      </c>
      <c r="W59" s="85"/>
    </row>
    <row r="60" spans="1:23" outlineLevel="1" x14ac:dyDescent="0.25">
      <c r="A60" s="374"/>
      <c r="B60" s="83" t="str">
        <f>[1]Personas!A57</f>
        <v>Lukas</v>
      </c>
      <c r="C60" s="74" t="str">
        <f>[1]Personas!B57</f>
        <v>Quense</v>
      </c>
      <c r="D60" s="74" t="str">
        <f>[1]Personas!C57</f>
        <v>Cerro Cortadera 9897</v>
      </c>
      <c r="E60" s="74" t="str">
        <f>[1]Personas!D57</f>
        <v>Lo Barnechea</v>
      </c>
      <c r="F60" s="74" t="str">
        <f>[1]Personas!E57</f>
        <v>Los Trapenses</v>
      </c>
      <c r="G60" s="74" t="str">
        <f>[1]Personas!F57</f>
        <v>UC</v>
      </c>
      <c r="H60" s="74" t="str">
        <f>[1]Personas!G57</f>
        <v>SOCIO</v>
      </c>
      <c r="I60" s="80">
        <f>[1]Personas!H57</f>
        <v>56987217393</v>
      </c>
      <c r="J60" s="42" t="str">
        <f>[1]Personas!I57</f>
        <v>lukas.quense@gmail.com</v>
      </c>
      <c r="K60" s="42" t="str">
        <f>[1]Personas!J57</f>
        <v>Lukas Quense</v>
      </c>
      <c r="L60" s="79"/>
      <c r="M60" s="79"/>
      <c r="N60" s="74">
        <f>SUMPRODUCT(Tabla523[[#This Row],[N 2 kg]:[N 500 gr]],O$82:U$82)</f>
        <v>0</v>
      </c>
      <c r="O60" s="79"/>
      <c r="P60" s="79"/>
      <c r="Q60" s="79"/>
      <c r="R60" s="79"/>
      <c r="S60" s="79"/>
      <c r="T60" s="79"/>
      <c r="U60" s="79"/>
      <c r="V60" s="79">
        <f>SUM(Tabla523[[#This Row],[N 2 kg]:[N 500 gr]])</f>
        <v>0</v>
      </c>
      <c r="W60" s="85"/>
    </row>
    <row r="61" spans="1:23" outlineLevel="1" x14ac:dyDescent="0.25">
      <c r="A61" s="374"/>
      <c r="B61" s="83" t="str">
        <f>[1]Personas!A58</f>
        <v>Josefina</v>
      </c>
      <c r="C61" s="74" t="str">
        <f>[1]Personas!B58</f>
        <v>Quiroga</v>
      </c>
      <c r="D61" s="74" t="str">
        <f>[1]Personas!C58</f>
        <v>Santa Rita 1017</v>
      </c>
      <c r="E61" s="74" t="str">
        <f>[1]Personas!D58</f>
        <v>Las Condes</v>
      </c>
      <c r="F61" s="74" t="str">
        <f>[1]Personas!E58</f>
        <v>San Carlos</v>
      </c>
      <c r="G61" s="74" t="str">
        <f>[1]Personas!F58</f>
        <v>UC</v>
      </c>
      <c r="H61" s="74" t="str">
        <f>[1]Personas!G58</f>
        <v>JEFE</v>
      </c>
      <c r="I61" s="80">
        <f>[1]Personas!H58</f>
        <v>56981207671</v>
      </c>
      <c r="J61" s="42" t="str">
        <f>[1]Personas!I58</f>
        <v>josefinaquiroga7@hotmail.com</v>
      </c>
      <c r="K61" s="42" t="str">
        <f>[1]Personas!J58</f>
        <v>Ignacio Castañeda</v>
      </c>
      <c r="L61" s="79"/>
      <c r="M61" s="79"/>
      <c r="N61" s="74">
        <f>SUMPRODUCT(Tabla523[[#This Row],[N 2 kg]:[N 500 gr]],O$82:U$82)</f>
        <v>0</v>
      </c>
      <c r="O61" s="79"/>
      <c r="P61" s="79"/>
      <c r="Q61" s="79"/>
      <c r="R61" s="79"/>
      <c r="S61" s="79"/>
      <c r="T61" s="79"/>
      <c r="U61" s="79"/>
      <c r="V61" s="79">
        <f>SUM(Tabla523[[#This Row],[N 2 kg]:[N 500 gr]])</f>
        <v>0</v>
      </c>
      <c r="W61" s="85"/>
    </row>
    <row r="62" spans="1:23" outlineLevel="1" x14ac:dyDescent="0.25">
      <c r="A62" s="374"/>
      <c r="B62" s="83" t="str">
        <f>[1]Personas!A59</f>
        <v>Rafa</v>
      </c>
      <c r="C62" s="74" t="str">
        <f>[1]Personas!B59</f>
        <v>Quiroga</v>
      </c>
      <c r="D62" s="74" t="str">
        <f>[1]Personas!C59</f>
        <v>Santa Rita 1017</v>
      </c>
      <c r="E62" s="74" t="str">
        <f>[1]Personas!D59</f>
        <v>Las Condes</v>
      </c>
      <c r="F62" s="74" t="str">
        <f>[1]Personas!E59</f>
        <v>San Carlos</v>
      </c>
      <c r="G62" s="74" t="str">
        <f>[1]Personas!F59</f>
        <v>CPH</v>
      </c>
      <c r="H62" s="74" t="str">
        <f>[1]Personas!G59</f>
        <v>JEFE</v>
      </c>
      <c r="I62" s="80">
        <f>[1]Personas!H59</f>
        <v>56995408498</v>
      </c>
      <c r="J62" s="42" t="str">
        <f>[1]Personas!I59</f>
        <v>rafaquiroga7@gmail.com</v>
      </c>
      <c r="K62" s="42" t="str">
        <f>[1]Personas!J59</f>
        <v>Ignacio Castañeda</v>
      </c>
      <c r="L62" s="79"/>
      <c r="M62" s="79"/>
      <c r="N62" s="74">
        <f>SUMPRODUCT(Tabla523[[#This Row],[N 2 kg]:[N 500 gr]],O$82:U$82)</f>
        <v>0</v>
      </c>
      <c r="O62" s="79"/>
      <c r="P62" s="79"/>
      <c r="Q62" s="79"/>
      <c r="R62" s="79"/>
      <c r="S62" s="79"/>
      <c r="T62" s="79"/>
      <c r="U62" s="79"/>
      <c r="V62" s="79">
        <f>SUM(Tabla523[[#This Row],[N 2 kg]:[N 500 gr]])</f>
        <v>0</v>
      </c>
      <c r="W62" s="85"/>
    </row>
    <row r="63" spans="1:23" outlineLevel="1" x14ac:dyDescent="0.25">
      <c r="A63" s="374"/>
      <c r="B63" s="83" t="str">
        <f>[1]Personas!A60</f>
        <v>Barbara</v>
      </c>
      <c r="C63" s="74" t="str">
        <f>[1]Personas!B60</f>
        <v>Rodriguez</v>
      </c>
      <c r="D63" s="74" t="str">
        <f>[1]Personas!C60</f>
        <v>Raimapu 6744</v>
      </c>
      <c r="E63" s="74" t="str">
        <f>[1]Personas!D60</f>
        <v>Vitacura</v>
      </c>
      <c r="F63" s="74" t="str">
        <f>[1]Personas!E60</f>
        <v>Santa Maria</v>
      </c>
      <c r="G63" s="74" t="str">
        <f>[1]Personas!F60</f>
        <v>Aleman</v>
      </c>
      <c r="H63" s="74" t="str">
        <f>[1]Personas!G60</f>
        <v>JEFE</v>
      </c>
      <c r="I63" s="80">
        <f>[1]Personas!H60</f>
        <v>56956481962</v>
      </c>
      <c r="J63" s="42" t="str">
        <f>[1]Personas!I60</f>
        <v>barodriguez@dsstgo.cl</v>
      </c>
      <c r="K63" s="42" t="str">
        <f>[1]Personas!J60</f>
        <v>Lukas Quense</v>
      </c>
      <c r="L63" s="79"/>
      <c r="M63" s="79"/>
      <c r="N63" s="74">
        <f>SUMPRODUCT(Tabla523[[#This Row],[N 2 kg]:[N 500 gr]],O$82:U$82)</f>
        <v>0</v>
      </c>
      <c r="O63" s="79"/>
      <c r="P63" s="79"/>
      <c r="Q63" s="79"/>
      <c r="R63" s="79"/>
      <c r="S63" s="79"/>
      <c r="T63" s="79"/>
      <c r="U63" s="79"/>
      <c r="V63" s="79">
        <f>SUM(Tabla523[[#This Row],[N 2 kg]:[N 500 gr]])</f>
        <v>0</v>
      </c>
      <c r="W63" s="85"/>
    </row>
    <row r="64" spans="1:23" outlineLevel="1" x14ac:dyDescent="0.25">
      <c r="A64" s="374"/>
      <c r="B64" s="83" t="str">
        <f>[1]Personas!A61</f>
        <v>Fede</v>
      </c>
      <c r="C64" s="74" t="str">
        <f>[1]Personas!B61</f>
        <v>Schilling</v>
      </c>
      <c r="D64" s="74" t="str">
        <f>[1]Personas!C61</f>
        <v>Laura Tromben 5754</v>
      </c>
      <c r="E64" s="74" t="str">
        <f>[1]Personas!D61</f>
        <v>Vitacura</v>
      </c>
      <c r="F64" s="74" t="str">
        <f>[1]Personas!E61</f>
        <v>Manquehue</v>
      </c>
      <c r="G64" s="74" t="str">
        <f>[1]Personas!F61</f>
        <v>Aleman</v>
      </c>
      <c r="H64" s="74" t="str">
        <f>[1]Personas!G61</f>
        <v>JEFE</v>
      </c>
      <c r="I64" s="80">
        <f>[1]Personas!H61</f>
        <v>56979980568</v>
      </c>
      <c r="J64" s="42" t="str">
        <f>[1]Personas!I61</f>
        <v>federico.schilling@gmail.com</v>
      </c>
      <c r="K64" s="42" t="str">
        <f>[1]Personas!J61</f>
        <v>Lukas Quense</v>
      </c>
      <c r="L64" s="79"/>
      <c r="M64" s="79"/>
      <c r="N64" s="74">
        <f>SUMPRODUCT(Tabla523[[#This Row],[N 2 kg]:[N 500 gr]],O$82:U$82)</f>
        <v>0</v>
      </c>
      <c r="O64" s="79"/>
      <c r="P64" s="79"/>
      <c r="Q64" s="79"/>
      <c r="R64" s="79"/>
      <c r="S64" s="79"/>
      <c r="T64" s="79"/>
      <c r="U64" s="79"/>
      <c r="V64" s="79">
        <f>SUM(Tabla523[[#This Row],[N 2 kg]:[N 500 gr]])</f>
        <v>0</v>
      </c>
      <c r="W64" s="85"/>
    </row>
    <row r="65" spans="1:23" outlineLevel="1" x14ac:dyDescent="0.25">
      <c r="A65" s="374"/>
      <c r="B65" s="83" t="str">
        <f>[1]Personas!A62</f>
        <v>Carola</v>
      </c>
      <c r="C65" s="74" t="str">
        <f>[1]Personas!B62</f>
        <v>Schumann</v>
      </c>
      <c r="D65" s="74" t="str">
        <f>[1]Personas!C62</f>
        <v>Pedro Canisio 1103 Dpto 142</v>
      </c>
      <c r="E65" s="74" t="str">
        <f>[1]Personas!D62</f>
        <v>Vitacura</v>
      </c>
      <c r="F65" s="74" t="str">
        <f>[1]Personas!E62</f>
        <v>Manquehue</v>
      </c>
      <c r="G65" s="74" t="str">
        <f>[1]Personas!F62</f>
        <v>UAI</v>
      </c>
      <c r="H65" s="74" t="str">
        <f>[1]Personas!G62</f>
        <v>JEFE</v>
      </c>
      <c r="I65" s="80">
        <f>[1]Personas!H62</f>
        <v>56998263560</v>
      </c>
      <c r="J65" s="42" t="str">
        <f>[1]Personas!I62</f>
        <v>cschumann@alumnos.uai.cl</v>
      </c>
      <c r="K65" s="42" t="str">
        <f>[1]Personas!J62</f>
        <v>Ignacio Castañeda</v>
      </c>
      <c r="L65" s="79"/>
      <c r="M65" s="79"/>
      <c r="N65" s="74">
        <f>SUMPRODUCT(Tabla523[[#This Row],[N 2 kg]:[N 500 gr]],O$82:U$82)</f>
        <v>0</v>
      </c>
      <c r="O65" s="79"/>
      <c r="P65" s="79"/>
      <c r="Q65" s="79"/>
      <c r="R65" s="79"/>
      <c r="S65" s="79"/>
      <c r="T65" s="79"/>
      <c r="U65" s="79"/>
      <c r="V65" s="79">
        <f>SUM(Tabla523[[#This Row],[N 2 kg]:[N 500 gr]])</f>
        <v>0</v>
      </c>
      <c r="W65" s="85"/>
    </row>
    <row r="66" spans="1:23" outlineLevel="1" x14ac:dyDescent="0.25">
      <c r="A66" s="374"/>
      <c r="B66" s="83" t="str">
        <f>[1]Personas!A63</f>
        <v>Cata</v>
      </c>
      <c r="C66" s="74" t="str">
        <f>[1]Personas!B63</f>
        <v>Tondreau</v>
      </c>
      <c r="D66" s="74" t="str">
        <f>[1]Personas!C63</f>
        <v>Francisco de Aguirre 4155</v>
      </c>
      <c r="E66" s="74" t="str">
        <f>[1]Personas!D63</f>
        <v>Vitacura</v>
      </c>
      <c r="F66" s="74" t="str">
        <f>[1]Personas!E63</f>
        <v>Vespucio</v>
      </c>
      <c r="G66" s="74" t="str">
        <f>[1]Personas!F63</f>
        <v>UC</v>
      </c>
      <c r="H66" s="74" t="str">
        <f>[1]Personas!G63</f>
        <v>JEFE</v>
      </c>
      <c r="I66" s="80">
        <f>[1]Personas!H63</f>
        <v>56942723186</v>
      </c>
      <c r="J66" s="42" t="str">
        <f>[1]Personas!I63</f>
        <v>catalinatp_97@hotmail.com</v>
      </c>
      <c r="K66" s="42" t="str">
        <f>[1]Personas!J63</f>
        <v>Joaquin Eichholz</v>
      </c>
      <c r="L66" s="79"/>
      <c r="M66" s="79"/>
      <c r="N66" s="74">
        <f>SUMPRODUCT(Tabla523[[#This Row],[N 2 kg]:[N 500 gr]],O$82:U$82)</f>
        <v>0</v>
      </c>
      <c r="O66" s="79"/>
      <c r="P66" s="79"/>
      <c r="Q66" s="79"/>
      <c r="R66" s="79"/>
      <c r="S66" s="79"/>
      <c r="T66" s="79"/>
      <c r="U66" s="79"/>
      <c r="V66" s="79">
        <f>SUM(Tabla523[[#This Row],[N 2 kg]:[N 500 gr]])</f>
        <v>0</v>
      </c>
      <c r="W66" s="85"/>
    </row>
    <row r="67" spans="1:23" outlineLevel="1" x14ac:dyDescent="0.25">
      <c r="A67" s="374"/>
      <c r="B67" s="83" t="str">
        <f>[1]Personas!A64</f>
        <v>Iñaki</v>
      </c>
      <c r="C67" s="74" t="str">
        <f>[1]Personas!B64</f>
        <v>Tramontana</v>
      </c>
      <c r="D67" s="74" t="str">
        <f>[1]Personas!C64</f>
        <v>Los Algarrobos 3 Casa 28</v>
      </c>
      <c r="E67" s="74" t="str">
        <f>[1]Personas!D64</f>
        <v>Chicureo</v>
      </c>
      <c r="F67" s="74" t="str">
        <f>[1]Personas!E64</f>
        <v>Piedra Roja</v>
      </c>
      <c r="G67" s="74" t="str">
        <f>[1]Personas!F64</f>
        <v>UDD</v>
      </c>
      <c r="H67" s="74" t="str">
        <f>[1]Personas!G64</f>
        <v>JEFE</v>
      </c>
      <c r="I67" s="80">
        <f>[1]Personas!H64</f>
        <v>56996310424</v>
      </c>
      <c r="J67" s="42" t="str">
        <f>[1]Personas!I64</f>
        <v>Itramontanae@udd.cl</v>
      </c>
      <c r="K67" s="42" t="str">
        <f>[1]Personas!J64</f>
        <v>Lukas Quense</v>
      </c>
      <c r="L67" s="79"/>
      <c r="M67" s="79"/>
      <c r="N67" s="74">
        <f>SUMPRODUCT(Tabla523[[#This Row],[N 2 kg]:[N 500 gr]],O$82:U$82)</f>
        <v>0</v>
      </c>
      <c r="O67" s="79"/>
      <c r="P67" s="79"/>
      <c r="Q67" s="79"/>
      <c r="R67" s="79"/>
      <c r="S67" s="79"/>
      <c r="T67" s="79"/>
      <c r="U67" s="79"/>
      <c r="V67" s="79">
        <f>SUM(Tabla523[[#This Row],[N 2 kg]:[N 500 gr]])</f>
        <v>0</v>
      </c>
      <c r="W67" s="85"/>
    </row>
    <row r="68" spans="1:23" outlineLevel="1" x14ac:dyDescent="0.25">
      <c r="A68" s="374"/>
      <c r="B68" s="77" t="str">
        <f>[1]Personas!A65</f>
        <v>Juan</v>
      </c>
      <c r="C68" s="75" t="str">
        <f>[1]Personas!B65</f>
        <v>Undurraga</v>
      </c>
      <c r="D68" s="88" t="str">
        <f>[1]Personas!C65</f>
        <v>Huilquehue 4367</v>
      </c>
      <c r="E68" s="88" t="str">
        <f>[1]Personas!D65</f>
        <v>Lo Barnechea</v>
      </c>
      <c r="F68" s="88" t="str">
        <f>[1]Personas!E65</f>
        <v>Los Trapenses</v>
      </c>
      <c r="G68" s="88" t="str">
        <f>[1]Personas!F65</f>
        <v>UAndes</v>
      </c>
      <c r="H68" s="88" t="str">
        <f>[1]Personas!G65</f>
        <v>JEFE</v>
      </c>
      <c r="I68" s="89">
        <f>[1]Personas!H65</f>
        <v>56974397201</v>
      </c>
      <c r="J68" s="42" t="str">
        <f>[1]Personas!I65</f>
        <v>jundurraga3@miuandes.cl</v>
      </c>
      <c r="K68" s="42" t="str">
        <f>[1]Personas!J65</f>
        <v>Ignacio Castañeda</v>
      </c>
      <c r="L68" s="79"/>
      <c r="M68" s="79"/>
      <c r="N68" s="74">
        <f>SUMPRODUCT(Tabla523[[#This Row],[N 2 kg]:[N 500 gr]],O$82:U$82)</f>
        <v>0</v>
      </c>
      <c r="O68" s="79"/>
      <c r="P68" s="79"/>
      <c r="Q68" s="79"/>
      <c r="R68" s="79"/>
      <c r="S68" s="79"/>
      <c r="T68" s="79"/>
      <c r="U68" s="79"/>
      <c r="V68" s="79">
        <f>SUM(Tabla523[[#This Row],[N 2 kg]:[N 500 gr]])</f>
        <v>0</v>
      </c>
      <c r="W68" s="85"/>
    </row>
    <row r="69" spans="1:23" outlineLevel="1" x14ac:dyDescent="0.25">
      <c r="A69" s="374"/>
      <c r="B69" s="77" t="str">
        <f>[1]Personas!A66</f>
        <v>Cristobal</v>
      </c>
      <c r="C69" s="75" t="str">
        <f>[1]Personas!B66</f>
        <v>Valdes</v>
      </c>
      <c r="D69" s="88" t="str">
        <f>[1]Personas!C66</f>
        <v>Los Queltehues 11524</v>
      </c>
      <c r="E69" s="88" t="str">
        <f>[1]Personas!D66</f>
        <v>Lo Barnechea</v>
      </c>
      <c r="F69" s="88" t="str">
        <f>[1]Personas!E66</f>
        <v>Los Trapenses</v>
      </c>
      <c r="G69" s="88" t="str">
        <f>[1]Personas!F66</f>
        <v>Cordillera</v>
      </c>
      <c r="H69" s="88" t="str">
        <f>[1]Personas!G66</f>
        <v>JEFE</v>
      </c>
      <c r="I69" s="89">
        <f>[1]Personas!H66</f>
        <v>56964829508</v>
      </c>
      <c r="J69" s="42" t="str">
        <f>[1]Personas!I66</f>
        <v>cristobalvaldes99@gmail.com</v>
      </c>
      <c r="K69" s="42" t="str">
        <f>[1]Personas!J66</f>
        <v>Lukas Quense</v>
      </c>
      <c r="L69" s="79"/>
      <c r="M69" s="79"/>
      <c r="N69" s="74">
        <f>SUMPRODUCT(Tabla523[[#This Row],[N 2 kg]:[N 500 gr]],O$82:U$82)</f>
        <v>0</v>
      </c>
      <c r="O69" s="79"/>
      <c r="P69" s="79"/>
      <c r="Q69" s="79"/>
      <c r="R69" s="79"/>
      <c r="S69" s="79"/>
      <c r="T69" s="79"/>
      <c r="U69" s="79"/>
      <c r="V69" s="79">
        <f>SUM(Tabla523[[#This Row],[N 2 kg]:[N 500 gr]])</f>
        <v>0</v>
      </c>
      <c r="W69" s="85"/>
    </row>
    <row r="70" spans="1:23" outlineLevel="1" x14ac:dyDescent="0.25">
      <c r="A70" s="374"/>
      <c r="B70" s="77" t="str">
        <f>[1]Personas!A67</f>
        <v>Antonia</v>
      </c>
      <c r="C70" s="75" t="str">
        <f>[1]Personas!B67</f>
        <v>Valencia</v>
      </c>
      <c r="D70" s="88" t="str">
        <f>[1]Personas!C67</f>
        <v>Las Campanas 681, Hacienda Chicureo</v>
      </c>
      <c r="E70" s="88" t="str">
        <f>[1]Personas!D67</f>
        <v>Chicureo</v>
      </c>
      <c r="F70" s="88" t="str">
        <f>[1]Personas!E67</f>
        <v>Piedra Roja</v>
      </c>
      <c r="G70" s="88" t="str">
        <f>[1]Personas!F67</f>
        <v>UAndes</v>
      </c>
      <c r="H70" s="88" t="str">
        <f>[1]Personas!G67</f>
        <v>JEFE</v>
      </c>
      <c r="I70" s="89">
        <f>[1]Personas!H67</f>
        <v>56979769748</v>
      </c>
      <c r="J70" s="42" t="str">
        <f>[1]Personas!I67</f>
        <v>antovalencia@mac.com</v>
      </c>
      <c r="K70" s="42" t="str">
        <f>[1]Personas!J67</f>
        <v>Joaquin Eichholz</v>
      </c>
      <c r="L70" s="79"/>
      <c r="M70" s="79"/>
      <c r="N70" s="74">
        <f>SUMPRODUCT(Tabla523[[#This Row],[N 2 kg]:[N 500 gr]],O$82:U$82)</f>
        <v>0</v>
      </c>
      <c r="O70" s="79"/>
      <c r="P70" s="79"/>
      <c r="Q70" s="79"/>
      <c r="R70" s="79"/>
      <c r="S70" s="79"/>
      <c r="T70" s="79"/>
      <c r="U70" s="79"/>
      <c r="V70" s="79">
        <f>SUM(Tabla523[[#This Row],[N 2 kg]:[N 500 gr]])</f>
        <v>0</v>
      </c>
      <c r="W70" s="85"/>
    </row>
    <row r="71" spans="1:23" outlineLevel="1" x14ac:dyDescent="0.25">
      <c r="A71" s="374"/>
      <c r="B71" s="77" t="str">
        <f>[1]Personas!A68</f>
        <v>Jesu</v>
      </c>
      <c r="C71" s="75" t="str">
        <f>[1]Personas!B68</f>
        <v>Valenzuela</v>
      </c>
      <c r="D71" s="88" t="str">
        <f>[1]Personas!C68</f>
        <v>Bombay 8825</v>
      </c>
      <c r="E71" s="88" t="str">
        <f>[1]Personas!D68</f>
        <v>Las Condes</v>
      </c>
      <c r="F71" s="88" t="str">
        <f>[1]Personas!E68</f>
        <v>Alto Las Condes</v>
      </c>
      <c r="G71" s="88" t="str">
        <f>[1]Personas!F68</f>
        <v>UC</v>
      </c>
      <c r="H71" s="88" t="str">
        <f>[1]Personas!G68</f>
        <v>JEFE</v>
      </c>
      <c r="I71" s="89">
        <f>[1]Personas!H68</f>
        <v>56999699652</v>
      </c>
      <c r="J71" s="42" t="str">
        <f>[1]Personas!I68</f>
        <v>mjvalenzuela3@uc.cl</v>
      </c>
      <c r="K71" s="42" t="str">
        <f>[1]Personas!J68</f>
        <v>Joaquin Eichholz</v>
      </c>
      <c r="L71" s="79"/>
      <c r="M71" s="79"/>
      <c r="N71" s="74">
        <f>SUMPRODUCT(Tabla523[[#This Row],[N 2 kg]:[N 500 gr]],O$82:U$82)</f>
        <v>0</v>
      </c>
      <c r="O71" s="79"/>
      <c r="P71" s="79"/>
      <c r="Q71" s="79"/>
      <c r="R71" s="79"/>
      <c r="S71" s="79"/>
      <c r="T71" s="79"/>
      <c r="U71" s="79"/>
      <c r="V71" s="79">
        <f>SUM(Tabla523[[#This Row],[N 2 kg]:[N 500 gr]])</f>
        <v>0</v>
      </c>
      <c r="W71" s="85"/>
    </row>
    <row r="72" spans="1:23" ht="15.75" outlineLevel="1" thickBot="1" x14ac:dyDescent="0.3">
      <c r="A72" s="375"/>
      <c r="B72" s="21" t="str">
        <f>[1]Personas!A69</f>
        <v>Pablo</v>
      </c>
      <c r="C72" s="22" t="str">
        <f>[1]Personas!B69</f>
        <v>Vial</v>
      </c>
      <c r="D72" s="102" t="str">
        <f>[1]Personas!C69</f>
        <v>Pachica 8279</v>
      </c>
      <c r="E72" s="102" t="str">
        <f>[1]Personas!D69</f>
        <v>Las Condes</v>
      </c>
      <c r="F72" s="102" t="str">
        <f>[1]Personas!E69</f>
        <v>Colon</v>
      </c>
      <c r="G72" s="102" t="str">
        <f>[1]Personas!F69</f>
        <v>UDD</v>
      </c>
      <c r="H72" s="102" t="str">
        <f>[1]Personas!G69</f>
        <v>JEFE</v>
      </c>
      <c r="I72" s="103">
        <f>[1]Personas!H69</f>
        <v>56957230044</v>
      </c>
      <c r="J72" s="73" t="str">
        <f>[1]Personas!I69</f>
        <v>pabcontrerasm@udd.cl</v>
      </c>
      <c r="K72" s="73" t="str">
        <f>[1]Personas!J69</f>
        <v>Joaquin Eichholz</v>
      </c>
      <c r="L72" s="27"/>
      <c r="M72" s="27"/>
      <c r="N72" s="74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25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.75" thickBot="1" x14ac:dyDescent="0.3"/>
    <row r="75" spans="1:23" ht="14.65" customHeight="1" thickBot="1" x14ac:dyDescent="0.3">
      <c r="A75" s="331" t="s">
        <v>21</v>
      </c>
      <c r="B75" s="367" t="s">
        <v>7</v>
      </c>
      <c r="C75" s="368"/>
      <c r="D75" s="368"/>
      <c r="E75" s="368"/>
      <c r="F75" s="368"/>
      <c r="G75" s="368"/>
      <c r="H75" s="368"/>
      <c r="I75" s="368"/>
      <c r="J75" s="368"/>
      <c r="K75" s="368"/>
      <c r="L75" s="368"/>
      <c r="M75" s="369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76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65" customHeight="1" thickBot="1" x14ac:dyDescent="0.3">
      <c r="A76" s="332"/>
      <c r="B76" s="376"/>
      <c r="C76" s="377"/>
      <c r="D76" s="377"/>
      <c r="E76" s="377"/>
      <c r="F76" s="377"/>
      <c r="G76" s="377"/>
      <c r="H76" s="377"/>
      <c r="I76" s="377"/>
      <c r="J76" s="377"/>
      <c r="K76" s="377"/>
      <c r="L76" s="377"/>
      <c r="M76" s="378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65" customHeight="1" thickBot="1" x14ac:dyDescent="0.3">
      <c r="A77" s="332"/>
      <c r="B77" s="376"/>
      <c r="C77" s="377"/>
      <c r="D77" s="377"/>
      <c r="E77" s="377"/>
      <c r="F77" s="377"/>
      <c r="G77" s="377"/>
      <c r="H77" s="377"/>
      <c r="I77" s="377"/>
      <c r="J77" s="377"/>
      <c r="K77" s="377"/>
      <c r="L77" s="377"/>
      <c r="M77" s="378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79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.75" thickBot="1" x14ac:dyDescent="0.3">
      <c r="A78" s="332"/>
      <c r="B78" s="370"/>
      <c r="C78" s="371"/>
      <c r="D78" s="371"/>
      <c r="E78" s="371"/>
      <c r="F78" s="371"/>
      <c r="G78" s="371"/>
      <c r="H78" s="371"/>
      <c r="I78" s="371"/>
      <c r="J78" s="371"/>
      <c r="K78" s="371"/>
      <c r="L78" s="371"/>
      <c r="M78" s="372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.75" thickBot="1" x14ac:dyDescent="0.3">
      <c r="A79" s="332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.75" thickBot="1" x14ac:dyDescent="0.3">
      <c r="A80" s="332"/>
      <c r="B80" s="367" t="s">
        <v>13</v>
      </c>
      <c r="C80" s="368"/>
      <c r="D80" s="368"/>
      <c r="E80" s="368"/>
      <c r="F80" s="368"/>
      <c r="G80" s="368"/>
      <c r="H80" s="368"/>
      <c r="I80" s="368"/>
      <c r="J80" s="368"/>
      <c r="K80" s="368"/>
      <c r="L80" s="368"/>
      <c r="M80" s="369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78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.75" thickBot="1" x14ac:dyDescent="0.3">
      <c r="A81" s="332"/>
      <c r="B81" s="376"/>
      <c r="C81" s="377"/>
      <c r="D81" s="377"/>
      <c r="E81" s="377"/>
      <c r="F81" s="377"/>
      <c r="G81" s="377"/>
      <c r="H81" s="377"/>
      <c r="I81" s="377"/>
      <c r="J81" s="377"/>
      <c r="K81" s="377"/>
      <c r="L81" s="377"/>
      <c r="M81" s="378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74">
        <f>12000/6</f>
        <v>2000</v>
      </c>
      <c r="T81" s="3">
        <v>2300</v>
      </c>
      <c r="U81" s="46">
        <v>7500</v>
      </c>
    </row>
    <row r="82" spans="1:21" ht="15.75" thickBot="1" x14ac:dyDescent="0.3">
      <c r="A82" s="332"/>
      <c r="B82" s="370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2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.75" thickBot="1" x14ac:dyDescent="0.3">
      <c r="A83" s="332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65" customHeight="1" thickBot="1" x14ac:dyDescent="0.3">
      <c r="A84" s="332"/>
      <c r="B84" s="367" t="s">
        <v>16</v>
      </c>
      <c r="C84" s="368"/>
      <c r="D84" s="368"/>
      <c r="E84" s="368"/>
      <c r="F84" s="368"/>
      <c r="G84" s="368"/>
      <c r="H84" s="368"/>
      <c r="I84" s="368"/>
      <c r="J84" s="368"/>
      <c r="K84" s="368"/>
      <c r="L84" s="368"/>
      <c r="M84" s="369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.75" thickBot="1" x14ac:dyDescent="0.3">
      <c r="A85" s="332"/>
      <c r="B85" s="370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2"/>
      <c r="N85" s="60" t="s">
        <v>17</v>
      </c>
      <c r="O85" s="334">
        <f>SUM(O84:U84)</f>
        <v>0</v>
      </c>
      <c r="P85" s="335"/>
      <c r="Q85" s="335"/>
      <c r="R85" s="335"/>
      <c r="S85" s="335"/>
      <c r="T85" s="335"/>
      <c r="U85" s="336"/>
    </row>
    <row r="86" spans="1:21" ht="15.75" thickBot="1" x14ac:dyDescent="0.3">
      <c r="A86" s="332"/>
      <c r="B86" s="367" t="s">
        <v>18</v>
      </c>
      <c r="C86" s="368"/>
      <c r="D86" s="368"/>
      <c r="E86" s="368"/>
      <c r="F86" s="368"/>
      <c r="G86" s="368"/>
      <c r="H86" s="368"/>
      <c r="I86" s="368"/>
      <c r="J86" s="368"/>
      <c r="K86" s="368"/>
      <c r="L86" s="368"/>
      <c r="M86" s="369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75">
        <f t="shared" si="5"/>
        <v>0</v>
      </c>
      <c r="T86" s="4">
        <f t="shared" si="5"/>
        <v>0</v>
      </c>
      <c r="U86" s="7">
        <f t="shared" si="5"/>
        <v>0</v>
      </c>
    </row>
    <row r="87" spans="1:21" ht="15.75" thickBot="1" x14ac:dyDescent="0.3">
      <c r="A87" s="332"/>
      <c r="B87" s="370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2"/>
      <c r="N87" s="60" t="s">
        <v>17</v>
      </c>
      <c r="O87" s="334">
        <f>SUM(O86:U86)</f>
        <v>0</v>
      </c>
      <c r="P87" s="335"/>
      <c r="Q87" s="335"/>
      <c r="R87" s="335"/>
      <c r="S87" s="335"/>
      <c r="T87" s="335"/>
      <c r="U87" s="336"/>
    </row>
    <row r="88" spans="1:21" ht="14.65" customHeight="1" thickBot="1" x14ac:dyDescent="0.3">
      <c r="A88" s="332"/>
      <c r="B88" s="367" t="s">
        <v>19</v>
      </c>
      <c r="C88" s="368"/>
      <c r="D88" s="368"/>
      <c r="E88" s="368"/>
      <c r="F88" s="368"/>
      <c r="G88" s="368"/>
      <c r="H88" s="368"/>
      <c r="I88" s="368"/>
      <c r="J88" s="368"/>
      <c r="K88" s="368"/>
      <c r="L88" s="368"/>
      <c r="M88" s="369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65" customHeight="1" thickBot="1" x14ac:dyDescent="0.3">
      <c r="A89" s="332"/>
      <c r="B89" s="370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2"/>
      <c r="N89" s="60" t="s">
        <v>31</v>
      </c>
      <c r="O89" s="349">
        <f>SUM(O88:U88)</f>
        <v>0</v>
      </c>
      <c r="P89" s="350"/>
      <c r="Q89" s="350"/>
      <c r="R89" s="350"/>
      <c r="S89" s="350"/>
      <c r="T89" s="350"/>
      <c r="U89" s="351"/>
    </row>
    <row r="90" spans="1:21" ht="15.75" thickBot="1" x14ac:dyDescent="0.3">
      <c r="A90" s="332"/>
    </row>
    <row r="91" spans="1:21" ht="14.65" customHeight="1" thickBot="1" x14ac:dyDescent="0.3">
      <c r="A91" s="332"/>
      <c r="B91" s="352" t="s">
        <v>27</v>
      </c>
      <c r="C91" s="353"/>
      <c r="D91" s="353"/>
      <c r="E91" s="353"/>
      <c r="F91" s="353"/>
      <c r="G91" s="353"/>
      <c r="H91" s="353"/>
      <c r="I91" s="353"/>
      <c r="J91" s="353"/>
      <c r="K91" s="353"/>
      <c r="L91" s="353"/>
      <c r="M91" s="353"/>
      <c r="N91" s="354"/>
      <c r="O91" s="343" t="s">
        <v>28</v>
      </c>
      <c r="P91" s="344"/>
      <c r="Q91" s="345"/>
      <c r="R91" s="44" t="s">
        <v>29</v>
      </c>
      <c r="S91" s="94"/>
      <c r="T91" s="11"/>
      <c r="U91" s="11"/>
    </row>
    <row r="92" spans="1:21" ht="15" customHeight="1" x14ac:dyDescent="0.25">
      <c r="A92" s="332"/>
      <c r="B92" s="355"/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7"/>
      <c r="O92" s="361"/>
      <c r="P92" s="362"/>
      <c r="Q92" s="363"/>
      <c r="R92" s="52"/>
      <c r="S92" s="95"/>
      <c r="T92" s="12"/>
      <c r="U92" s="12"/>
    </row>
    <row r="93" spans="1:21" ht="15" customHeight="1" x14ac:dyDescent="0.25">
      <c r="A93" s="332"/>
      <c r="B93" s="355"/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7"/>
      <c r="O93" s="364"/>
      <c r="P93" s="365"/>
      <c r="Q93" s="366"/>
      <c r="R93" s="53"/>
      <c r="S93" s="95"/>
      <c r="T93" s="12"/>
      <c r="U93" s="12"/>
    </row>
    <row r="94" spans="1:21" ht="15" customHeight="1" x14ac:dyDescent="0.25">
      <c r="A94" s="332"/>
      <c r="B94" s="355"/>
      <c r="C94" s="356"/>
      <c r="D94" s="356"/>
      <c r="E94" s="356"/>
      <c r="F94" s="356"/>
      <c r="G94" s="356"/>
      <c r="H94" s="356"/>
      <c r="I94" s="356"/>
      <c r="J94" s="356"/>
      <c r="K94" s="356"/>
      <c r="L94" s="356"/>
      <c r="M94" s="356"/>
      <c r="N94" s="357"/>
      <c r="O94" s="364"/>
      <c r="P94" s="365"/>
      <c r="Q94" s="366"/>
      <c r="R94" s="53"/>
      <c r="S94" s="95"/>
      <c r="T94" s="12"/>
      <c r="U94" s="12"/>
    </row>
    <row r="95" spans="1:21" ht="15" customHeight="1" x14ac:dyDescent="0.25">
      <c r="A95" s="332"/>
      <c r="B95" s="355"/>
      <c r="C95" s="356"/>
      <c r="D95" s="356"/>
      <c r="E95" s="356"/>
      <c r="F95" s="356"/>
      <c r="G95" s="356"/>
      <c r="H95" s="356"/>
      <c r="I95" s="356"/>
      <c r="J95" s="356"/>
      <c r="K95" s="356"/>
      <c r="L95" s="356"/>
      <c r="M95" s="356"/>
      <c r="N95" s="357"/>
      <c r="O95" s="364"/>
      <c r="P95" s="365"/>
      <c r="Q95" s="366"/>
      <c r="R95" s="53"/>
      <c r="S95" s="95"/>
      <c r="T95" s="12"/>
      <c r="U95" s="12"/>
    </row>
    <row r="96" spans="1:21" ht="15" customHeight="1" x14ac:dyDescent="0.25">
      <c r="A96" s="332"/>
      <c r="B96" s="355"/>
      <c r="C96" s="356"/>
      <c r="D96" s="356"/>
      <c r="E96" s="356"/>
      <c r="F96" s="356"/>
      <c r="G96" s="356"/>
      <c r="H96" s="356"/>
      <c r="I96" s="356"/>
      <c r="J96" s="356"/>
      <c r="K96" s="356"/>
      <c r="L96" s="356"/>
      <c r="M96" s="356"/>
      <c r="N96" s="357"/>
      <c r="O96" s="364"/>
      <c r="P96" s="365"/>
      <c r="Q96" s="366"/>
      <c r="R96" s="53"/>
      <c r="S96" s="95"/>
      <c r="T96" s="12"/>
      <c r="U96" s="12"/>
    </row>
    <row r="97" spans="1:21" ht="15" customHeight="1" x14ac:dyDescent="0.25">
      <c r="A97" s="332"/>
      <c r="B97" s="355"/>
      <c r="C97" s="356"/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7"/>
      <c r="O97" s="364"/>
      <c r="P97" s="365"/>
      <c r="Q97" s="366"/>
      <c r="R97" s="53"/>
      <c r="S97" s="95"/>
      <c r="T97" s="12"/>
      <c r="U97" s="12"/>
    </row>
    <row r="98" spans="1:21" ht="15" customHeight="1" thickBot="1" x14ac:dyDescent="0.3">
      <c r="A98" s="332"/>
      <c r="B98" s="355"/>
      <c r="C98" s="356"/>
      <c r="D98" s="356"/>
      <c r="E98" s="356"/>
      <c r="F98" s="356"/>
      <c r="G98" s="356"/>
      <c r="H98" s="356"/>
      <c r="I98" s="356"/>
      <c r="J98" s="356"/>
      <c r="K98" s="356"/>
      <c r="L98" s="356"/>
      <c r="M98" s="356"/>
      <c r="N98" s="357"/>
      <c r="O98" s="337"/>
      <c r="P98" s="338"/>
      <c r="Q98" s="339"/>
      <c r="R98" s="53"/>
      <c r="S98" s="95"/>
      <c r="T98" s="12"/>
      <c r="U98" s="12"/>
    </row>
    <row r="99" spans="1:21" ht="15.75" customHeight="1" thickBot="1" x14ac:dyDescent="0.3">
      <c r="A99" s="332"/>
      <c r="B99" s="358"/>
      <c r="C99" s="359"/>
      <c r="D99" s="359"/>
      <c r="E99" s="359"/>
      <c r="F99" s="359"/>
      <c r="G99" s="359"/>
      <c r="H99" s="359"/>
      <c r="I99" s="359"/>
      <c r="J99" s="359"/>
      <c r="K99" s="359"/>
      <c r="L99" s="359"/>
      <c r="M99" s="359"/>
      <c r="N99" s="360"/>
      <c r="O99" s="340" t="s">
        <v>17</v>
      </c>
      <c r="P99" s="341"/>
      <c r="Q99" s="342"/>
      <c r="R99" s="54">
        <f>SUM(R92:R98)</f>
        <v>0</v>
      </c>
      <c r="S99" s="96"/>
      <c r="T99" s="12"/>
      <c r="U99" s="12"/>
    </row>
    <row r="100" spans="1:21" ht="15.75" thickBot="1" x14ac:dyDescent="0.3">
      <c r="A100" s="332"/>
    </row>
    <row r="101" spans="1:21" ht="51.75" customHeight="1" thickBot="1" x14ac:dyDescent="0.3">
      <c r="A101" s="333"/>
      <c r="B101" s="343" t="s">
        <v>19</v>
      </c>
      <c r="C101" s="344"/>
      <c r="D101" s="344"/>
      <c r="E101" s="344"/>
      <c r="F101" s="344"/>
      <c r="G101" s="344"/>
      <c r="H101" s="344"/>
      <c r="I101" s="344"/>
      <c r="J101" s="344"/>
      <c r="K101" s="344"/>
      <c r="L101" s="345"/>
      <c r="M101" s="101"/>
      <c r="N101" s="59" t="s">
        <v>17</v>
      </c>
      <c r="O101" s="346">
        <f>O89-SUM(R92:R98)</f>
        <v>0</v>
      </c>
      <c r="P101" s="347"/>
      <c r="Q101" s="347"/>
      <c r="R101" s="347"/>
      <c r="S101" s="347"/>
      <c r="T101" s="347"/>
      <c r="U101" s="348"/>
    </row>
    <row r="102" spans="1:21" ht="15.75" customHeight="1" x14ac:dyDescent="0.25">
      <c r="A102" s="45"/>
      <c r="P102" s="43"/>
      <c r="Q102" s="43"/>
      <c r="R102" s="43"/>
      <c r="S102" s="43"/>
      <c r="U102" s="62"/>
    </row>
    <row r="103" spans="1:21" ht="15" customHeight="1" x14ac:dyDescent="0.25">
      <c r="A103" s="45"/>
      <c r="P103" s="43"/>
      <c r="Q103" s="43"/>
      <c r="R103" s="43"/>
      <c r="S103" s="43"/>
      <c r="U103" s="13"/>
    </row>
    <row r="104" spans="1:21" ht="15" customHeight="1" x14ac:dyDescent="0.25">
      <c r="P104" s="43"/>
      <c r="Q104" s="43"/>
      <c r="R104" s="43"/>
      <c r="S104" s="43"/>
      <c r="U104" s="13"/>
    </row>
    <row r="105" spans="1:21" ht="15" customHeight="1" x14ac:dyDescent="0.25">
      <c r="P105" s="43"/>
      <c r="Q105" s="43"/>
      <c r="R105" s="43"/>
      <c r="S105" s="43"/>
      <c r="U105" s="13"/>
    </row>
    <row r="106" spans="1:21" ht="15" customHeight="1" x14ac:dyDescent="0.25">
      <c r="P106" s="43"/>
      <c r="Q106" s="43"/>
      <c r="R106" s="43"/>
      <c r="S106" s="43"/>
      <c r="U106" s="13"/>
    </row>
    <row r="107" spans="1:21" ht="15" customHeight="1" x14ac:dyDescent="0.25">
      <c r="P107" s="43"/>
      <c r="Q107" s="43"/>
      <c r="R107" s="43"/>
      <c r="S107" s="43"/>
      <c r="U107" s="13"/>
    </row>
    <row r="108" spans="1:21" ht="15" customHeight="1" x14ac:dyDescent="0.25">
      <c r="P108" s="43"/>
      <c r="Q108" s="43"/>
      <c r="R108" s="43"/>
      <c r="S108" s="43"/>
      <c r="U108" s="13"/>
    </row>
    <row r="109" spans="1:21" ht="15" customHeight="1" x14ac:dyDescent="0.25">
      <c r="P109" s="43"/>
      <c r="Q109" s="43"/>
      <c r="R109" s="43"/>
      <c r="S109" s="43"/>
      <c r="U109" s="13"/>
    </row>
    <row r="110" spans="1:21" ht="15.75" customHeight="1" x14ac:dyDescent="0.25">
      <c r="P110" s="43"/>
      <c r="Q110" s="43"/>
      <c r="R110" s="43"/>
      <c r="S110" s="43"/>
      <c r="U110" s="13"/>
    </row>
  </sheetData>
  <mergeCells count="24">
    <mergeCell ref="O96:Q96"/>
    <mergeCell ref="O97:Q97"/>
    <mergeCell ref="B88:M89"/>
    <mergeCell ref="A5:A72"/>
    <mergeCell ref="B75:M78"/>
    <mergeCell ref="B80:M82"/>
    <mergeCell ref="B84:M85"/>
    <mergeCell ref="B86:M87"/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customWidth="1"/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0" width="15.42578125" customWidth="1"/>
    <col min="21" max="21" width="11.42578125" customWidth="1"/>
    <col min="22" max="22" width="71.42578125" style="58" customWidth="1"/>
  </cols>
  <sheetData>
    <row r="1" spans="1:22" ht="15.75" thickBot="1" x14ac:dyDescent="0.3"/>
    <row r="2" spans="1:22" ht="29.65" customHeight="1" thickBot="1" x14ac:dyDescent="0.3">
      <c r="B2" s="325" t="s">
        <v>264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30"/>
    </row>
    <row r="3" spans="1:22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65" customHeight="1" outlineLevel="1" x14ac:dyDescent="0.25">
      <c r="A5" s="379" t="s">
        <v>45</v>
      </c>
      <c r="B5" s="70" t="s">
        <v>203</v>
      </c>
      <c r="C5" s="78" t="s">
        <v>204</v>
      </c>
      <c r="D5" s="78" t="s">
        <v>205</v>
      </c>
      <c r="E5" s="78" t="s">
        <v>52</v>
      </c>
      <c r="F5" s="78" t="s">
        <v>97</v>
      </c>
      <c r="G5" s="78" t="s">
        <v>69</v>
      </c>
      <c r="H5" s="78" t="s">
        <v>55</v>
      </c>
      <c r="I5" s="82">
        <v>56974397201</v>
      </c>
      <c r="J5" s="41" t="s">
        <v>206</v>
      </c>
      <c r="K5" s="41" t="s">
        <v>119</v>
      </c>
      <c r="L5" s="76" t="s">
        <v>190</v>
      </c>
      <c r="M5" s="76" t="s">
        <v>196</v>
      </c>
      <c r="N5" s="74">
        <f>SUMPRODUCT(Tabla5232[[#This Row],[Naranjas]:[Nueces]],O$45:T$45)</f>
        <v>59900</v>
      </c>
      <c r="O5" s="76">
        <v>0</v>
      </c>
      <c r="P5" s="76">
        <v>3</v>
      </c>
      <c r="Q5" s="76">
        <v>7</v>
      </c>
      <c r="R5" s="76">
        <v>0</v>
      </c>
      <c r="S5" s="76">
        <v>3</v>
      </c>
      <c r="T5" s="76">
        <v>0</v>
      </c>
      <c r="U5" s="26">
        <f>SUM(Tabla5232[[#This Row],[Naranjas]:[Nueces]])</f>
        <v>13</v>
      </c>
      <c r="V5" s="84"/>
    </row>
    <row r="6" spans="1:22" outlineLevel="1" x14ac:dyDescent="0.25">
      <c r="A6" s="380"/>
      <c r="B6" s="71" t="s">
        <v>186</v>
      </c>
      <c r="C6" s="74" t="s">
        <v>158</v>
      </c>
      <c r="D6" s="74" t="s">
        <v>187</v>
      </c>
      <c r="E6" s="74" t="s">
        <v>61</v>
      </c>
      <c r="F6" s="74" t="s">
        <v>188</v>
      </c>
      <c r="G6" s="74" t="s">
        <v>108</v>
      </c>
      <c r="H6" s="74" t="s">
        <v>55</v>
      </c>
      <c r="I6" s="80">
        <v>56998222891</v>
      </c>
      <c r="J6" s="42" t="s">
        <v>189</v>
      </c>
      <c r="K6" s="42" t="s">
        <v>119</v>
      </c>
      <c r="L6" s="79" t="s">
        <v>190</v>
      </c>
      <c r="M6" s="79" t="s">
        <v>196</v>
      </c>
      <c r="N6" s="74">
        <f>SUMPRODUCT(Tabla5232[[#This Row],[Naranjas]:[Nueces]],O$45:T$45)</f>
        <v>252200</v>
      </c>
      <c r="O6" s="79">
        <v>0</v>
      </c>
      <c r="P6" s="79">
        <v>11</v>
      </c>
      <c r="Q6" s="79">
        <v>16</v>
      </c>
      <c r="R6" s="79">
        <v>10</v>
      </c>
      <c r="S6" s="79">
        <v>7</v>
      </c>
      <c r="T6" s="79">
        <v>2</v>
      </c>
      <c r="U6" s="26">
        <f>SUM(Tabla5232[[#This Row],[Naranjas]:[Nueces]])</f>
        <v>46</v>
      </c>
      <c r="V6" s="85"/>
    </row>
    <row r="7" spans="1:22" outlineLevel="1" x14ac:dyDescent="0.25">
      <c r="A7" s="380"/>
      <c r="B7" s="71" t="s">
        <v>71</v>
      </c>
      <c r="C7" s="3" t="s">
        <v>72</v>
      </c>
      <c r="D7" s="3" t="s">
        <v>73</v>
      </c>
      <c r="E7" s="3" t="s">
        <v>74</v>
      </c>
      <c r="F7" s="3" t="s">
        <v>75</v>
      </c>
      <c r="G7" s="3" t="s">
        <v>69</v>
      </c>
      <c r="H7" s="3" t="s">
        <v>55</v>
      </c>
      <c r="I7" s="35">
        <v>56979769748</v>
      </c>
      <c r="J7" s="42" t="s">
        <v>76</v>
      </c>
      <c r="K7" s="42" t="s">
        <v>57</v>
      </c>
      <c r="L7" s="26" t="s">
        <v>190</v>
      </c>
      <c r="M7" s="26" t="s">
        <v>196</v>
      </c>
      <c r="N7" s="74">
        <f>SUMPRODUCT(Tabla5232[[#This Row],[Naranjas]:[Nueces]],O$45:T$45)</f>
        <v>35700</v>
      </c>
      <c r="O7" s="26">
        <v>0</v>
      </c>
      <c r="P7" s="26">
        <v>0</v>
      </c>
      <c r="Q7" s="26">
        <v>1</v>
      </c>
      <c r="R7" s="26">
        <v>1</v>
      </c>
      <c r="S7" s="26">
        <v>5</v>
      </c>
      <c r="T7" s="26">
        <v>0</v>
      </c>
      <c r="U7" s="26">
        <f>SUM(Tabla5232[[#This Row],[Naranjas]:[Nueces]])</f>
        <v>7</v>
      </c>
      <c r="V7" s="64" t="s">
        <v>198</v>
      </c>
    </row>
    <row r="8" spans="1:22" outlineLevel="1" x14ac:dyDescent="0.25">
      <c r="A8" s="380"/>
      <c r="B8" s="71" t="s">
        <v>178</v>
      </c>
      <c r="C8" s="3" t="s">
        <v>179</v>
      </c>
      <c r="D8" s="3" t="s">
        <v>180</v>
      </c>
      <c r="E8" s="3" t="s">
        <v>80</v>
      </c>
      <c r="F8" s="3" t="s">
        <v>68</v>
      </c>
      <c r="G8" s="3">
        <v>0</v>
      </c>
      <c r="H8" s="3" t="s">
        <v>55</v>
      </c>
      <c r="I8" s="35">
        <v>56954243532</v>
      </c>
      <c r="J8" s="74" t="s">
        <v>181</v>
      </c>
      <c r="K8" s="74" t="s">
        <v>57</v>
      </c>
      <c r="L8" s="26" t="s">
        <v>190</v>
      </c>
      <c r="M8" s="26" t="s">
        <v>196</v>
      </c>
      <c r="N8" s="74">
        <f>SUMPRODUCT(Tabla5232[[#This Row],[Naranjas]:[Nueces]],O$45:T$45)</f>
        <v>152200</v>
      </c>
      <c r="O8" s="26">
        <v>0</v>
      </c>
      <c r="P8" s="26">
        <v>7</v>
      </c>
      <c r="Q8" s="26">
        <v>11</v>
      </c>
      <c r="R8" s="26">
        <v>3</v>
      </c>
      <c r="S8" s="26">
        <v>6</v>
      </c>
      <c r="T8" s="26">
        <v>3</v>
      </c>
      <c r="U8" s="26">
        <f>SUM(Tabla5232[[#This Row],[Naranjas]:[Nueces]])</f>
        <v>30</v>
      </c>
      <c r="V8" s="64"/>
    </row>
    <row r="9" spans="1:22" outlineLevel="1" x14ac:dyDescent="0.25">
      <c r="A9" s="380"/>
      <c r="B9" s="71" t="s">
        <v>110</v>
      </c>
      <c r="C9" s="3" t="s">
        <v>111</v>
      </c>
      <c r="D9" s="3" t="s">
        <v>112</v>
      </c>
      <c r="E9" s="3" t="s">
        <v>52</v>
      </c>
      <c r="F9" s="3" t="s">
        <v>97</v>
      </c>
      <c r="G9" s="3" t="s">
        <v>113</v>
      </c>
      <c r="H9" s="3" t="s">
        <v>55</v>
      </c>
      <c r="I9" s="35">
        <v>56987143347</v>
      </c>
      <c r="J9" s="42" t="s">
        <v>114</v>
      </c>
      <c r="K9" s="42" t="s">
        <v>89</v>
      </c>
      <c r="L9" s="26" t="s">
        <v>190</v>
      </c>
      <c r="M9" s="26" t="s">
        <v>196</v>
      </c>
      <c r="N9" s="74">
        <f>SUMPRODUCT(Tabla5232[[#This Row],[Naranjas]:[Nueces]],O$45:T$45)</f>
        <v>87500</v>
      </c>
      <c r="O9" s="26">
        <v>0</v>
      </c>
      <c r="P9" s="26">
        <v>3</v>
      </c>
      <c r="Q9" s="26">
        <v>0</v>
      </c>
      <c r="R9" s="26">
        <v>4</v>
      </c>
      <c r="S9" s="26">
        <v>4</v>
      </c>
      <c r="T9" s="26">
        <v>4</v>
      </c>
      <c r="U9" s="26">
        <f>SUM(Tabla5232[[#This Row],[Naranjas]:[Nueces]])</f>
        <v>15</v>
      </c>
      <c r="V9" s="64" t="s">
        <v>46</v>
      </c>
    </row>
    <row r="10" spans="1:22" outlineLevel="1" x14ac:dyDescent="0.25">
      <c r="A10" s="380"/>
      <c r="B10" s="71" t="s">
        <v>141</v>
      </c>
      <c r="C10" s="74" t="s">
        <v>145</v>
      </c>
      <c r="D10" s="74" t="s">
        <v>146</v>
      </c>
      <c r="E10" s="74" t="s">
        <v>74</v>
      </c>
      <c r="F10" s="74" t="s">
        <v>147</v>
      </c>
      <c r="G10" s="74" t="s">
        <v>113</v>
      </c>
      <c r="H10" s="74" t="s">
        <v>55</v>
      </c>
      <c r="I10" s="80">
        <v>56986351953</v>
      </c>
      <c r="J10" s="42" t="s">
        <v>148</v>
      </c>
      <c r="K10" s="42" t="s">
        <v>119</v>
      </c>
      <c r="L10" s="79" t="s">
        <v>190</v>
      </c>
      <c r="M10" s="79" t="s">
        <v>190</v>
      </c>
      <c r="N10" s="74">
        <f>SUMPRODUCT(Tabla5232[[#This Row],[Naranjas]:[Nueces]],O$45:T$45)</f>
        <v>40600</v>
      </c>
      <c r="O10" s="79">
        <v>0</v>
      </c>
      <c r="P10" s="79">
        <v>2</v>
      </c>
      <c r="Q10" s="79">
        <v>3</v>
      </c>
      <c r="R10" s="79">
        <v>1</v>
      </c>
      <c r="S10" s="79">
        <v>2</v>
      </c>
      <c r="T10" s="79">
        <v>0</v>
      </c>
      <c r="U10" s="26">
        <f>SUM(Tabla5232[[#This Row],[Naranjas]:[Nueces]])</f>
        <v>8</v>
      </c>
      <c r="V10" s="85"/>
    </row>
    <row r="11" spans="1:22" outlineLevel="1" x14ac:dyDescent="0.25">
      <c r="A11" s="380"/>
      <c r="B11" s="71" t="s">
        <v>133</v>
      </c>
      <c r="C11" s="74" t="s">
        <v>134</v>
      </c>
      <c r="D11" s="74" t="s">
        <v>135</v>
      </c>
      <c r="E11" s="74" t="s">
        <v>52</v>
      </c>
      <c r="F11" s="74" t="s">
        <v>97</v>
      </c>
      <c r="G11" s="74" t="s">
        <v>69</v>
      </c>
      <c r="H11" s="74" t="s">
        <v>55</v>
      </c>
      <c r="I11" s="80">
        <v>56982328251</v>
      </c>
      <c r="J11" s="42" t="s">
        <v>136</v>
      </c>
      <c r="K11" s="42" t="s">
        <v>119</v>
      </c>
      <c r="L11" s="79" t="s">
        <v>190</v>
      </c>
      <c r="M11" s="79" t="s">
        <v>190</v>
      </c>
      <c r="N11" s="74">
        <f>SUMPRODUCT(Tabla5232[[#This Row],[Naranjas]:[Nueces]],O$45:T$45)</f>
        <v>18400</v>
      </c>
      <c r="O11" s="79">
        <v>0</v>
      </c>
      <c r="P11" s="79">
        <v>0</v>
      </c>
      <c r="Q11" s="79">
        <v>2</v>
      </c>
      <c r="R11" s="79">
        <v>0</v>
      </c>
      <c r="S11" s="79">
        <v>2</v>
      </c>
      <c r="T11" s="79">
        <v>0</v>
      </c>
      <c r="U11" s="26">
        <f>SUM(Tabla5232[[#This Row],[Naranjas]:[Nueces]])</f>
        <v>4</v>
      </c>
      <c r="V11" s="85"/>
    </row>
    <row r="12" spans="1:22" outlineLevel="1" x14ac:dyDescent="0.25">
      <c r="A12" s="380"/>
      <c r="B12" s="71" t="s">
        <v>199</v>
      </c>
      <c r="C12" s="3" t="s">
        <v>200</v>
      </c>
      <c r="D12" s="3" t="s">
        <v>201</v>
      </c>
      <c r="E12" s="3" t="s">
        <v>61</v>
      </c>
      <c r="F12" s="3" t="s">
        <v>86</v>
      </c>
      <c r="G12" s="3" t="s">
        <v>113</v>
      </c>
      <c r="H12" s="3" t="s">
        <v>55</v>
      </c>
      <c r="I12" s="35">
        <v>56968348679</v>
      </c>
      <c r="J12" s="42" t="s">
        <v>202</v>
      </c>
      <c r="K12" s="42" t="s">
        <v>119</v>
      </c>
      <c r="L12" s="79" t="s">
        <v>190</v>
      </c>
      <c r="M12" s="26" t="s">
        <v>190</v>
      </c>
      <c r="N12" s="74">
        <f>SUMPRODUCT(Tabla5232[[#This Row],[Naranjas]:[Nueces]],O$45:T$45)</f>
        <v>22500</v>
      </c>
      <c r="O12" s="79">
        <v>0</v>
      </c>
      <c r="P12" s="79">
        <v>3</v>
      </c>
      <c r="Q12" s="79">
        <v>0</v>
      </c>
      <c r="R12" s="79">
        <v>0</v>
      </c>
      <c r="S12" s="79">
        <v>2</v>
      </c>
      <c r="T12" s="79">
        <v>0</v>
      </c>
      <c r="U12" s="79">
        <f>SUM(Tabla5232[[#This Row],[Naranjas]:[Nueces]])</f>
        <v>5</v>
      </c>
      <c r="V12" s="85"/>
    </row>
    <row r="13" spans="1:22" outlineLevel="1" x14ac:dyDescent="0.25">
      <c r="A13" s="380"/>
      <c r="B13" s="71" t="s">
        <v>128</v>
      </c>
      <c r="C13" s="3" t="s">
        <v>158</v>
      </c>
      <c r="D13" s="3" t="s">
        <v>159</v>
      </c>
      <c r="E13" s="3" t="s">
        <v>52</v>
      </c>
      <c r="F13" s="3" t="s">
        <v>97</v>
      </c>
      <c r="G13" s="3" t="s">
        <v>63</v>
      </c>
      <c r="H13" s="3" t="s">
        <v>55</v>
      </c>
      <c r="I13" s="35">
        <v>56967898535</v>
      </c>
      <c r="J13" s="42" t="s">
        <v>160</v>
      </c>
      <c r="K13" s="42" t="s">
        <v>119</v>
      </c>
      <c r="L13" s="26" t="s">
        <v>190</v>
      </c>
      <c r="M13" s="26" t="s">
        <v>190</v>
      </c>
      <c r="N13" s="74">
        <f>SUMPRODUCT(Tabla5232[[#This Row],[Naranjas]:[Nueces]],O$45:T$45)</f>
        <v>79900</v>
      </c>
      <c r="O13" s="26">
        <v>0</v>
      </c>
      <c r="P13" s="26">
        <v>1</v>
      </c>
      <c r="Q13" s="26">
        <v>12</v>
      </c>
      <c r="R13" s="26">
        <v>0</v>
      </c>
      <c r="S13" s="26">
        <v>3</v>
      </c>
      <c r="T13" s="26">
        <v>1</v>
      </c>
      <c r="U13" s="26">
        <f>SUM(Tabla5232[[#This Row],[Naranjas]:[Nueces]])</f>
        <v>17</v>
      </c>
      <c r="V13" s="64"/>
    </row>
    <row r="14" spans="1:22" outlineLevel="1" x14ac:dyDescent="0.25">
      <c r="A14" s="380"/>
      <c r="B14" s="71" t="s">
        <v>115</v>
      </c>
      <c r="C14" s="3" t="s">
        <v>116</v>
      </c>
      <c r="D14" s="3" t="s">
        <v>117</v>
      </c>
      <c r="E14" s="3" t="s">
        <v>52</v>
      </c>
      <c r="F14" s="3" t="s">
        <v>53</v>
      </c>
      <c r="G14" s="3" t="s">
        <v>69</v>
      </c>
      <c r="H14" s="3" t="s">
        <v>55</v>
      </c>
      <c r="I14" s="35">
        <v>56966477967</v>
      </c>
      <c r="J14" s="42" t="s">
        <v>118</v>
      </c>
      <c r="K14" s="42" t="s">
        <v>119</v>
      </c>
      <c r="L14" s="26" t="s">
        <v>190</v>
      </c>
      <c r="M14" s="26" t="s">
        <v>190</v>
      </c>
      <c r="N14" s="74">
        <f>SUMPRODUCT(Tabla5232[[#This Row],[Naranjas]:[Nueces]],O$45:T$45)</f>
        <v>102100</v>
      </c>
      <c r="O14" s="26">
        <v>0</v>
      </c>
      <c r="P14" s="26">
        <v>4</v>
      </c>
      <c r="Q14" s="26">
        <v>8</v>
      </c>
      <c r="R14" s="26">
        <v>1</v>
      </c>
      <c r="S14" s="26">
        <v>6</v>
      </c>
      <c r="T14" s="26">
        <v>2</v>
      </c>
      <c r="U14" s="26">
        <f>SUM(Tabla5232[[#This Row],[Naranjas]:[Nueces]])</f>
        <v>21</v>
      </c>
      <c r="V14" s="64" t="s">
        <v>47</v>
      </c>
    </row>
    <row r="15" spans="1:22" outlineLevel="1" x14ac:dyDescent="0.25">
      <c r="A15" s="380"/>
      <c r="B15" s="71" t="s">
        <v>128</v>
      </c>
      <c r="C15" s="3" t="s">
        <v>129</v>
      </c>
      <c r="D15" s="3" t="s">
        <v>130</v>
      </c>
      <c r="E15" s="3" t="s">
        <v>52</v>
      </c>
      <c r="F15" s="3" t="s">
        <v>97</v>
      </c>
      <c r="G15" s="3" t="s">
        <v>131</v>
      </c>
      <c r="H15" s="3" t="s">
        <v>55</v>
      </c>
      <c r="I15" s="35">
        <v>56993333225</v>
      </c>
      <c r="J15" s="42" t="s">
        <v>132</v>
      </c>
      <c r="K15" s="42" t="s">
        <v>119</v>
      </c>
      <c r="L15" s="26" t="s">
        <v>190</v>
      </c>
      <c r="M15" s="26" t="s">
        <v>190</v>
      </c>
      <c r="N15" s="74">
        <f>SUMPRODUCT(Tabla5232[[#This Row],[Naranjas]:[Nueces]],O$45:T$45)</f>
        <v>20000</v>
      </c>
      <c r="O15" s="26">
        <v>0</v>
      </c>
      <c r="P15" s="26">
        <v>1</v>
      </c>
      <c r="Q15" s="26">
        <v>0</v>
      </c>
      <c r="R15" s="26">
        <v>0</v>
      </c>
      <c r="S15" s="26">
        <v>1</v>
      </c>
      <c r="T15" s="26">
        <v>2</v>
      </c>
      <c r="U15" s="26">
        <f>SUM(Tabla5232[[#This Row],[Naranjas]:[Nueces]])</f>
        <v>4</v>
      </c>
      <c r="V15" s="64"/>
    </row>
    <row r="16" spans="1:22" outlineLevel="1" x14ac:dyDescent="0.25">
      <c r="A16" s="380"/>
      <c r="B16" s="71" t="s">
        <v>161</v>
      </c>
      <c r="C16" s="3" t="s">
        <v>162</v>
      </c>
      <c r="D16" s="3" t="s">
        <v>163</v>
      </c>
      <c r="E16" s="3" t="s">
        <v>52</v>
      </c>
      <c r="F16" s="3" t="s">
        <v>53</v>
      </c>
      <c r="G16" s="3" t="s">
        <v>63</v>
      </c>
      <c r="H16" s="3" t="s">
        <v>55</v>
      </c>
      <c r="I16" s="35">
        <v>56991889995</v>
      </c>
      <c r="J16" s="42" t="s">
        <v>164</v>
      </c>
      <c r="K16" s="42" t="s">
        <v>119</v>
      </c>
      <c r="L16" s="26" t="s">
        <v>190</v>
      </c>
      <c r="M16" s="26" t="s">
        <v>190</v>
      </c>
      <c r="N16" s="74">
        <f>SUMPRODUCT(Tabla5232[[#This Row],[Naranjas]:[Nueces]],O$45:T$45)</f>
        <v>124800</v>
      </c>
      <c r="O16" s="26">
        <v>1</v>
      </c>
      <c r="P16" s="26">
        <v>5</v>
      </c>
      <c r="Q16" s="26">
        <v>9</v>
      </c>
      <c r="R16" s="26">
        <v>4</v>
      </c>
      <c r="S16" s="26">
        <v>4</v>
      </c>
      <c r="T16" s="26">
        <v>1</v>
      </c>
      <c r="U16" s="26">
        <f>SUM(Tabla5232[[#This Row],[Naranjas]:[Nueces]])</f>
        <v>24</v>
      </c>
      <c r="V16" s="64"/>
    </row>
    <row r="17" spans="1:22" outlineLevel="1" x14ac:dyDescent="0.25">
      <c r="A17" s="380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74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25">
      <c r="A18" s="380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74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25">
      <c r="A19" s="380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79" t="s">
        <v>190</v>
      </c>
      <c r="M19" s="26" t="s">
        <v>190</v>
      </c>
      <c r="N19" s="74">
        <f>SUMPRODUCT(Tabla5232[[#This Row],[Naranjas]:[Nueces]],O$45:T$45)</f>
        <v>31800</v>
      </c>
      <c r="O19" s="79">
        <v>0</v>
      </c>
      <c r="P19" s="79">
        <v>1</v>
      </c>
      <c r="Q19" s="79">
        <v>4</v>
      </c>
      <c r="R19" s="79">
        <v>1</v>
      </c>
      <c r="S19" s="79">
        <v>0</v>
      </c>
      <c r="T19" s="79">
        <v>0</v>
      </c>
      <c r="U19" s="79">
        <f>SUM(Tabla5232[[#This Row],[Naranjas]:[Nueces]])</f>
        <v>6</v>
      </c>
      <c r="V19" s="85" t="s">
        <v>46</v>
      </c>
    </row>
    <row r="20" spans="1:22" outlineLevel="1" x14ac:dyDescent="0.25">
      <c r="A20" s="380"/>
      <c r="B20" s="71" t="s">
        <v>120</v>
      </c>
      <c r="C20" s="74" t="s">
        <v>121</v>
      </c>
      <c r="D20" s="74" t="s">
        <v>122</v>
      </c>
      <c r="E20" s="74" t="s">
        <v>80</v>
      </c>
      <c r="F20" s="74" t="s">
        <v>81</v>
      </c>
      <c r="G20" s="74" t="s">
        <v>63</v>
      </c>
      <c r="H20" s="74" t="s">
        <v>55</v>
      </c>
      <c r="I20" s="80">
        <v>56978785698</v>
      </c>
      <c r="J20" s="42" t="s">
        <v>123</v>
      </c>
      <c r="K20" s="42" t="s">
        <v>57</v>
      </c>
      <c r="L20" s="79" t="s">
        <v>190</v>
      </c>
      <c r="M20" s="79" t="s">
        <v>190</v>
      </c>
      <c r="N20" s="74">
        <f>SUMPRODUCT(Tabla5232[[#This Row],[Naranjas]:[Nueces]],O$45:T$45)</f>
        <v>15700</v>
      </c>
      <c r="O20" s="79">
        <v>0</v>
      </c>
      <c r="P20" s="79">
        <v>0</v>
      </c>
      <c r="Q20" s="79">
        <v>1</v>
      </c>
      <c r="R20" s="79">
        <v>0</v>
      </c>
      <c r="S20" s="79">
        <v>0</v>
      </c>
      <c r="T20" s="79">
        <v>2</v>
      </c>
      <c r="U20" s="26">
        <f>SUM(Tabla5232[[#This Row],[Naranjas]:[Nueces]])</f>
        <v>3</v>
      </c>
      <c r="V20" s="85"/>
    </row>
    <row r="21" spans="1:22" outlineLevel="1" x14ac:dyDescent="0.25">
      <c r="A21" s="380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74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25">
      <c r="A22" s="380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74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25">
      <c r="A23" s="380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79" t="s">
        <v>190</v>
      </c>
      <c r="M23" s="26" t="s">
        <v>190</v>
      </c>
      <c r="N23" s="74">
        <f>SUMPRODUCT(Tabla5232[[#This Row],[Naranjas]:[Nueces]],O$45:T$45)</f>
        <v>40900</v>
      </c>
      <c r="O23" s="79">
        <v>0</v>
      </c>
      <c r="P23" s="79">
        <v>1</v>
      </c>
      <c r="Q23" s="79">
        <v>2</v>
      </c>
      <c r="R23" s="79">
        <v>2</v>
      </c>
      <c r="S23" s="79">
        <v>1</v>
      </c>
      <c r="T23" s="79">
        <v>1</v>
      </c>
      <c r="U23" s="79">
        <f>SUM(Tabla5232[[#This Row],[Naranjas]:[Nueces]])</f>
        <v>7</v>
      </c>
      <c r="V23" s="85" t="s">
        <v>46</v>
      </c>
    </row>
    <row r="24" spans="1:22" outlineLevel="1" x14ac:dyDescent="0.25">
      <c r="A24" s="380"/>
      <c r="B24" s="71" t="s">
        <v>65</v>
      </c>
      <c r="C24" s="74" t="s">
        <v>66</v>
      </c>
      <c r="D24" s="74" t="s">
        <v>67</v>
      </c>
      <c r="E24" s="74" t="s">
        <v>61</v>
      </c>
      <c r="F24" s="74" t="s">
        <v>68</v>
      </c>
      <c r="G24" s="74" t="s">
        <v>69</v>
      </c>
      <c r="H24" s="74" t="s">
        <v>55</v>
      </c>
      <c r="I24" s="80">
        <v>56977684576</v>
      </c>
      <c r="J24" s="42" t="s">
        <v>70</v>
      </c>
      <c r="K24" s="42" t="s">
        <v>57</v>
      </c>
      <c r="L24" s="79" t="s">
        <v>190</v>
      </c>
      <c r="M24" s="79" t="s">
        <v>190</v>
      </c>
      <c r="N24" s="74">
        <f>SUMPRODUCT(Tabla5232[[#This Row],[Naranjas]:[Nueces]],O$45:T$45)</f>
        <v>41000</v>
      </c>
      <c r="O24" s="79">
        <v>0</v>
      </c>
      <c r="P24" s="79">
        <v>2</v>
      </c>
      <c r="Q24" s="79">
        <v>5</v>
      </c>
      <c r="R24" s="79">
        <v>1</v>
      </c>
      <c r="S24" s="79">
        <v>0</v>
      </c>
      <c r="T24" s="79">
        <v>0</v>
      </c>
      <c r="U24" s="26">
        <f>SUM(Tabla5232[[#This Row],[Naranjas]:[Nueces]])</f>
        <v>8</v>
      </c>
      <c r="V24" s="85" t="s">
        <v>46</v>
      </c>
    </row>
    <row r="25" spans="1:22" outlineLevel="1" x14ac:dyDescent="0.25">
      <c r="A25" s="380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79" t="s">
        <v>190</v>
      </c>
      <c r="M25" s="26" t="s">
        <v>190</v>
      </c>
      <c r="N25" s="74">
        <f>SUMPRODUCT(Tabla5232[[#This Row],[Naranjas]:[Nueces]],O$45:T$45)</f>
        <v>41100</v>
      </c>
      <c r="O25" s="79">
        <v>0</v>
      </c>
      <c r="P25" s="79">
        <v>0</v>
      </c>
      <c r="Q25" s="79">
        <v>3</v>
      </c>
      <c r="R25" s="79">
        <v>2</v>
      </c>
      <c r="S25" s="79">
        <v>1</v>
      </c>
      <c r="T25" s="79">
        <v>1</v>
      </c>
      <c r="U25" s="79">
        <f>SUM(Tabla5232[[#This Row],[Naranjas]:[Nueces]])</f>
        <v>7</v>
      </c>
      <c r="V25" s="85" t="s">
        <v>46</v>
      </c>
    </row>
    <row r="26" spans="1:22" outlineLevel="1" x14ac:dyDescent="0.25">
      <c r="A26" s="380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74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25">
      <c r="A27" s="380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74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25">
      <c r="A28" s="380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74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25">
      <c r="A29" s="380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74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25">
      <c r="A30" s="380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74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25">
      <c r="A31" s="380"/>
      <c r="B31" s="71" t="s">
        <v>100</v>
      </c>
      <c r="C31" s="74" t="s">
        <v>101</v>
      </c>
      <c r="D31" s="74" t="s">
        <v>102</v>
      </c>
      <c r="E31" s="74" t="s">
        <v>52</v>
      </c>
      <c r="F31" s="74" t="s">
        <v>97</v>
      </c>
      <c r="G31" s="74" t="s">
        <v>103</v>
      </c>
      <c r="H31" s="74" t="s">
        <v>55</v>
      </c>
      <c r="I31" s="80">
        <v>56966640363</v>
      </c>
      <c r="J31" s="42" t="s">
        <v>104</v>
      </c>
      <c r="K31" s="42" t="s">
        <v>89</v>
      </c>
      <c r="L31" s="79" t="s">
        <v>190</v>
      </c>
      <c r="M31" s="79" t="s">
        <v>190</v>
      </c>
      <c r="N31" s="74">
        <f>SUMPRODUCT(Tabla5232[[#This Row],[Naranjas]:[Nueces]],O$45:T$45)</f>
        <v>64000</v>
      </c>
      <c r="O31" s="79">
        <v>0</v>
      </c>
      <c r="P31" s="79">
        <v>3</v>
      </c>
      <c r="Q31" s="79">
        <v>5</v>
      </c>
      <c r="R31" s="79">
        <v>2</v>
      </c>
      <c r="S31" s="79">
        <v>1</v>
      </c>
      <c r="T31" s="79">
        <v>1</v>
      </c>
      <c r="U31" s="26">
        <f>SUM(Tabla5232[[#This Row],[Naranjas]:[Nueces]])</f>
        <v>12</v>
      </c>
      <c r="V31" s="85" t="s">
        <v>191</v>
      </c>
    </row>
    <row r="32" spans="1:22" outlineLevel="1" x14ac:dyDescent="0.25">
      <c r="A32" s="380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74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25">
      <c r="A33" s="380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79" t="s">
        <v>190</v>
      </c>
      <c r="M33" s="26" t="s">
        <v>190</v>
      </c>
      <c r="N33" s="74">
        <f>SUMPRODUCT(Tabla5232[[#This Row],[Naranjas]:[Nueces]],O$45:T$45)</f>
        <v>122200</v>
      </c>
      <c r="O33" s="79">
        <v>0</v>
      </c>
      <c r="P33" s="79">
        <v>0</v>
      </c>
      <c r="Q33" s="79">
        <v>26</v>
      </c>
      <c r="R33" s="79">
        <v>0</v>
      </c>
      <c r="S33" s="79">
        <v>0</v>
      </c>
      <c r="T33" s="79">
        <v>0</v>
      </c>
      <c r="U33" s="79">
        <f>SUM(Tabla5232[[#This Row],[Naranjas]:[Nueces]])</f>
        <v>26</v>
      </c>
      <c r="V33" s="85"/>
    </row>
    <row r="34" spans="1:22" outlineLevel="1" x14ac:dyDescent="0.25">
      <c r="A34" s="380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86" t="s">
        <v>190</v>
      </c>
      <c r="M34" s="26" t="s">
        <v>190</v>
      </c>
      <c r="N34" s="74">
        <f>SUMPRODUCT(Tabla5232[[#This Row],[Naranjas]:[Nueces]],O$45:T$45)</f>
        <v>153600</v>
      </c>
      <c r="O34" s="86">
        <v>0</v>
      </c>
      <c r="P34" s="86">
        <v>8</v>
      </c>
      <c r="Q34" s="86">
        <v>13</v>
      </c>
      <c r="R34" s="86">
        <v>4</v>
      </c>
      <c r="S34" s="86">
        <v>5</v>
      </c>
      <c r="T34" s="86">
        <v>0</v>
      </c>
      <c r="U34" s="86">
        <f>SUM(Tabla5232[[#This Row],[Naranjas]:[Nueces]])</f>
        <v>30</v>
      </c>
      <c r="V34" s="87"/>
    </row>
    <row r="35" spans="1:22" ht="15.75" outlineLevel="1" thickBot="1" x14ac:dyDescent="0.3">
      <c r="A35" s="381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86" t="s">
        <v>190</v>
      </c>
      <c r="M35" s="26" t="s">
        <v>190</v>
      </c>
      <c r="N35" s="74">
        <f>SUMPRODUCT(Tabla5232[[#This Row],[Naranjas]:[Nueces]],O$45:T$45)</f>
        <v>178200</v>
      </c>
      <c r="O35" s="86">
        <v>0</v>
      </c>
      <c r="P35" s="86">
        <v>15</v>
      </c>
      <c r="Q35" s="86">
        <v>11</v>
      </c>
      <c r="R35" s="86">
        <v>3</v>
      </c>
      <c r="S35" s="86">
        <v>5</v>
      </c>
      <c r="T35" s="86">
        <v>2</v>
      </c>
      <c r="U35" s="86">
        <f>SUM(Tabla5232[[#This Row],[Naranjas]:[Nueces]])</f>
        <v>36</v>
      </c>
      <c r="V35" s="87"/>
    </row>
    <row r="36" spans="1:22" outlineLevel="1" x14ac:dyDescent="0.25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.75" thickBot="1" x14ac:dyDescent="0.3"/>
    <row r="38" spans="1:22" ht="14.65" customHeight="1" thickBot="1" x14ac:dyDescent="0.3">
      <c r="A38" s="331" t="s">
        <v>21</v>
      </c>
      <c r="B38" s="367" t="s">
        <v>7</v>
      </c>
      <c r="C38" s="368"/>
      <c r="D38" s="368"/>
      <c r="E38" s="368"/>
      <c r="F38" s="368"/>
      <c r="G38" s="368"/>
      <c r="H38" s="368"/>
      <c r="I38" s="368"/>
      <c r="J38" s="368"/>
      <c r="K38" s="368"/>
      <c r="L38" s="369"/>
      <c r="M38" s="97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65" customHeight="1" thickBot="1" x14ac:dyDescent="0.3">
      <c r="A39" s="332"/>
      <c r="B39" s="376"/>
      <c r="C39" s="377"/>
      <c r="D39" s="377"/>
      <c r="E39" s="377"/>
      <c r="F39" s="377"/>
      <c r="G39" s="377"/>
      <c r="H39" s="377"/>
      <c r="I39" s="377"/>
      <c r="J39" s="377"/>
      <c r="K39" s="377"/>
      <c r="L39" s="378"/>
      <c r="M39" s="98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65" customHeight="1" thickBot="1" x14ac:dyDescent="0.3">
      <c r="A40" s="332"/>
      <c r="B40" s="376"/>
      <c r="C40" s="377"/>
      <c r="D40" s="377"/>
      <c r="E40" s="377"/>
      <c r="F40" s="377"/>
      <c r="G40" s="377"/>
      <c r="H40" s="377"/>
      <c r="I40" s="377"/>
      <c r="J40" s="377"/>
      <c r="K40" s="377"/>
      <c r="L40" s="378"/>
      <c r="M40" s="98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.75" thickBot="1" x14ac:dyDescent="0.3">
      <c r="A41" s="332"/>
      <c r="B41" s="370"/>
      <c r="C41" s="371"/>
      <c r="D41" s="371"/>
      <c r="E41" s="371"/>
      <c r="F41" s="371"/>
      <c r="G41" s="371"/>
      <c r="H41" s="371"/>
      <c r="I41" s="371"/>
      <c r="J41" s="371"/>
      <c r="K41" s="371"/>
      <c r="L41" s="372"/>
      <c r="M41" s="99"/>
      <c r="N41" s="67" t="s">
        <v>10</v>
      </c>
      <c r="O41" s="16"/>
      <c r="P41" s="27"/>
      <c r="Q41" s="27"/>
      <c r="R41" s="27"/>
      <c r="S41" s="27"/>
      <c r="T41" s="20"/>
    </row>
    <row r="42" spans="1:22" ht="15.75" thickBot="1" x14ac:dyDescent="0.3">
      <c r="A42" s="332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.75" thickBot="1" x14ac:dyDescent="0.3">
      <c r="A43" s="332"/>
      <c r="B43" s="367" t="s">
        <v>13</v>
      </c>
      <c r="C43" s="368"/>
      <c r="D43" s="368"/>
      <c r="E43" s="368"/>
      <c r="F43" s="368"/>
      <c r="G43" s="368"/>
      <c r="H43" s="368"/>
      <c r="I43" s="368"/>
      <c r="J43" s="368"/>
      <c r="K43" s="368"/>
      <c r="L43" s="369"/>
      <c r="M43" s="97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.75" thickBot="1" x14ac:dyDescent="0.3">
      <c r="A44" s="332"/>
      <c r="B44" s="376"/>
      <c r="C44" s="377"/>
      <c r="D44" s="377"/>
      <c r="E44" s="377"/>
      <c r="F44" s="377"/>
      <c r="G44" s="377"/>
      <c r="H44" s="377"/>
      <c r="I44" s="377"/>
      <c r="J44" s="377"/>
      <c r="K44" s="377"/>
      <c r="L44" s="378"/>
      <c r="M44" s="98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.75" thickBot="1" x14ac:dyDescent="0.3">
      <c r="A45" s="332"/>
      <c r="B45" s="370"/>
      <c r="C45" s="371"/>
      <c r="D45" s="371"/>
      <c r="E45" s="371"/>
      <c r="F45" s="371"/>
      <c r="G45" s="371"/>
      <c r="H45" s="371"/>
      <c r="I45" s="371"/>
      <c r="J45" s="371"/>
      <c r="K45" s="371"/>
      <c r="L45" s="372"/>
      <c r="M45" s="99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.75" thickBot="1" x14ac:dyDescent="0.3">
      <c r="A46" s="332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65" customHeight="1" thickBot="1" x14ac:dyDescent="0.3">
      <c r="A47" s="332"/>
      <c r="B47" s="367" t="s">
        <v>16</v>
      </c>
      <c r="C47" s="368"/>
      <c r="D47" s="368"/>
      <c r="E47" s="368"/>
      <c r="F47" s="368"/>
      <c r="G47" s="368"/>
      <c r="H47" s="368"/>
      <c r="I47" s="368"/>
      <c r="J47" s="368"/>
      <c r="K47" s="368"/>
      <c r="L47" s="369"/>
      <c r="M47" s="97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.75" thickBot="1" x14ac:dyDescent="0.3">
      <c r="A48" s="332"/>
      <c r="B48" s="370"/>
      <c r="C48" s="371"/>
      <c r="D48" s="371"/>
      <c r="E48" s="371"/>
      <c r="F48" s="371"/>
      <c r="G48" s="371"/>
      <c r="H48" s="371"/>
      <c r="I48" s="371"/>
      <c r="J48" s="371"/>
      <c r="K48" s="371"/>
      <c r="L48" s="372"/>
      <c r="M48" s="99"/>
      <c r="N48" s="67" t="s">
        <v>17</v>
      </c>
      <c r="O48" s="334">
        <f>SUM(O47:T47)</f>
        <v>1431571</v>
      </c>
      <c r="P48" s="335"/>
      <c r="Q48" s="335"/>
      <c r="R48" s="335"/>
      <c r="S48" s="335"/>
      <c r="T48" s="336"/>
    </row>
    <row r="49" spans="1:20" ht="15.75" thickBot="1" x14ac:dyDescent="0.3">
      <c r="A49" s="332"/>
      <c r="B49" s="367" t="s">
        <v>18</v>
      </c>
      <c r="C49" s="368"/>
      <c r="D49" s="368"/>
      <c r="E49" s="368"/>
      <c r="F49" s="368"/>
      <c r="G49" s="368"/>
      <c r="H49" s="368"/>
      <c r="I49" s="368"/>
      <c r="J49" s="368"/>
      <c r="K49" s="368"/>
      <c r="L49" s="369"/>
      <c r="M49" s="97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.75" thickBot="1" x14ac:dyDescent="0.3">
      <c r="A50" s="332"/>
      <c r="B50" s="370"/>
      <c r="C50" s="371"/>
      <c r="D50" s="371"/>
      <c r="E50" s="371"/>
      <c r="F50" s="371"/>
      <c r="G50" s="371"/>
      <c r="H50" s="371"/>
      <c r="I50" s="371"/>
      <c r="J50" s="371"/>
      <c r="K50" s="371"/>
      <c r="L50" s="372"/>
      <c r="M50" s="99"/>
      <c r="N50" s="67" t="s">
        <v>17</v>
      </c>
      <c r="O50" s="334">
        <f>SUM(O49:T49)</f>
        <v>2257100</v>
      </c>
      <c r="P50" s="335"/>
      <c r="Q50" s="335"/>
      <c r="R50" s="335"/>
      <c r="S50" s="335"/>
      <c r="T50" s="336"/>
    </row>
    <row r="51" spans="1:20" ht="14.65" customHeight="1" thickBot="1" x14ac:dyDescent="0.3">
      <c r="A51" s="332"/>
      <c r="B51" s="367" t="s">
        <v>19</v>
      </c>
      <c r="C51" s="368"/>
      <c r="D51" s="368"/>
      <c r="E51" s="368"/>
      <c r="F51" s="368"/>
      <c r="G51" s="368"/>
      <c r="H51" s="368"/>
      <c r="I51" s="368"/>
      <c r="J51" s="368"/>
      <c r="K51" s="368"/>
      <c r="L51" s="369"/>
      <c r="M51" s="97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65" customHeight="1" thickBot="1" x14ac:dyDescent="0.3">
      <c r="A52" s="332"/>
      <c r="B52" s="370"/>
      <c r="C52" s="371"/>
      <c r="D52" s="371"/>
      <c r="E52" s="371"/>
      <c r="F52" s="371"/>
      <c r="G52" s="371"/>
      <c r="H52" s="371"/>
      <c r="I52" s="371"/>
      <c r="J52" s="371"/>
      <c r="K52" s="371"/>
      <c r="L52" s="372"/>
      <c r="M52" s="99"/>
      <c r="N52" s="67" t="s">
        <v>31</v>
      </c>
      <c r="O52" s="349">
        <f>SUM(O51:T51)</f>
        <v>825529</v>
      </c>
      <c r="P52" s="350"/>
      <c r="Q52" s="350"/>
      <c r="R52" s="350"/>
      <c r="S52" s="350"/>
      <c r="T52" s="351"/>
    </row>
    <row r="53" spans="1:20" ht="15.75" thickBot="1" x14ac:dyDescent="0.3">
      <c r="A53" s="332"/>
    </row>
    <row r="54" spans="1:20" ht="14.65" customHeight="1" thickBot="1" x14ac:dyDescent="0.3">
      <c r="A54" s="332"/>
      <c r="B54" s="352" t="s">
        <v>27</v>
      </c>
      <c r="C54" s="353"/>
      <c r="D54" s="353"/>
      <c r="E54" s="353"/>
      <c r="F54" s="353"/>
      <c r="G54" s="353"/>
      <c r="H54" s="353"/>
      <c r="I54" s="353"/>
      <c r="J54" s="353"/>
      <c r="K54" s="353"/>
      <c r="L54" s="353"/>
      <c r="M54" s="353"/>
      <c r="N54" s="354"/>
      <c r="O54" s="343" t="s">
        <v>28</v>
      </c>
      <c r="P54" s="344"/>
      <c r="Q54" s="345"/>
      <c r="R54" s="44" t="s">
        <v>29</v>
      </c>
      <c r="S54" s="11"/>
      <c r="T54" s="11"/>
    </row>
    <row r="55" spans="1:20" ht="15" customHeight="1" x14ac:dyDescent="0.25">
      <c r="A55" s="332"/>
      <c r="B55" s="355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7"/>
      <c r="O55" s="361" t="s">
        <v>48</v>
      </c>
      <c r="P55" s="362"/>
      <c r="Q55" s="363"/>
      <c r="R55" s="52">
        <v>30000</v>
      </c>
      <c r="S55" s="12"/>
      <c r="T55" s="12"/>
    </row>
    <row r="56" spans="1:20" ht="15" customHeight="1" x14ac:dyDescent="0.25">
      <c r="A56" s="332"/>
      <c r="B56" s="355"/>
      <c r="C56" s="356"/>
      <c r="D56" s="356"/>
      <c r="E56" s="356"/>
      <c r="F56" s="356"/>
      <c r="G56" s="356"/>
      <c r="H56" s="356"/>
      <c r="I56" s="356"/>
      <c r="J56" s="356"/>
      <c r="K56" s="356"/>
      <c r="L56" s="356"/>
      <c r="M56" s="356"/>
      <c r="N56" s="357"/>
      <c r="O56" s="364" t="s">
        <v>115</v>
      </c>
      <c r="P56" s="365"/>
      <c r="Q56" s="366"/>
      <c r="R56" s="53">
        <v>50000</v>
      </c>
      <c r="S56" s="12"/>
      <c r="T56" s="12"/>
    </row>
    <row r="57" spans="1:20" ht="15" customHeight="1" x14ac:dyDescent="0.25">
      <c r="A57" s="332"/>
      <c r="B57" s="355"/>
      <c r="C57" s="356"/>
      <c r="D57" s="356"/>
      <c r="E57" s="356"/>
      <c r="F57" s="356"/>
      <c r="G57" s="356"/>
      <c r="H57" s="356"/>
      <c r="I57" s="356"/>
      <c r="J57" s="356"/>
      <c r="K57" s="356"/>
      <c r="L57" s="356"/>
      <c r="M57" s="356"/>
      <c r="N57" s="357"/>
      <c r="O57" s="364" t="s">
        <v>192</v>
      </c>
      <c r="P57" s="365"/>
      <c r="Q57" s="366"/>
      <c r="R57" s="53">
        <v>30000</v>
      </c>
      <c r="S57" s="12"/>
      <c r="T57" s="12"/>
    </row>
    <row r="58" spans="1:20" ht="15" customHeight="1" x14ac:dyDescent="0.25">
      <c r="A58" s="332"/>
      <c r="B58" s="355"/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7"/>
      <c r="O58" s="364" t="s">
        <v>193</v>
      </c>
      <c r="P58" s="365"/>
      <c r="Q58" s="366"/>
      <c r="R58" s="53">
        <v>30000</v>
      </c>
      <c r="S58" s="12"/>
      <c r="T58" s="12"/>
    </row>
    <row r="59" spans="1:20" ht="15" customHeight="1" x14ac:dyDescent="0.25">
      <c r="A59" s="332"/>
      <c r="B59" s="355"/>
      <c r="C59" s="356"/>
      <c r="D59" s="356"/>
      <c r="E59" s="356"/>
      <c r="F59" s="356"/>
      <c r="G59" s="356"/>
      <c r="H59" s="356"/>
      <c r="I59" s="356"/>
      <c r="J59" s="356"/>
      <c r="K59" s="356"/>
      <c r="L59" s="356"/>
      <c r="M59" s="356"/>
      <c r="N59" s="357"/>
      <c r="O59" s="364" t="s">
        <v>194</v>
      </c>
      <c r="P59" s="365"/>
      <c r="Q59" s="366"/>
      <c r="R59" s="53">
        <v>30000</v>
      </c>
      <c r="S59" s="12"/>
      <c r="T59" s="12"/>
    </row>
    <row r="60" spans="1:20" ht="15" customHeight="1" x14ac:dyDescent="0.25">
      <c r="A60" s="332"/>
      <c r="B60" s="355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7"/>
      <c r="O60" s="364" t="s">
        <v>195</v>
      </c>
      <c r="P60" s="365"/>
      <c r="Q60" s="366"/>
      <c r="R60" s="53">
        <v>50000</v>
      </c>
      <c r="S60" s="12"/>
      <c r="T60" s="12"/>
    </row>
    <row r="61" spans="1:20" ht="15" customHeight="1" thickBot="1" x14ac:dyDescent="0.3">
      <c r="A61" s="332"/>
      <c r="B61" s="355"/>
      <c r="C61" s="356"/>
      <c r="D61" s="356"/>
      <c r="E61" s="356"/>
      <c r="F61" s="356"/>
      <c r="G61" s="356"/>
      <c r="H61" s="356"/>
      <c r="I61" s="356"/>
      <c r="J61" s="356"/>
      <c r="K61" s="356"/>
      <c r="L61" s="356"/>
      <c r="M61" s="356"/>
      <c r="N61" s="357"/>
      <c r="O61" s="337"/>
      <c r="P61" s="338"/>
      <c r="Q61" s="339"/>
      <c r="R61" s="53"/>
      <c r="S61" s="12"/>
      <c r="T61" s="12"/>
    </row>
    <row r="62" spans="1:20" ht="15.75" customHeight="1" thickBot="1" x14ac:dyDescent="0.3">
      <c r="A62" s="332"/>
      <c r="B62" s="358"/>
      <c r="C62" s="359"/>
      <c r="D62" s="359"/>
      <c r="E62" s="359"/>
      <c r="F62" s="359"/>
      <c r="G62" s="359"/>
      <c r="H62" s="359"/>
      <c r="I62" s="359"/>
      <c r="J62" s="359"/>
      <c r="K62" s="359"/>
      <c r="L62" s="359"/>
      <c r="M62" s="359"/>
      <c r="N62" s="360"/>
      <c r="O62" s="340" t="s">
        <v>17</v>
      </c>
      <c r="P62" s="341"/>
      <c r="Q62" s="342"/>
      <c r="R62" s="54">
        <f>SUM(R55:R61)</f>
        <v>220000</v>
      </c>
      <c r="S62" s="12"/>
      <c r="T62" s="12"/>
    </row>
    <row r="63" spans="1:20" ht="15.75" thickBot="1" x14ac:dyDescent="0.3">
      <c r="A63" s="332"/>
    </row>
    <row r="64" spans="1:20" ht="51.75" customHeight="1" thickBot="1" x14ac:dyDescent="0.3">
      <c r="A64" s="333"/>
      <c r="B64" s="343" t="s">
        <v>19</v>
      </c>
      <c r="C64" s="344"/>
      <c r="D64" s="344"/>
      <c r="E64" s="344"/>
      <c r="F64" s="344"/>
      <c r="G64" s="344"/>
      <c r="H64" s="344"/>
      <c r="I64" s="344"/>
      <c r="J64" s="344"/>
      <c r="K64" s="344"/>
      <c r="L64" s="345"/>
      <c r="M64" s="100"/>
      <c r="N64" s="66" t="s">
        <v>17</v>
      </c>
      <c r="O64" s="346">
        <f>O52-SUM(R55:R61)</f>
        <v>605529</v>
      </c>
      <c r="P64" s="347"/>
      <c r="Q64" s="347"/>
      <c r="R64" s="347"/>
      <c r="S64" s="347"/>
      <c r="T64" s="348"/>
    </row>
    <row r="65" spans="1:20" ht="15.75" customHeight="1" x14ac:dyDescent="0.25">
      <c r="A65" s="45"/>
      <c r="P65" s="43"/>
      <c r="Q65" s="43"/>
      <c r="R65" s="43"/>
      <c r="T65" s="69"/>
    </row>
    <row r="66" spans="1:20" ht="15" customHeight="1" x14ac:dyDescent="0.25">
      <c r="A66" s="45"/>
      <c r="P66" s="43"/>
      <c r="Q66" s="43"/>
      <c r="R66" s="43"/>
      <c r="T66" s="13"/>
    </row>
    <row r="67" spans="1:20" ht="15" customHeight="1" x14ac:dyDescent="0.25">
      <c r="P67" s="43"/>
      <c r="Q67" s="43"/>
      <c r="R67" s="43"/>
      <c r="T67" s="13"/>
    </row>
    <row r="68" spans="1:20" ht="15" customHeight="1" x14ac:dyDescent="0.25">
      <c r="P68" s="43"/>
      <c r="Q68" s="43"/>
      <c r="R68" s="43"/>
      <c r="T68" s="13"/>
    </row>
    <row r="69" spans="1:20" ht="15" customHeight="1" x14ac:dyDescent="0.25">
      <c r="P69" s="43"/>
      <c r="Q69" s="43"/>
      <c r="R69" s="43"/>
      <c r="T69" s="13"/>
    </row>
    <row r="70" spans="1:20" ht="15" customHeight="1" x14ac:dyDescent="0.25">
      <c r="P70" s="43"/>
      <c r="Q70" s="43"/>
      <c r="R70" s="43"/>
      <c r="T70" s="13"/>
    </row>
    <row r="71" spans="1:20" ht="15" customHeight="1" x14ac:dyDescent="0.25">
      <c r="P71" s="43"/>
      <c r="Q71" s="43"/>
      <c r="R71" s="43"/>
      <c r="T71" s="13"/>
    </row>
    <row r="72" spans="1:20" ht="15" customHeight="1" x14ac:dyDescent="0.25">
      <c r="P72" s="43"/>
      <c r="Q72" s="43"/>
      <c r="R72" s="43"/>
      <c r="T72" s="13"/>
    </row>
    <row r="73" spans="1:20" ht="15.75" customHeight="1" x14ac:dyDescent="0.25">
      <c r="P73" s="43"/>
      <c r="Q73" s="43"/>
      <c r="R73" s="43"/>
      <c r="T73" s="13"/>
    </row>
  </sheetData>
  <mergeCells count="24">
    <mergeCell ref="B54:N62"/>
    <mergeCell ref="O54:Q54"/>
    <mergeCell ref="O55:Q55"/>
    <mergeCell ref="O56:Q56"/>
    <mergeCell ref="O57:Q57"/>
    <mergeCell ref="O58:Q58"/>
    <mergeCell ref="O59:Q59"/>
    <mergeCell ref="O60:Q60"/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251"/>
    <col min="2" max="2" width="12.42578125" style="251" customWidth="1"/>
    <col min="3" max="3" width="15.28515625" style="251" customWidth="1"/>
    <col min="4" max="4" width="38" style="251" hidden="1" customWidth="1" outlineLevel="1"/>
    <col min="5" max="5" width="15.140625" style="251" hidden="1" customWidth="1" outlineLevel="1"/>
    <col min="6" max="6" width="16.5703125" style="251" hidden="1" customWidth="1" outlineLevel="1"/>
    <col min="7" max="7" width="14.7109375" style="251" hidden="1" customWidth="1" outlineLevel="1"/>
    <col min="8" max="8" width="10.5703125" style="251" hidden="1" customWidth="1" outlineLevel="1"/>
    <col min="9" max="9" width="18.42578125" style="251" hidden="1" customWidth="1" outlineLevel="1"/>
    <col min="10" max="10" width="33.5703125" style="251" hidden="1" customWidth="1" outlineLevel="1"/>
    <col min="11" max="11" width="33.5703125" style="251" customWidth="1" outlineLevel="1"/>
    <col min="12" max="14" width="10.7109375" style="251" customWidth="1"/>
    <col min="15" max="20" width="15.42578125" style="251" customWidth="1"/>
    <col min="21" max="21" width="11.42578125" style="251"/>
    <col min="22" max="22" width="71.42578125" style="252" customWidth="1"/>
    <col min="23" max="16384" width="11.42578125" style="251"/>
  </cols>
  <sheetData>
    <row r="1" spans="1:22" ht="15.75" thickBot="1" x14ac:dyDescent="0.3"/>
    <row r="2" spans="1:22" ht="29.65" customHeight="1" thickBot="1" x14ac:dyDescent="0.3">
      <c r="B2" s="382" t="s">
        <v>265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4"/>
      <c r="O2" s="385" t="s">
        <v>12</v>
      </c>
      <c r="P2" s="386"/>
      <c r="Q2" s="386"/>
      <c r="R2" s="386"/>
      <c r="S2" s="386"/>
      <c r="T2" s="387"/>
    </row>
    <row r="3" spans="1:22" s="253" customFormat="1" ht="15.75" thickBot="1" x14ac:dyDescent="0.3">
      <c r="L3" s="254"/>
      <c r="M3" s="254"/>
      <c r="N3" s="254"/>
      <c r="O3" s="255" t="s">
        <v>32</v>
      </c>
      <c r="P3" s="255" t="s">
        <v>34</v>
      </c>
      <c r="Q3" s="255" t="s">
        <v>5</v>
      </c>
      <c r="R3" s="255" t="s">
        <v>35</v>
      </c>
      <c r="S3" s="255" t="s">
        <v>36</v>
      </c>
      <c r="T3" s="255" t="s">
        <v>23</v>
      </c>
      <c r="V3" s="252"/>
    </row>
    <row r="4" spans="1:22" s="256" customFormat="1" ht="15.75" thickBot="1" x14ac:dyDescent="0.3">
      <c r="B4" s="257" t="s">
        <v>0</v>
      </c>
      <c r="C4" s="257" t="s">
        <v>1</v>
      </c>
      <c r="D4" s="257" t="s">
        <v>2</v>
      </c>
      <c r="E4" s="257" t="s">
        <v>3</v>
      </c>
      <c r="F4" s="257" t="s">
        <v>6</v>
      </c>
      <c r="G4" s="257" t="s">
        <v>24</v>
      </c>
      <c r="H4" s="257" t="s">
        <v>4</v>
      </c>
      <c r="I4" s="257" t="s">
        <v>25</v>
      </c>
      <c r="J4" s="257" t="s">
        <v>26</v>
      </c>
      <c r="K4" s="257" t="s">
        <v>41</v>
      </c>
      <c r="L4" s="257" t="s">
        <v>40</v>
      </c>
      <c r="M4" s="257" t="s">
        <v>43</v>
      </c>
      <c r="N4" s="257" t="s">
        <v>263</v>
      </c>
      <c r="O4" s="255" t="s">
        <v>32</v>
      </c>
      <c r="P4" s="255" t="s">
        <v>34</v>
      </c>
      <c r="Q4" s="255" t="s">
        <v>5</v>
      </c>
      <c r="R4" s="255" t="s">
        <v>35</v>
      </c>
      <c r="S4" s="255" t="s">
        <v>36</v>
      </c>
      <c r="T4" s="255" t="s">
        <v>23</v>
      </c>
      <c r="U4" s="258" t="s">
        <v>17</v>
      </c>
      <c r="V4" s="259" t="s">
        <v>42</v>
      </c>
    </row>
    <row r="5" spans="1:22" ht="14.65" customHeight="1" outlineLevel="1" x14ac:dyDescent="0.25">
      <c r="A5" s="407" t="s">
        <v>45</v>
      </c>
      <c r="B5" s="260" t="s">
        <v>203</v>
      </c>
      <c r="C5" s="261" t="s">
        <v>204</v>
      </c>
      <c r="D5" s="261" t="s">
        <v>205</v>
      </c>
      <c r="E5" s="261" t="s">
        <v>52</v>
      </c>
      <c r="F5" s="261" t="s">
        <v>97</v>
      </c>
      <c r="G5" s="261" t="s">
        <v>69</v>
      </c>
      <c r="H5" s="261" t="s">
        <v>55</v>
      </c>
      <c r="I5" s="262">
        <v>56974397201</v>
      </c>
      <c r="J5" s="263" t="s">
        <v>206</v>
      </c>
      <c r="K5" s="263" t="s">
        <v>119</v>
      </c>
      <c r="L5" s="264" t="s">
        <v>190</v>
      </c>
      <c r="M5" s="264" t="s">
        <v>196</v>
      </c>
      <c r="N5" s="265">
        <f>SUMPRODUCT(Tabla5234[[#This Row],[Naranjas]:[Nueces]],O$47:T$47)</f>
        <v>88700</v>
      </c>
      <c r="O5" s="264">
        <v>1</v>
      </c>
      <c r="P5" s="264">
        <v>2</v>
      </c>
      <c r="Q5" s="264">
        <v>6</v>
      </c>
      <c r="R5" s="264">
        <v>3</v>
      </c>
      <c r="S5" s="264">
        <v>5</v>
      </c>
      <c r="T5" s="264">
        <v>0</v>
      </c>
      <c r="U5" s="264">
        <f>SUM(Tabla5234[[#This Row],[Naranjas]:[Nueces]])</f>
        <v>17</v>
      </c>
      <c r="V5" s="266"/>
    </row>
    <row r="6" spans="1:22" outlineLevel="1" x14ac:dyDescent="0.25">
      <c r="A6" s="408"/>
      <c r="B6" s="267" t="s">
        <v>124</v>
      </c>
      <c r="C6" s="265" t="s">
        <v>125</v>
      </c>
      <c r="D6" s="265" t="s">
        <v>126</v>
      </c>
      <c r="E6" s="265" t="s">
        <v>80</v>
      </c>
      <c r="F6" s="265" t="s">
        <v>81</v>
      </c>
      <c r="G6" s="265">
        <v>0</v>
      </c>
      <c r="H6" s="265" t="s">
        <v>55</v>
      </c>
      <c r="I6" s="268">
        <v>56979579233</v>
      </c>
      <c r="J6" s="269" t="s">
        <v>127</v>
      </c>
      <c r="K6" s="269" t="s">
        <v>57</v>
      </c>
      <c r="L6" s="270" t="s">
        <v>190</v>
      </c>
      <c r="M6" s="270" t="s">
        <v>196</v>
      </c>
      <c r="N6" s="265">
        <f>SUMPRODUCT(Tabla5234[[#This Row],[Naranjas]:[Nueces]],O$47:T$47)</f>
        <v>53800</v>
      </c>
      <c r="O6" s="270">
        <v>0</v>
      </c>
      <c r="P6" s="270">
        <v>3</v>
      </c>
      <c r="Q6" s="270">
        <v>4</v>
      </c>
      <c r="R6" s="270">
        <v>2</v>
      </c>
      <c r="S6" s="270">
        <v>1</v>
      </c>
      <c r="T6" s="270">
        <v>0</v>
      </c>
      <c r="U6" s="270">
        <f>SUM(Tabla5234[[#This Row],[Naranjas]:[Nueces]])</f>
        <v>10</v>
      </c>
      <c r="V6" s="271"/>
    </row>
    <row r="7" spans="1:22" outlineLevel="1" x14ac:dyDescent="0.25">
      <c r="A7" s="408"/>
      <c r="B7" s="267" t="s">
        <v>178</v>
      </c>
      <c r="C7" s="265" t="s">
        <v>179</v>
      </c>
      <c r="D7" s="265" t="s">
        <v>180</v>
      </c>
      <c r="E7" s="265" t="s">
        <v>80</v>
      </c>
      <c r="F7" s="265" t="s">
        <v>68</v>
      </c>
      <c r="G7" s="265">
        <v>0</v>
      </c>
      <c r="H7" s="265" t="s">
        <v>55</v>
      </c>
      <c r="I7" s="268">
        <v>56954243532</v>
      </c>
      <c r="J7" s="269" t="s">
        <v>181</v>
      </c>
      <c r="K7" s="269" t="s">
        <v>57</v>
      </c>
      <c r="L7" s="270" t="s">
        <v>190</v>
      </c>
      <c r="M7" s="270" t="s">
        <v>196</v>
      </c>
      <c r="N7" s="265">
        <f>SUMPRODUCT(Tabla5234[[#This Row],[Naranjas]:[Nueces]],O$47:T$47)</f>
        <v>122300</v>
      </c>
      <c r="O7" s="270">
        <v>3</v>
      </c>
      <c r="P7" s="270">
        <v>4</v>
      </c>
      <c r="Q7" s="270">
        <v>9</v>
      </c>
      <c r="R7" s="270">
        <v>5</v>
      </c>
      <c r="S7" s="270">
        <v>2</v>
      </c>
      <c r="T7" s="270">
        <v>0</v>
      </c>
      <c r="U7" s="270">
        <f>SUM(Tabla5234[[#This Row],[Naranjas]:[Nueces]])</f>
        <v>23</v>
      </c>
      <c r="V7" s="271"/>
    </row>
    <row r="8" spans="1:22" outlineLevel="1" x14ac:dyDescent="0.25">
      <c r="A8" s="408"/>
      <c r="B8" s="267" t="s">
        <v>90</v>
      </c>
      <c r="C8" s="265" t="s">
        <v>91</v>
      </c>
      <c r="D8" s="265" t="s">
        <v>92</v>
      </c>
      <c r="E8" s="265" t="s">
        <v>80</v>
      </c>
      <c r="F8" s="265" t="s">
        <v>93</v>
      </c>
      <c r="G8" s="265" t="s">
        <v>63</v>
      </c>
      <c r="H8" s="265" t="s">
        <v>55</v>
      </c>
      <c r="I8" s="268">
        <v>56999699652</v>
      </c>
      <c r="J8" s="269" t="s">
        <v>94</v>
      </c>
      <c r="K8" s="269" t="s">
        <v>57</v>
      </c>
      <c r="L8" s="270" t="s">
        <v>190</v>
      </c>
      <c r="M8" s="270" t="s">
        <v>196</v>
      </c>
      <c r="N8" s="265">
        <f>SUMPRODUCT(Tabla5234[[#This Row],[Naranjas]:[Nueces]],O$47:T$47)</f>
        <v>93700</v>
      </c>
      <c r="O8" s="270">
        <v>1</v>
      </c>
      <c r="P8" s="270">
        <v>3</v>
      </c>
      <c r="Q8" s="270">
        <v>6</v>
      </c>
      <c r="R8" s="270">
        <v>4</v>
      </c>
      <c r="S8" s="270">
        <v>2</v>
      </c>
      <c r="T8" s="270">
        <v>1</v>
      </c>
      <c r="U8" s="270">
        <f>SUM(Tabla5234[[#This Row],[Naranjas]:[Nueces]])</f>
        <v>17</v>
      </c>
      <c r="V8" s="271"/>
    </row>
    <row r="9" spans="1:22" outlineLevel="1" x14ac:dyDescent="0.25">
      <c r="A9" s="408"/>
      <c r="B9" s="267" t="s">
        <v>221</v>
      </c>
      <c r="C9" s="265" t="s">
        <v>222</v>
      </c>
      <c r="D9" s="265" t="s">
        <v>223</v>
      </c>
      <c r="E9" s="265" t="s">
        <v>74</v>
      </c>
      <c r="F9" s="265" t="s">
        <v>224</v>
      </c>
      <c r="G9" s="265" t="s">
        <v>225</v>
      </c>
      <c r="H9" s="265" t="s">
        <v>55</v>
      </c>
      <c r="I9" s="268">
        <v>56962094749</v>
      </c>
      <c r="J9" s="269" t="s">
        <v>226</v>
      </c>
      <c r="K9" s="269" t="s">
        <v>89</v>
      </c>
      <c r="L9" s="270" t="s">
        <v>190</v>
      </c>
      <c r="M9" s="270" t="s">
        <v>196</v>
      </c>
      <c r="N9" s="265">
        <f>SUMPRODUCT(Tabla5234[[#This Row],[Naranjas]:[Nueces]],O$47:T$47)</f>
        <v>67100</v>
      </c>
      <c r="O9" s="270">
        <v>1</v>
      </c>
      <c r="P9" s="270">
        <v>1</v>
      </c>
      <c r="Q9" s="270">
        <v>8</v>
      </c>
      <c r="R9" s="270">
        <v>2</v>
      </c>
      <c r="S9" s="270">
        <v>1</v>
      </c>
      <c r="T9" s="270">
        <v>0</v>
      </c>
      <c r="U9" s="270">
        <f>SUM(Tabla5234[[#This Row],[Naranjas]:[Nueces]])</f>
        <v>13</v>
      </c>
      <c r="V9" s="271"/>
    </row>
    <row r="10" spans="1:22" outlineLevel="1" x14ac:dyDescent="0.25">
      <c r="A10" s="408"/>
      <c r="B10" s="267" t="s">
        <v>149</v>
      </c>
      <c r="C10" s="265" t="s">
        <v>150</v>
      </c>
      <c r="D10" s="265" t="s">
        <v>151</v>
      </c>
      <c r="E10" s="265" t="s">
        <v>52</v>
      </c>
      <c r="F10" s="265" t="s">
        <v>97</v>
      </c>
      <c r="G10" s="265" t="s">
        <v>131</v>
      </c>
      <c r="H10" s="265" t="s">
        <v>55</v>
      </c>
      <c r="I10" s="268">
        <v>56979891544</v>
      </c>
      <c r="J10" s="269" t="s">
        <v>152</v>
      </c>
      <c r="K10" s="269" t="s">
        <v>89</v>
      </c>
      <c r="L10" s="270" t="s">
        <v>190</v>
      </c>
      <c r="M10" s="270" t="s">
        <v>196</v>
      </c>
      <c r="N10" s="265">
        <f>SUMPRODUCT(Tabla5234[[#This Row],[Naranjas]:[Nueces]],O$47:T$47)</f>
        <v>200500</v>
      </c>
      <c r="O10" s="270">
        <v>11</v>
      </c>
      <c r="P10" s="270">
        <v>5</v>
      </c>
      <c r="Q10" s="270">
        <v>5</v>
      </c>
      <c r="R10" s="270">
        <v>5</v>
      </c>
      <c r="S10" s="270">
        <v>9</v>
      </c>
      <c r="T10" s="270">
        <v>6</v>
      </c>
      <c r="U10" s="270">
        <f>SUM(Tabla5234[[#This Row],[Naranjas]:[Nueces]])</f>
        <v>41</v>
      </c>
      <c r="V10" s="271"/>
    </row>
    <row r="11" spans="1:22" outlineLevel="1" x14ac:dyDescent="0.25">
      <c r="A11" s="408"/>
      <c r="B11" s="267" t="s">
        <v>110</v>
      </c>
      <c r="C11" s="265" t="s">
        <v>111</v>
      </c>
      <c r="D11" s="265" t="s">
        <v>112</v>
      </c>
      <c r="E11" s="265" t="s">
        <v>52</v>
      </c>
      <c r="F11" s="265" t="s">
        <v>97</v>
      </c>
      <c r="G11" s="265" t="s">
        <v>113</v>
      </c>
      <c r="H11" s="265" t="s">
        <v>55</v>
      </c>
      <c r="I11" s="268">
        <v>56987143347</v>
      </c>
      <c r="J11" s="269" t="s">
        <v>114</v>
      </c>
      <c r="K11" s="269" t="s">
        <v>89</v>
      </c>
      <c r="L11" s="270" t="s">
        <v>190</v>
      </c>
      <c r="M11" s="270" t="s">
        <v>196</v>
      </c>
      <c r="N11" s="265">
        <f>SUMPRODUCT(Tabla5234[[#This Row],[Naranjas]:[Nueces]],O$47:T$47)</f>
        <v>78500</v>
      </c>
      <c r="O11" s="270">
        <v>5</v>
      </c>
      <c r="P11" s="270">
        <v>3</v>
      </c>
      <c r="Q11" s="270">
        <v>0</v>
      </c>
      <c r="R11" s="270">
        <v>4</v>
      </c>
      <c r="S11" s="270">
        <v>3</v>
      </c>
      <c r="T11" s="270">
        <v>0</v>
      </c>
      <c r="U11" s="270">
        <f>SUM(Tabla5234[[#This Row],[Naranjas]:[Nueces]])</f>
        <v>15</v>
      </c>
      <c r="V11" s="271"/>
    </row>
    <row r="12" spans="1:22" outlineLevel="1" x14ac:dyDescent="0.25">
      <c r="A12" s="408"/>
      <c r="B12" s="267" t="s">
        <v>161</v>
      </c>
      <c r="C12" s="265" t="s">
        <v>162</v>
      </c>
      <c r="D12" s="265" t="s">
        <v>163</v>
      </c>
      <c r="E12" s="265" t="s">
        <v>52</v>
      </c>
      <c r="F12" s="265" t="s">
        <v>53</v>
      </c>
      <c r="G12" s="265" t="s">
        <v>63</v>
      </c>
      <c r="H12" s="265" t="s">
        <v>55</v>
      </c>
      <c r="I12" s="268">
        <v>56991889995</v>
      </c>
      <c r="J12" s="269" t="s">
        <v>164</v>
      </c>
      <c r="K12" s="269" t="s">
        <v>119</v>
      </c>
      <c r="L12" s="270" t="s">
        <v>190</v>
      </c>
      <c r="M12" s="104" t="s">
        <v>190</v>
      </c>
      <c r="N12" s="265">
        <f>SUMPRODUCT(Tabla5234[[#This Row],[Naranjas]:[Nueces]],O$47:T$47)</f>
        <v>78000</v>
      </c>
      <c r="O12" s="270">
        <v>4</v>
      </c>
      <c r="P12" s="270">
        <v>3</v>
      </c>
      <c r="Q12" s="270">
        <v>5</v>
      </c>
      <c r="R12" s="270">
        <v>2</v>
      </c>
      <c r="S12" s="270">
        <v>1</v>
      </c>
      <c r="T12" s="270">
        <v>1</v>
      </c>
      <c r="U12" s="270">
        <f>SUM(Tabla5234[[#This Row],[Naranjas]:[Nueces]])</f>
        <v>16</v>
      </c>
      <c r="V12" s="271"/>
    </row>
    <row r="13" spans="1:22" outlineLevel="1" x14ac:dyDescent="0.25">
      <c r="A13" s="408"/>
      <c r="B13" s="267" t="s">
        <v>227</v>
      </c>
      <c r="C13" s="265" t="s">
        <v>228</v>
      </c>
      <c r="D13" s="265" t="s">
        <v>229</v>
      </c>
      <c r="E13" s="265" t="s">
        <v>80</v>
      </c>
      <c r="F13" s="265" t="s">
        <v>62</v>
      </c>
      <c r="G13" s="265" t="s">
        <v>113</v>
      </c>
      <c r="H13" s="265" t="s">
        <v>55</v>
      </c>
      <c r="I13" s="268">
        <v>56967289638</v>
      </c>
      <c r="J13" s="269" t="s">
        <v>230</v>
      </c>
      <c r="K13" s="269" t="s">
        <v>119</v>
      </c>
      <c r="L13" s="270" t="s">
        <v>190</v>
      </c>
      <c r="M13" s="270" t="s">
        <v>190</v>
      </c>
      <c r="N13" s="265">
        <f>SUMPRODUCT(Tabla5234[[#This Row],[Naranjas]:[Nueces]],O$47:T$47)</f>
        <v>39500</v>
      </c>
      <c r="O13" s="270">
        <v>2</v>
      </c>
      <c r="P13" s="270">
        <v>1</v>
      </c>
      <c r="Q13" s="270">
        <v>5</v>
      </c>
      <c r="R13" s="270">
        <v>0</v>
      </c>
      <c r="S13" s="270">
        <v>1</v>
      </c>
      <c r="T13" s="270">
        <v>0</v>
      </c>
      <c r="U13" s="270">
        <f>SUM(Tabla5234[[#This Row],[Naranjas]:[Nueces]])</f>
        <v>9</v>
      </c>
      <c r="V13" s="271"/>
    </row>
    <row r="14" spans="1:22" outlineLevel="1" x14ac:dyDescent="0.25">
      <c r="A14" s="408"/>
      <c r="B14" s="267" t="s">
        <v>133</v>
      </c>
      <c r="C14" s="265" t="s">
        <v>134</v>
      </c>
      <c r="D14" s="265" t="s">
        <v>135</v>
      </c>
      <c r="E14" s="265" t="s">
        <v>52</v>
      </c>
      <c r="F14" s="265" t="s">
        <v>97</v>
      </c>
      <c r="G14" s="265" t="s">
        <v>69</v>
      </c>
      <c r="H14" s="265" t="s">
        <v>55</v>
      </c>
      <c r="I14" s="268">
        <v>56982328251</v>
      </c>
      <c r="J14" s="269" t="s">
        <v>136</v>
      </c>
      <c r="K14" s="269" t="s">
        <v>119</v>
      </c>
      <c r="L14" s="270" t="s">
        <v>190</v>
      </c>
      <c r="M14" s="270" t="s">
        <v>190</v>
      </c>
      <c r="N14" s="265">
        <f>SUMPRODUCT(Tabla5234[[#This Row],[Naranjas]:[Nueces]],O$47:T$47)</f>
        <v>12900</v>
      </c>
      <c r="O14" s="270">
        <v>1</v>
      </c>
      <c r="P14" s="270">
        <v>0</v>
      </c>
      <c r="Q14" s="270">
        <v>2</v>
      </c>
      <c r="R14" s="270">
        <v>0</v>
      </c>
      <c r="S14" s="270">
        <v>0</v>
      </c>
      <c r="T14" s="270">
        <v>0</v>
      </c>
      <c r="U14" s="270">
        <f>SUM(Tabla5234[[#This Row],[Naranjas]:[Nueces]])</f>
        <v>3</v>
      </c>
      <c r="V14" s="271"/>
    </row>
    <row r="15" spans="1:22" outlineLevel="1" x14ac:dyDescent="0.25">
      <c r="A15" s="408"/>
      <c r="B15" s="267" t="s">
        <v>241</v>
      </c>
      <c r="C15" s="265" t="s">
        <v>242</v>
      </c>
      <c r="D15" s="265" t="s">
        <v>243</v>
      </c>
      <c r="E15" s="265" t="s">
        <v>80</v>
      </c>
      <c r="F15" s="265" t="s">
        <v>81</v>
      </c>
      <c r="G15" s="265" t="s">
        <v>244</v>
      </c>
      <c r="H15" s="265" t="s">
        <v>55</v>
      </c>
      <c r="I15" s="268">
        <v>56995408498</v>
      </c>
      <c r="J15" s="269" t="s">
        <v>245</v>
      </c>
      <c r="K15" s="269" t="s">
        <v>119</v>
      </c>
      <c r="L15" s="270" t="s">
        <v>190</v>
      </c>
      <c r="M15" s="270" t="s">
        <v>190</v>
      </c>
      <c r="N15" s="265">
        <f>SUMPRODUCT(Tabla5234[[#This Row],[Naranjas]:[Nueces]],O$47:T$47)</f>
        <v>35200</v>
      </c>
      <c r="O15" s="270">
        <v>1</v>
      </c>
      <c r="P15" s="270">
        <v>5</v>
      </c>
      <c r="Q15" s="270">
        <v>1</v>
      </c>
      <c r="R15" s="270">
        <v>0</v>
      </c>
      <c r="S15" s="270">
        <v>1</v>
      </c>
      <c r="T15" s="270">
        <v>0</v>
      </c>
      <c r="U15" s="270">
        <f>SUM(Tabla5234[[#This Row],[Naranjas]:[Nueces]])</f>
        <v>8</v>
      </c>
      <c r="V15" s="271"/>
    </row>
    <row r="16" spans="1:22" outlineLevel="1" x14ac:dyDescent="0.25">
      <c r="A16" s="408"/>
      <c r="B16" s="267" t="s">
        <v>199</v>
      </c>
      <c r="C16" s="265" t="s">
        <v>200</v>
      </c>
      <c r="D16" s="265" t="s">
        <v>201</v>
      </c>
      <c r="E16" s="265" t="s">
        <v>61</v>
      </c>
      <c r="F16" s="265" t="s">
        <v>86</v>
      </c>
      <c r="G16" s="265" t="s">
        <v>113</v>
      </c>
      <c r="H16" s="265" t="s">
        <v>55</v>
      </c>
      <c r="I16" s="268">
        <v>56968348679</v>
      </c>
      <c r="J16" s="269" t="s">
        <v>202</v>
      </c>
      <c r="K16" s="269" t="s">
        <v>119</v>
      </c>
      <c r="L16" s="270" t="s">
        <v>190</v>
      </c>
      <c r="M16" s="270" t="s">
        <v>190</v>
      </c>
      <c r="N16" s="265">
        <f>SUMPRODUCT(Tabla5234[[#This Row],[Naranjas]:[Nueces]],O$47:T$47)</f>
        <v>27000</v>
      </c>
      <c r="O16" s="270">
        <v>0</v>
      </c>
      <c r="P16" s="270">
        <v>3</v>
      </c>
      <c r="Q16" s="270">
        <v>0</v>
      </c>
      <c r="R16" s="270">
        <v>0</v>
      </c>
      <c r="S16" s="270">
        <v>3</v>
      </c>
      <c r="T16" s="270">
        <v>0</v>
      </c>
      <c r="U16" s="270">
        <f>SUM(Tabla5234[[#This Row],[Naranjas]:[Nueces]])</f>
        <v>6</v>
      </c>
      <c r="V16" s="271"/>
    </row>
    <row r="17" spans="1:22" outlineLevel="1" x14ac:dyDescent="0.25">
      <c r="A17" s="408"/>
      <c r="B17" s="267" t="s">
        <v>128</v>
      </c>
      <c r="C17" s="265" t="s">
        <v>158</v>
      </c>
      <c r="D17" s="265" t="s">
        <v>159</v>
      </c>
      <c r="E17" s="265" t="s">
        <v>52</v>
      </c>
      <c r="F17" s="265" t="s">
        <v>97</v>
      </c>
      <c r="G17" s="265" t="s">
        <v>63</v>
      </c>
      <c r="H17" s="265" t="s">
        <v>55</v>
      </c>
      <c r="I17" s="268">
        <v>56967898535</v>
      </c>
      <c r="J17" s="269" t="s">
        <v>160</v>
      </c>
      <c r="K17" s="269" t="s">
        <v>119</v>
      </c>
      <c r="L17" s="270" t="s">
        <v>190</v>
      </c>
      <c r="M17" s="270" t="s">
        <v>190</v>
      </c>
      <c r="N17" s="265">
        <f>SUMPRODUCT(Tabla5234[[#This Row],[Naranjas]:[Nueces]],O$47:T$47)</f>
        <v>29500</v>
      </c>
      <c r="O17" s="270">
        <v>2</v>
      </c>
      <c r="P17" s="270">
        <v>2</v>
      </c>
      <c r="Q17" s="270">
        <v>0</v>
      </c>
      <c r="R17" s="270">
        <v>0</v>
      </c>
      <c r="S17" s="270">
        <v>3</v>
      </c>
      <c r="T17" s="270">
        <v>0</v>
      </c>
      <c r="U17" s="270">
        <f>SUM(Tabla5234[[#This Row],[Naranjas]:[Nueces]])</f>
        <v>7</v>
      </c>
      <c r="V17" s="271"/>
    </row>
    <row r="18" spans="1:22" outlineLevel="1" x14ac:dyDescent="0.25">
      <c r="A18" s="408"/>
      <c r="B18" s="267" t="s">
        <v>115</v>
      </c>
      <c r="C18" s="265" t="s">
        <v>116</v>
      </c>
      <c r="D18" s="265" t="s">
        <v>117</v>
      </c>
      <c r="E18" s="265" t="s">
        <v>52</v>
      </c>
      <c r="F18" s="265" t="s">
        <v>53</v>
      </c>
      <c r="G18" s="265" t="s">
        <v>69</v>
      </c>
      <c r="H18" s="265" t="s">
        <v>55</v>
      </c>
      <c r="I18" s="268">
        <v>56966477967</v>
      </c>
      <c r="J18" s="269" t="s">
        <v>118</v>
      </c>
      <c r="K18" s="269" t="s">
        <v>119</v>
      </c>
      <c r="L18" s="270" t="s">
        <v>190</v>
      </c>
      <c r="M18" s="270" t="s">
        <v>190</v>
      </c>
      <c r="N18" s="265">
        <f>SUMPRODUCT(Tabla5234[[#This Row],[Naranjas]:[Nueces]],O$47:T$47)</f>
        <v>54300</v>
      </c>
      <c r="O18" s="270">
        <v>5</v>
      </c>
      <c r="P18" s="270">
        <v>1</v>
      </c>
      <c r="Q18" s="270">
        <v>4</v>
      </c>
      <c r="R18" s="270">
        <v>0</v>
      </c>
      <c r="S18" s="270">
        <v>3</v>
      </c>
      <c r="T18" s="270">
        <v>0</v>
      </c>
      <c r="U18" s="270">
        <f>SUM(Tabla5234[[#This Row],[Naranjas]:[Nueces]])</f>
        <v>13</v>
      </c>
      <c r="V18" s="271"/>
    </row>
    <row r="19" spans="1:22" outlineLevel="1" x14ac:dyDescent="0.25">
      <c r="A19" s="408"/>
      <c r="B19" s="267" t="s">
        <v>239</v>
      </c>
      <c r="C19" s="265" t="s">
        <v>240</v>
      </c>
      <c r="D19" s="265" t="s">
        <v>253</v>
      </c>
      <c r="E19" s="265" t="s">
        <v>52</v>
      </c>
      <c r="F19" s="265" t="s">
        <v>53</v>
      </c>
      <c r="G19" s="265" t="s">
        <v>254</v>
      </c>
      <c r="H19" s="265" t="s">
        <v>55</v>
      </c>
      <c r="I19" s="268">
        <v>56974529859</v>
      </c>
      <c r="J19" s="269" t="s">
        <v>255</v>
      </c>
      <c r="K19" s="269" t="s">
        <v>119</v>
      </c>
      <c r="L19" s="270" t="s">
        <v>190</v>
      </c>
      <c r="M19" s="270" t="s">
        <v>190</v>
      </c>
      <c r="N19" s="265">
        <f>SUMPRODUCT(Tabla5234[[#This Row],[Naranjas]:[Nueces]],O$47:T$47)</f>
        <v>18600</v>
      </c>
      <c r="O19" s="270">
        <v>0</v>
      </c>
      <c r="P19" s="270">
        <v>0</v>
      </c>
      <c r="Q19" s="270">
        <v>3</v>
      </c>
      <c r="R19" s="270">
        <v>0</v>
      </c>
      <c r="S19" s="270">
        <v>1</v>
      </c>
      <c r="T19" s="270">
        <v>0</v>
      </c>
      <c r="U19" s="270">
        <f>SUM(Tabla5234[[#This Row],[Naranjas]:[Nueces]])</f>
        <v>4</v>
      </c>
      <c r="V19" s="271"/>
    </row>
    <row r="20" spans="1:22" outlineLevel="1" x14ac:dyDescent="0.25">
      <c r="A20" s="408"/>
      <c r="B20" s="267" t="s">
        <v>71</v>
      </c>
      <c r="C20" s="265" t="s">
        <v>72</v>
      </c>
      <c r="D20" s="265" t="s">
        <v>73</v>
      </c>
      <c r="E20" s="265" t="s">
        <v>74</v>
      </c>
      <c r="F20" s="265" t="s">
        <v>75</v>
      </c>
      <c r="G20" s="265" t="s">
        <v>69</v>
      </c>
      <c r="H20" s="265" t="s">
        <v>55</v>
      </c>
      <c r="I20" s="268">
        <v>56979769748</v>
      </c>
      <c r="J20" s="269" t="s">
        <v>76</v>
      </c>
      <c r="K20" s="269" t="s">
        <v>57</v>
      </c>
      <c r="L20" s="270" t="s">
        <v>190</v>
      </c>
      <c r="M20" s="270" t="s">
        <v>190</v>
      </c>
      <c r="N20" s="265">
        <f>SUMPRODUCT(Tabla5234[[#This Row],[Naranjas]:[Nueces]],O$47:T$47)</f>
        <v>17500</v>
      </c>
      <c r="O20" s="270">
        <v>5</v>
      </c>
      <c r="P20" s="270">
        <v>0</v>
      </c>
      <c r="Q20" s="270">
        <v>0</v>
      </c>
      <c r="R20" s="270">
        <v>0</v>
      </c>
      <c r="S20" s="270">
        <v>0</v>
      </c>
      <c r="T20" s="270">
        <v>0</v>
      </c>
      <c r="U20" s="270">
        <f>SUM(Tabla5234[[#This Row],[Naranjas]:[Nueces]])</f>
        <v>5</v>
      </c>
      <c r="V20" s="271"/>
    </row>
    <row r="21" spans="1:22" outlineLevel="1" x14ac:dyDescent="0.25">
      <c r="A21" s="408"/>
      <c r="B21" s="267" t="s">
        <v>77</v>
      </c>
      <c r="C21" s="265" t="s">
        <v>78</v>
      </c>
      <c r="D21" s="265" t="s">
        <v>79</v>
      </c>
      <c r="E21" s="265" t="s">
        <v>80</v>
      </c>
      <c r="F21" s="265" t="s">
        <v>81</v>
      </c>
      <c r="G21" s="265" t="s">
        <v>63</v>
      </c>
      <c r="H21" s="265" t="s">
        <v>55</v>
      </c>
      <c r="I21" s="268">
        <v>56963061299</v>
      </c>
      <c r="J21" s="269" t="s">
        <v>82</v>
      </c>
      <c r="K21" s="269" t="s">
        <v>57</v>
      </c>
      <c r="L21" s="270" t="s">
        <v>190</v>
      </c>
      <c r="M21" s="270" t="s">
        <v>190</v>
      </c>
      <c r="N21" s="265">
        <f>SUMPRODUCT(Tabla5234[[#This Row],[Naranjas]:[Nueces]],O$47:T$47)</f>
        <v>142000</v>
      </c>
      <c r="O21" s="270">
        <v>8</v>
      </c>
      <c r="P21" s="270">
        <v>9</v>
      </c>
      <c r="Q21" s="270">
        <v>10</v>
      </c>
      <c r="R21" s="270">
        <v>1</v>
      </c>
      <c r="S21" s="270">
        <v>4</v>
      </c>
      <c r="T21" s="270">
        <v>0</v>
      </c>
      <c r="U21" s="270">
        <f>SUM(Tabla5234[[#This Row],[Naranjas]:[Nueces]])</f>
        <v>32</v>
      </c>
      <c r="V21" s="271"/>
    </row>
    <row r="22" spans="1:22" outlineLevel="1" x14ac:dyDescent="0.25">
      <c r="A22" s="408"/>
      <c r="B22" s="267" t="s">
        <v>137</v>
      </c>
      <c r="C22" s="265" t="s">
        <v>101</v>
      </c>
      <c r="D22" s="265" t="s">
        <v>138</v>
      </c>
      <c r="E22" s="265" t="s">
        <v>80</v>
      </c>
      <c r="F22" s="265" t="s">
        <v>139</v>
      </c>
      <c r="G22" s="265" t="s">
        <v>113</v>
      </c>
      <c r="H22" s="265" t="s">
        <v>55</v>
      </c>
      <c r="I22" s="268">
        <v>56957230044</v>
      </c>
      <c r="J22" s="269" t="s">
        <v>140</v>
      </c>
      <c r="K22" s="269" t="s">
        <v>57</v>
      </c>
      <c r="L22" s="270" t="s">
        <v>190</v>
      </c>
      <c r="M22" s="270" t="s">
        <v>190</v>
      </c>
      <c r="N22" s="265">
        <f>SUMPRODUCT(Tabla5234[[#This Row],[Naranjas]:[Nueces]],O$47:T$47)</f>
        <v>67100</v>
      </c>
      <c r="O22" s="270">
        <v>4</v>
      </c>
      <c r="P22" s="270">
        <v>2</v>
      </c>
      <c r="Q22" s="270">
        <v>3</v>
      </c>
      <c r="R22" s="270">
        <v>3</v>
      </c>
      <c r="S22" s="270">
        <v>1</v>
      </c>
      <c r="T22" s="270">
        <v>0</v>
      </c>
      <c r="U22" s="270">
        <f>SUM(Tabla5234[[#This Row],[Naranjas]:[Nueces]])</f>
        <v>13</v>
      </c>
      <c r="V22" s="271"/>
    </row>
    <row r="23" spans="1:22" outlineLevel="1" x14ac:dyDescent="0.25">
      <c r="A23" s="408"/>
      <c r="B23" s="267" t="s">
        <v>231</v>
      </c>
      <c r="C23" s="265" t="s">
        <v>232</v>
      </c>
      <c r="D23" s="265" t="s">
        <v>233</v>
      </c>
      <c r="E23" s="265" t="s">
        <v>61</v>
      </c>
      <c r="F23" s="265" t="s">
        <v>68</v>
      </c>
      <c r="G23" s="265" t="s">
        <v>113</v>
      </c>
      <c r="H23" s="265" t="s">
        <v>55</v>
      </c>
      <c r="I23" s="268">
        <v>56995483434</v>
      </c>
      <c r="J23" s="269" t="s">
        <v>234</v>
      </c>
      <c r="K23" s="269" t="s">
        <v>57</v>
      </c>
      <c r="L23" s="270" t="s">
        <v>190</v>
      </c>
      <c r="M23" s="270" t="s">
        <v>190</v>
      </c>
      <c r="N23" s="265">
        <f>SUMPRODUCT(Tabla5234[[#This Row],[Naranjas]:[Nueces]],O$47:T$47)</f>
        <v>217700</v>
      </c>
      <c r="O23" s="270">
        <v>5</v>
      </c>
      <c r="P23" s="270">
        <v>4</v>
      </c>
      <c r="Q23" s="270">
        <v>11</v>
      </c>
      <c r="R23" s="270">
        <v>10</v>
      </c>
      <c r="S23" s="270">
        <v>4</v>
      </c>
      <c r="T23" s="270">
        <v>5</v>
      </c>
      <c r="U23" s="270">
        <f>SUM(Tabla5234[[#This Row],[Naranjas]:[Nueces]])</f>
        <v>39</v>
      </c>
      <c r="V23" s="271"/>
    </row>
    <row r="24" spans="1:22" outlineLevel="1" x14ac:dyDescent="0.25">
      <c r="A24" s="408"/>
      <c r="B24" s="267" t="s">
        <v>65</v>
      </c>
      <c r="C24" s="265" t="s">
        <v>66</v>
      </c>
      <c r="D24" s="265" t="s">
        <v>67</v>
      </c>
      <c r="E24" s="265" t="s">
        <v>61</v>
      </c>
      <c r="F24" s="265" t="s">
        <v>68</v>
      </c>
      <c r="G24" s="265" t="s">
        <v>69</v>
      </c>
      <c r="H24" s="265" t="s">
        <v>55</v>
      </c>
      <c r="I24" s="268">
        <v>56977684576</v>
      </c>
      <c r="J24" s="269" t="s">
        <v>70</v>
      </c>
      <c r="K24" s="269" t="s">
        <v>57</v>
      </c>
      <c r="L24" s="270" t="s">
        <v>190</v>
      </c>
      <c r="M24" s="270" t="s">
        <v>190</v>
      </c>
      <c r="N24" s="265">
        <f>SUMPRODUCT(Tabla5234[[#This Row],[Naranjas]:[Nueces]],O$47:T$47)</f>
        <v>94400</v>
      </c>
      <c r="O24" s="270">
        <v>0</v>
      </c>
      <c r="P24" s="270">
        <v>1</v>
      </c>
      <c r="Q24" s="270">
        <v>7</v>
      </c>
      <c r="R24" s="270">
        <v>5</v>
      </c>
      <c r="S24" s="270">
        <v>2</v>
      </c>
      <c r="T24" s="270">
        <v>1</v>
      </c>
      <c r="U24" s="270">
        <f>SUM(Tabla5234[[#This Row],[Naranjas]:[Nueces]])</f>
        <v>16</v>
      </c>
      <c r="V24" s="271"/>
    </row>
    <row r="25" spans="1:22" outlineLevel="1" x14ac:dyDescent="0.25">
      <c r="A25" s="408"/>
      <c r="B25" s="267" t="s">
        <v>168</v>
      </c>
      <c r="C25" s="265" t="s">
        <v>169</v>
      </c>
      <c r="D25" s="265" t="s">
        <v>170</v>
      </c>
      <c r="E25" s="265" t="s">
        <v>80</v>
      </c>
      <c r="F25" s="265" t="s">
        <v>171</v>
      </c>
      <c r="G25" s="265" t="s">
        <v>63</v>
      </c>
      <c r="H25" s="265" t="s">
        <v>55</v>
      </c>
      <c r="I25" s="268">
        <v>56979878976</v>
      </c>
      <c r="J25" s="269" t="s">
        <v>172</v>
      </c>
      <c r="K25" s="269" t="s">
        <v>57</v>
      </c>
      <c r="L25" s="270" t="s">
        <v>190</v>
      </c>
      <c r="M25" s="270" t="s">
        <v>190</v>
      </c>
      <c r="N25" s="265">
        <f>SUMPRODUCT(Tabla5234[[#This Row],[Naranjas]:[Nueces]],O$47:T$47)</f>
        <v>188600</v>
      </c>
      <c r="O25" s="270">
        <v>12</v>
      </c>
      <c r="P25" s="270">
        <v>5</v>
      </c>
      <c r="Q25" s="270">
        <v>18</v>
      </c>
      <c r="R25" s="270">
        <v>2</v>
      </c>
      <c r="S25" s="270">
        <v>5</v>
      </c>
      <c r="T25" s="270">
        <v>0</v>
      </c>
      <c r="U25" s="270">
        <f>SUM(Tabla5234[[#This Row],[Naranjas]:[Nueces]])</f>
        <v>42</v>
      </c>
      <c r="V25" s="271"/>
    </row>
    <row r="26" spans="1:22" outlineLevel="1" x14ac:dyDescent="0.25">
      <c r="A26" s="408"/>
      <c r="B26" s="267" t="s">
        <v>58</v>
      </c>
      <c r="C26" s="265" t="s">
        <v>59</v>
      </c>
      <c r="D26" s="265" t="s">
        <v>60</v>
      </c>
      <c r="E26" s="265" t="s">
        <v>61</v>
      </c>
      <c r="F26" s="265" t="s">
        <v>62</v>
      </c>
      <c r="G26" s="265" t="s">
        <v>63</v>
      </c>
      <c r="H26" s="265" t="s">
        <v>55</v>
      </c>
      <c r="I26" s="268">
        <v>56942723186</v>
      </c>
      <c r="J26" s="269" t="s">
        <v>64</v>
      </c>
      <c r="K26" s="269" t="s">
        <v>57</v>
      </c>
      <c r="L26" s="270" t="s">
        <v>190</v>
      </c>
      <c r="M26" s="270" t="s">
        <v>190</v>
      </c>
      <c r="N26" s="265">
        <f>SUMPRODUCT(Tabla5234[[#This Row],[Naranjas]:[Nueces]],O$47:T$47)</f>
        <v>136100</v>
      </c>
      <c r="O26" s="270">
        <v>6</v>
      </c>
      <c r="P26" s="270">
        <v>4</v>
      </c>
      <c r="Q26" s="270">
        <v>8</v>
      </c>
      <c r="R26" s="270">
        <v>4</v>
      </c>
      <c r="S26" s="270">
        <v>2</v>
      </c>
      <c r="T26" s="270">
        <v>3</v>
      </c>
      <c r="U26" s="270">
        <f>SUM(Tabla5234[[#This Row],[Naranjas]:[Nueces]])</f>
        <v>27</v>
      </c>
      <c r="V26" s="271"/>
    </row>
    <row r="27" spans="1:22" outlineLevel="1" x14ac:dyDescent="0.25">
      <c r="A27" s="408"/>
      <c r="B27" s="267" t="s">
        <v>165</v>
      </c>
      <c r="C27" s="265" t="s">
        <v>106</v>
      </c>
      <c r="D27" s="265" t="s">
        <v>166</v>
      </c>
      <c r="E27" s="265" t="s">
        <v>52</v>
      </c>
      <c r="F27" s="265" t="s">
        <v>97</v>
      </c>
      <c r="G27" s="265" t="s">
        <v>63</v>
      </c>
      <c r="H27" s="265" t="s">
        <v>55</v>
      </c>
      <c r="I27" s="268">
        <v>56986194003</v>
      </c>
      <c r="J27" s="269" t="s">
        <v>167</v>
      </c>
      <c r="K27" s="269" t="s">
        <v>89</v>
      </c>
      <c r="L27" s="270" t="s">
        <v>190</v>
      </c>
      <c r="M27" s="270" t="s">
        <v>190</v>
      </c>
      <c r="N27" s="265">
        <f>SUMPRODUCT(Tabla5234[[#This Row],[Naranjas]:[Nueces]],O$47:T$47)</f>
        <v>154400</v>
      </c>
      <c r="O27" s="270">
        <v>0</v>
      </c>
      <c r="P27" s="270">
        <v>0</v>
      </c>
      <c r="Q27" s="270">
        <f>12+10</f>
        <v>22</v>
      </c>
      <c r="R27" s="270">
        <v>6</v>
      </c>
      <c r="S27" s="270">
        <v>0</v>
      </c>
      <c r="T27" s="270">
        <v>0</v>
      </c>
      <c r="U27" s="270">
        <f>SUM(Tabla5234[[#This Row],[Naranjas]:[Nueces]])</f>
        <v>28</v>
      </c>
      <c r="V27" s="271"/>
    </row>
    <row r="28" spans="1:22" outlineLevel="1" x14ac:dyDescent="0.25">
      <c r="A28" s="408"/>
      <c r="B28" s="267" t="s">
        <v>105</v>
      </c>
      <c r="C28" s="265" t="s">
        <v>106</v>
      </c>
      <c r="D28" s="265" t="s">
        <v>107</v>
      </c>
      <c r="E28" s="265" t="s">
        <v>61</v>
      </c>
      <c r="F28" s="265" t="s">
        <v>86</v>
      </c>
      <c r="G28" s="265" t="s">
        <v>108</v>
      </c>
      <c r="H28" s="265" t="s">
        <v>55</v>
      </c>
      <c r="I28" s="268">
        <v>56982978895</v>
      </c>
      <c r="J28" s="269" t="s">
        <v>109</v>
      </c>
      <c r="K28" s="269" t="s">
        <v>89</v>
      </c>
      <c r="L28" s="270" t="s">
        <v>190</v>
      </c>
      <c r="M28" s="270" t="s">
        <v>190</v>
      </c>
      <c r="N28" s="265">
        <f>SUMPRODUCT(Tabla5234[[#This Row],[Naranjas]:[Nueces]],O$47:T$47)</f>
        <v>141500</v>
      </c>
      <c r="O28" s="270">
        <v>8</v>
      </c>
      <c r="P28" s="270">
        <v>11</v>
      </c>
      <c r="Q28" s="270">
        <v>5</v>
      </c>
      <c r="R28" s="270">
        <v>2</v>
      </c>
      <c r="S28" s="270">
        <v>4</v>
      </c>
      <c r="T28" s="270">
        <v>1</v>
      </c>
      <c r="U28" s="270">
        <f>SUM(Tabla5234[[#This Row],[Naranjas]:[Nueces]])</f>
        <v>31</v>
      </c>
      <c r="V28" s="271"/>
    </row>
    <row r="29" spans="1:22" outlineLevel="1" x14ac:dyDescent="0.25">
      <c r="A29" s="408"/>
      <c r="B29" s="267" t="s">
        <v>212</v>
      </c>
      <c r="C29" s="265" t="s">
        <v>213</v>
      </c>
      <c r="D29" s="265" t="s">
        <v>214</v>
      </c>
      <c r="E29" s="265" t="s">
        <v>80</v>
      </c>
      <c r="F29" s="265" t="s">
        <v>171</v>
      </c>
      <c r="G29" s="265" t="s">
        <v>113</v>
      </c>
      <c r="H29" s="265" t="s">
        <v>55</v>
      </c>
      <c r="I29" s="268">
        <v>56955324629</v>
      </c>
      <c r="J29" s="269" t="s">
        <v>215</v>
      </c>
      <c r="K29" s="269" t="s">
        <v>89</v>
      </c>
      <c r="L29" s="270" t="s">
        <v>190</v>
      </c>
      <c r="M29" s="270" t="s">
        <v>190</v>
      </c>
      <c r="N29" s="265">
        <f>SUMPRODUCT(Tabla5234[[#This Row],[Naranjas]:[Nueces]],O$47:T$47)</f>
        <v>56000</v>
      </c>
      <c r="O29" s="270">
        <v>0</v>
      </c>
      <c r="P29" s="270">
        <v>0</v>
      </c>
      <c r="Q29" s="270">
        <v>5</v>
      </c>
      <c r="R29" s="270">
        <v>2</v>
      </c>
      <c r="S29" s="270">
        <v>1</v>
      </c>
      <c r="T29" s="270">
        <v>2</v>
      </c>
      <c r="U29" s="270">
        <f>SUM(Tabla5234[[#This Row],[Naranjas]:[Nueces]])</f>
        <v>10</v>
      </c>
      <c r="V29" s="271"/>
    </row>
    <row r="30" spans="1:22" outlineLevel="1" x14ac:dyDescent="0.25">
      <c r="A30" s="408"/>
      <c r="B30" s="272" t="s">
        <v>246</v>
      </c>
      <c r="C30" s="273" t="s">
        <v>247</v>
      </c>
      <c r="D30" s="274" t="s">
        <v>248</v>
      </c>
      <c r="E30" s="274" t="s">
        <v>74</v>
      </c>
      <c r="F30" s="274" t="s">
        <v>75</v>
      </c>
      <c r="G30" s="274" t="s">
        <v>113</v>
      </c>
      <c r="H30" s="274" t="s">
        <v>55</v>
      </c>
      <c r="I30" s="275">
        <v>56996310424</v>
      </c>
      <c r="J30" s="269" t="s">
        <v>249</v>
      </c>
      <c r="K30" s="269" t="s">
        <v>89</v>
      </c>
      <c r="L30" s="270" t="s">
        <v>190</v>
      </c>
      <c r="M30" s="270" t="s">
        <v>190</v>
      </c>
      <c r="N30" s="265">
        <f>SUMPRODUCT(Tabla5234[[#This Row],[Naranjas]:[Nueces]],O$47:T$47)</f>
        <v>202100</v>
      </c>
      <c r="O30" s="270">
        <v>13</v>
      </c>
      <c r="P30" s="270">
        <v>6</v>
      </c>
      <c r="Q30" s="270">
        <v>13</v>
      </c>
      <c r="R30" s="270">
        <v>7</v>
      </c>
      <c r="S30" s="270">
        <v>2</v>
      </c>
      <c r="T30" s="270">
        <v>0</v>
      </c>
      <c r="U30" s="270">
        <f>SUM(Tabla5234[[#This Row],[Naranjas]:[Nueces]])</f>
        <v>41</v>
      </c>
      <c r="V30" s="271"/>
    </row>
    <row r="31" spans="1:22" outlineLevel="1" x14ac:dyDescent="0.25">
      <c r="A31" s="408"/>
      <c r="B31" s="267" t="s">
        <v>58</v>
      </c>
      <c r="C31" s="265" t="s">
        <v>216</v>
      </c>
      <c r="D31" s="265" t="s">
        <v>250</v>
      </c>
      <c r="E31" s="265" t="s">
        <v>80</v>
      </c>
      <c r="F31" s="265" t="s">
        <v>81</v>
      </c>
      <c r="G31" s="265" t="s">
        <v>251</v>
      </c>
      <c r="H31" s="265" t="s">
        <v>55</v>
      </c>
      <c r="I31" s="268">
        <v>56995952212</v>
      </c>
      <c r="J31" s="269" t="s">
        <v>252</v>
      </c>
      <c r="K31" s="269" t="s">
        <v>89</v>
      </c>
      <c r="L31" s="270" t="s">
        <v>190</v>
      </c>
      <c r="M31" s="270" t="s">
        <v>190</v>
      </c>
      <c r="N31" s="265">
        <f>SUMPRODUCT(Tabla5234[[#This Row],[Naranjas]:[Nueces]],O$47:T$47)</f>
        <v>79500</v>
      </c>
      <c r="O31" s="270">
        <v>0</v>
      </c>
      <c r="P31" s="270">
        <v>3</v>
      </c>
      <c r="Q31" s="270">
        <v>5</v>
      </c>
      <c r="R31" s="270">
        <v>5</v>
      </c>
      <c r="S31" s="270">
        <v>0</v>
      </c>
      <c r="T31" s="270">
        <v>0</v>
      </c>
      <c r="U31" s="270">
        <f>SUM(Tabla5234[[#This Row],[Naranjas]:[Nueces]])</f>
        <v>13</v>
      </c>
      <c r="V31" s="271"/>
    </row>
    <row r="32" spans="1:22" outlineLevel="1" x14ac:dyDescent="0.25">
      <c r="A32" s="408"/>
      <c r="B32" s="267" t="s">
        <v>217</v>
      </c>
      <c r="C32" s="265" t="s">
        <v>218</v>
      </c>
      <c r="D32" s="265" t="s">
        <v>219</v>
      </c>
      <c r="E32" s="265" t="s">
        <v>80</v>
      </c>
      <c r="F32" s="265" t="s">
        <v>188</v>
      </c>
      <c r="G32" s="265" t="s">
        <v>113</v>
      </c>
      <c r="H32" s="265" t="s">
        <v>55</v>
      </c>
      <c r="I32" s="268">
        <v>56976237859</v>
      </c>
      <c r="J32" s="269" t="s">
        <v>220</v>
      </c>
      <c r="K32" s="269" t="s">
        <v>89</v>
      </c>
      <c r="L32" s="270" t="s">
        <v>190</v>
      </c>
      <c r="M32" s="270" t="s">
        <v>190</v>
      </c>
      <c r="N32" s="265">
        <f>SUMPRODUCT(Tabla5234[[#This Row],[Naranjas]:[Nueces]],O$47:T$47)</f>
        <v>101200</v>
      </c>
      <c r="O32" s="270">
        <v>1</v>
      </c>
      <c r="P32" s="270">
        <v>2</v>
      </c>
      <c r="Q32" s="270">
        <v>6</v>
      </c>
      <c r="R32" s="270">
        <v>4</v>
      </c>
      <c r="S32" s="270">
        <v>1</v>
      </c>
      <c r="T32" s="270">
        <v>4</v>
      </c>
      <c r="U32" s="270">
        <f>SUM(Tabla5234[[#This Row],[Naranjas]:[Nueces]])</f>
        <v>18</v>
      </c>
      <c r="V32" s="271"/>
    </row>
    <row r="33" spans="1:22" outlineLevel="1" x14ac:dyDescent="0.25">
      <c r="A33" s="408"/>
      <c r="B33" s="267" t="s">
        <v>173</v>
      </c>
      <c r="C33" s="265" t="s">
        <v>174</v>
      </c>
      <c r="D33" s="265" t="s">
        <v>175</v>
      </c>
      <c r="E33" s="265" t="s">
        <v>74</v>
      </c>
      <c r="F33" s="265" t="s">
        <v>75</v>
      </c>
      <c r="G33" s="265" t="s">
        <v>176</v>
      </c>
      <c r="H33" s="265" t="s">
        <v>55</v>
      </c>
      <c r="I33" s="268">
        <v>56979987750</v>
      </c>
      <c r="J33" s="269" t="s">
        <v>177</v>
      </c>
      <c r="K33" s="269" t="s">
        <v>89</v>
      </c>
      <c r="L33" s="270" t="s">
        <v>190</v>
      </c>
      <c r="M33" s="270" t="s">
        <v>190</v>
      </c>
      <c r="N33" s="265">
        <f>SUMPRODUCT(Tabla5234[[#This Row],[Naranjas]:[Nueces]],O$47:T$47)</f>
        <v>64200</v>
      </c>
      <c r="O33" s="270">
        <v>2</v>
      </c>
      <c r="P33" s="270">
        <v>3</v>
      </c>
      <c r="Q33" s="270">
        <v>6</v>
      </c>
      <c r="R33" s="270">
        <v>0</v>
      </c>
      <c r="S33" s="270">
        <v>1</v>
      </c>
      <c r="T33" s="270">
        <v>2</v>
      </c>
      <c r="U33" s="270">
        <f>SUM(Tabla5234[[#This Row],[Naranjas]:[Nueces]])</f>
        <v>14</v>
      </c>
      <c r="V33" s="271"/>
    </row>
    <row r="34" spans="1:22" outlineLevel="1" x14ac:dyDescent="0.25">
      <c r="A34" s="408"/>
      <c r="B34" s="267" t="s">
        <v>235</v>
      </c>
      <c r="C34" s="265" t="s">
        <v>236</v>
      </c>
      <c r="D34" s="265" t="s">
        <v>237</v>
      </c>
      <c r="E34" s="265" t="s">
        <v>52</v>
      </c>
      <c r="F34" s="265" t="s">
        <v>97</v>
      </c>
      <c r="G34" s="265">
        <v>0</v>
      </c>
      <c r="H34" s="265" t="s">
        <v>55</v>
      </c>
      <c r="I34" s="268">
        <v>56963124612</v>
      </c>
      <c r="J34" s="269" t="s">
        <v>238</v>
      </c>
      <c r="K34" s="269" t="s">
        <v>89</v>
      </c>
      <c r="L34" s="270" t="s">
        <v>190</v>
      </c>
      <c r="M34" s="270" t="s">
        <v>190</v>
      </c>
      <c r="N34" s="265">
        <f>SUMPRODUCT(Tabla5234[[#This Row],[Naranjas]:[Nueces]],O$47:T$47)</f>
        <v>219100</v>
      </c>
      <c r="O34" s="270">
        <v>2</v>
      </c>
      <c r="P34" s="270">
        <v>7</v>
      </c>
      <c r="Q34" s="270">
        <v>13</v>
      </c>
      <c r="R34" s="270">
        <v>7</v>
      </c>
      <c r="S34" s="270">
        <v>6</v>
      </c>
      <c r="T34" s="270">
        <v>6</v>
      </c>
      <c r="U34" s="270">
        <f>SUM(Tabla5234[[#This Row],[Naranjas]:[Nueces]])</f>
        <v>41</v>
      </c>
      <c r="V34" s="271"/>
    </row>
    <row r="35" spans="1:22" outlineLevel="1" x14ac:dyDescent="0.25">
      <c r="A35" s="408"/>
      <c r="B35" s="267" t="s">
        <v>141</v>
      </c>
      <c r="C35" s="265" t="s">
        <v>142</v>
      </c>
      <c r="D35" s="265" t="s">
        <v>143</v>
      </c>
      <c r="E35" s="265" t="s">
        <v>52</v>
      </c>
      <c r="F35" s="265" t="s">
        <v>97</v>
      </c>
      <c r="G35" s="265" t="s">
        <v>131</v>
      </c>
      <c r="H35" s="265" t="s">
        <v>55</v>
      </c>
      <c r="I35" s="268">
        <v>56988587944</v>
      </c>
      <c r="J35" s="269" t="s">
        <v>144</v>
      </c>
      <c r="K35" s="269" t="s">
        <v>89</v>
      </c>
      <c r="L35" s="270" t="s">
        <v>190</v>
      </c>
      <c r="M35" s="270" t="s">
        <v>190</v>
      </c>
      <c r="N35" s="265">
        <f>SUMPRODUCT(Tabla5234[[#This Row],[Naranjas]:[Nueces]],O$47:T$47)</f>
        <v>146000</v>
      </c>
      <c r="O35" s="270">
        <v>12</v>
      </c>
      <c r="P35" s="270">
        <v>4</v>
      </c>
      <c r="Q35" s="270">
        <v>10</v>
      </c>
      <c r="R35" s="270">
        <v>3</v>
      </c>
      <c r="S35" s="270">
        <v>3</v>
      </c>
      <c r="T35" s="270">
        <v>0</v>
      </c>
      <c r="U35" s="270">
        <f>SUM(Tabla5234[[#This Row],[Naranjas]:[Nueces]])</f>
        <v>32</v>
      </c>
      <c r="V35" s="271"/>
    </row>
    <row r="36" spans="1:22" outlineLevel="1" x14ac:dyDescent="0.25">
      <c r="A36" s="408"/>
      <c r="B36" s="267" t="s">
        <v>182</v>
      </c>
      <c r="C36" s="265" t="s">
        <v>183</v>
      </c>
      <c r="D36" s="265" t="s">
        <v>184</v>
      </c>
      <c r="E36" s="265" t="s">
        <v>52</v>
      </c>
      <c r="F36" s="265" t="s">
        <v>97</v>
      </c>
      <c r="G36" s="265" t="s">
        <v>103</v>
      </c>
      <c r="H36" s="265" t="s">
        <v>55</v>
      </c>
      <c r="I36" s="268">
        <v>56952304675</v>
      </c>
      <c r="J36" s="269" t="s">
        <v>185</v>
      </c>
      <c r="K36" s="269" t="s">
        <v>89</v>
      </c>
      <c r="L36" s="270" t="s">
        <v>190</v>
      </c>
      <c r="M36" s="270" t="s">
        <v>190</v>
      </c>
      <c r="N36" s="265">
        <f>SUMPRODUCT(Tabla5234[[#This Row],[Naranjas]:[Nueces]],O$47:T$47)</f>
        <v>184300</v>
      </c>
      <c r="O36" s="270">
        <v>5</v>
      </c>
      <c r="P36" s="270">
        <v>14</v>
      </c>
      <c r="Q36" s="270">
        <v>4</v>
      </c>
      <c r="R36" s="270">
        <v>5</v>
      </c>
      <c r="S36" s="270">
        <v>7</v>
      </c>
      <c r="T36" s="270">
        <v>2</v>
      </c>
      <c r="U36" s="270">
        <f>SUM(Tabla5234[[#This Row],[Naranjas]:[Nueces]])</f>
        <v>37</v>
      </c>
      <c r="V36" s="271"/>
    </row>
    <row r="37" spans="1:22" ht="15.75" outlineLevel="1" thickBot="1" x14ac:dyDescent="0.3">
      <c r="A37" s="409"/>
      <c r="B37" s="267" t="s">
        <v>100</v>
      </c>
      <c r="C37" s="265" t="s">
        <v>101</v>
      </c>
      <c r="D37" s="265" t="s">
        <v>102</v>
      </c>
      <c r="E37" s="265" t="s">
        <v>52</v>
      </c>
      <c r="F37" s="265" t="s">
        <v>97</v>
      </c>
      <c r="G37" s="265" t="s">
        <v>103</v>
      </c>
      <c r="H37" s="265" t="s">
        <v>55</v>
      </c>
      <c r="I37" s="268">
        <v>56966640363</v>
      </c>
      <c r="J37" s="269" t="s">
        <v>104</v>
      </c>
      <c r="K37" s="269" t="s">
        <v>89</v>
      </c>
      <c r="L37" s="270" t="s">
        <v>190</v>
      </c>
      <c r="M37" s="276" t="s">
        <v>190</v>
      </c>
      <c r="N37" s="265">
        <f>SUMPRODUCT(Tabla5234[[#This Row],[Naranjas]:[Nueces]],O$47:T$47)</f>
        <v>115000</v>
      </c>
      <c r="O37" s="276">
        <v>6</v>
      </c>
      <c r="P37" s="276">
        <v>4</v>
      </c>
      <c r="Q37" s="276">
        <v>5</v>
      </c>
      <c r="R37" s="276">
        <v>3</v>
      </c>
      <c r="S37" s="276">
        <v>6</v>
      </c>
      <c r="T37" s="276">
        <v>0</v>
      </c>
      <c r="U37" s="276">
        <f>SUM(Tabla5234[[#This Row],[Naranjas]:[Nueces]])</f>
        <v>24</v>
      </c>
      <c r="V37" s="277"/>
    </row>
    <row r="38" spans="1:22" outlineLevel="1" x14ac:dyDescent="0.25">
      <c r="A38" s="278"/>
      <c r="B38" s="279"/>
      <c r="C38" s="279"/>
      <c r="D38" s="279"/>
      <c r="E38" s="279"/>
      <c r="F38" s="279"/>
      <c r="G38" s="279"/>
      <c r="H38" s="279"/>
      <c r="I38" s="280"/>
      <c r="J38" s="281"/>
      <c r="K38" s="281"/>
      <c r="L38" s="282"/>
      <c r="M38" s="282"/>
      <c r="N38" s="282"/>
      <c r="O38" s="282"/>
      <c r="P38" s="282"/>
      <c r="Q38" s="282"/>
      <c r="R38" s="282"/>
      <c r="S38" s="282"/>
      <c r="T38" s="282"/>
      <c r="U38" s="282"/>
    </row>
    <row r="39" spans="1:22" ht="15.75" thickBot="1" x14ac:dyDescent="0.3"/>
    <row r="40" spans="1:22" ht="14.65" customHeight="1" thickBot="1" x14ac:dyDescent="0.3">
      <c r="A40" s="388" t="s">
        <v>21</v>
      </c>
      <c r="B40" s="391" t="s">
        <v>7</v>
      </c>
      <c r="C40" s="392"/>
      <c r="D40" s="392"/>
      <c r="E40" s="392"/>
      <c r="F40" s="392"/>
      <c r="G40" s="392"/>
      <c r="H40" s="392"/>
      <c r="I40" s="392"/>
      <c r="J40" s="392"/>
      <c r="K40" s="392"/>
      <c r="L40" s="393"/>
      <c r="M40" s="283"/>
      <c r="N40" s="284" t="s">
        <v>9</v>
      </c>
      <c r="O40" s="285">
        <f>SUM(Tabla5234[Naranjas])</f>
        <v>126</v>
      </c>
      <c r="P40" s="264">
        <f>SUM(Tabla5234[Mandarinas])</f>
        <v>115</v>
      </c>
      <c r="Q40" s="264">
        <f>SUM(Tabla5234[Paltas])</f>
        <v>209</v>
      </c>
      <c r="R40" s="264">
        <f>SUM(Tabla5234[Quesos])</f>
        <v>96</v>
      </c>
      <c r="S40" s="264">
        <f>SUM(Tabla5234[Tomate Cherry])</f>
        <v>85</v>
      </c>
      <c r="T40" s="286">
        <f>SUM(Tabla5234[Nueces])</f>
        <v>34</v>
      </c>
    </row>
    <row r="41" spans="1:22" ht="14.65" customHeight="1" thickBot="1" x14ac:dyDescent="0.3">
      <c r="A41" s="389"/>
      <c r="B41" s="394"/>
      <c r="C41" s="395"/>
      <c r="D41" s="395"/>
      <c r="E41" s="395"/>
      <c r="F41" s="395"/>
      <c r="G41" s="395"/>
      <c r="H41" s="395"/>
      <c r="I41" s="395"/>
      <c r="J41" s="395"/>
      <c r="K41" s="395"/>
      <c r="L41" s="396"/>
      <c r="M41" s="287"/>
      <c r="N41" s="284" t="s">
        <v>30</v>
      </c>
      <c r="O41" s="288">
        <v>5</v>
      </c>
      <c r="P41" s="270">
        <v>4</v>
      </c>
      <c r="Q41" s="270">
        <v>2</v>
      </c>
      <c r="R41" s="289">
        <v>1</v>
      </c>
      <c r="S41" s="270">
        <v>1</v>
      </c>
      <c r="T41" s="290">
        <v>0.25</v>
      </c>
    </row>
    <row r="42" spans="1:22" ht="14.65" customHeight="1" thickBot="1" x14ac:dyDescent="0.3">
      <c r="A42" s="389"/>
      <c r="B42" s="394"/>
      <c r="C42" s="395"/>
      <c r="D42" s="395"/>
      <c r="E42" s="395"/>
      <c r="F42" s="395"/>
      <c r="G42" s="395"/>
      <c r="H42" s="395"/>
      <c r="I42" s="395"/>
      <c r="J42" s="395"/>
      <c r="K42" s="395"/>
      <c r="L42" s="396"/>
      <c r="M42" s="287"/>
      <c r="N42" s="284" t="s">
        <v>8</v>
      </c>
      <c r="O42" s="288">
        <f>O41*O40</f>
        <v>630</v>
      </c>
      <c r="P42" s="270">
        <f t="shared" ref="P42:T42" si="0">P41*P40</f>
        <v>460</v>
      </c>
      <c r="Q42" s="270">
        <f t="shared" si="0"/>
        <v>418</v>
      </c>
      <c r="R42" s="270">
        <f t="shared" si="0"/>
        <v>96</v>
      </c>
      <c r="S42" s="270">
        <f t="shared" si="0"/>
        <v>85</v>
      </c>
      <c r="T42" s="291">
        <f t="shared" si="0"/>
        <v>8.5</v>
      </c>
    </row>
    <row r="43" spans="1:22" ht="15.75" thickBot="1" x14ac:dyDescent="0.3">
      <c r="A43" s="389"/>
      <c r="B43" s="397"/>
      <c r="C43" s="398"/>
      <c r="D43" s="398"/>
      <c r="E43" s="398"/>
      <c r="F43" s="398"/>
      <c r="G43" s="398"/>
      <c r="H43" s="398"/>
      <c r="I43" s="398"/>
      <c r="J43" s="398"/>
      <c r="K43" s="398"/>
      <c r="L43" s="399"/>
      <c r="M43" s="292"/>
      <c r="N43" s="284" t="s">
        <v>10</v>
      </c>
      <c r="O43" s="293"/>
      <c r="P43" s="294"/>
      <c r="Q43" s="294"/>
      <c r="R43" s="294"/>
      <c r="S43" s="294"/>
      <c r="T43" s="295"/>
    </row>
    <row r="44" spans="1:22" ht="15.75" thickBot="1" x14ac:dyDescent="0.3">
      <c r="A44" s="389"/>
      <c r="B44" s="296"/>
      <c r="C44" s="279"/>
      <c r="D44" s="297"/>
      <c r="E44" s="298"/>
      <c r="F44" s="298"/>
      <c r="G44" s="298"/>
      <c r="H44" s="298"/>
      <c r="I44" s="298"/>
      <c r="J44" s="298"/>
      <c r="K44" s="299"/>
      <c r="N44" s="300"/>
    </row>
    <row r="45" spans="1:22" ht="15.75" thickBot="1" x14ac:dyDescent="0.3">
      <c r="A45" s="389"/>
      <c r="B45" s="391" t="s">
        <v>13</v>
      </c>
      <c r="C45" s="392"/>
      <c r="D45" s="392"/>
      <c r="E45" s="392"/>
      <c r="F45" s="392"/>
      <c r="G45" s="392"/>
      <c r="H45" s="392"/>
      <c r="I45" s="392"/>
      <c r="J45" s="392"/>
      <c r="K45" s="392"/>
      <c r="L45" s="393"/>
      <c r="M45" s="283"/>
      <c r="N45" s="284" t="s">
        <v>14</v>
      </c>
      <c r="O45" s="260">
        <f>O46*O41</f>
        <v>2750</v>
      </c>
      <c r="P45" s="261">
        <f t="shared" ref="P45:T45" si="1">P46*P41</f>
        <v>2200</v>
      </c>
      <c r="Q45" s="261">
        <f t="shared" si="1"/>
        <v>3100</v>
      </c>
      <c r="R45" s="261">
        <f t="shared" si="1"/>
        <v>6716</v>
      </c>
      <c r="S45" s="261">
        <f t="shared" si="1"/>
        <v>2300</v>
      </c>
      <c r="T45" s="301">
        <f t="shared" si="1"/>
        <v>1875</v>
      </c>
    </row>
    <row r="46" spans="1:22" ht="15.75" thickBot="1" x14ac:dyDescent="0.3">
      <c r="A46" s="389"/>
      <c r="B46" s="394"/>
      <c r="C46" s="395"/>
      <c r="D46" s="395"/>
      <c r="E46" s="395"/>
      <c r="F46" s="395"/>
      <c r="G46" s="395"/>
      <c r="H46" s="395"/>
      <c r="I46" s="395"/>
      <c r="J46" s="395"/>
      <c r="K46" s="395"/>
      <c r="L46" s="396"/>
      <c r="M46" s="287"/>
      <c r="N46" s="284" t="s">
        <v>8</v>
      </c>
      <c r="O46" s="267">
        <v>550</v>
      </c>
      <c r="P46" s="265">
        <v>550</v>
      </c>
      <c r="Q46" s="265">
        <v>1550</v>
      </c>
      <c r="R46" s="265">
        <v>6716</v>
      </c>
      <c r="S46" s="265">
        <v>2300</v>
      </c>
      <c r="T46" s="302">
        <v>7500</v>
      </c>
    </row>
    <row r="47" spans="1:22" ht="15.75" thickBot="1" x14ac:dyDescent="0.3">
      <c r="A47" s="389"/>
      <c r="B47" s="397"/>
      <c r="C47" s="398"/>
      <c r="D47" s="398"/>
      <c r="E47" s="398"/>
      <c r="F47" s="398"/>
      <c r="G47" s="398"/>
      <c r="H47" s="398"/>
      <c r="I47" s="398"/>
      <c r="J47" s="398"/>
      <c r="K47" s="398"/>
      <c r="L47" s="399"/>
      <c r="M47" s="292"/>
      <c r="N47" s="284" t="s">
        <v>15</v>
      </c>
      <c r="O47" s="303">
        <v>3500</v>
      </c>
      <c r="P47" s="304">
        <v>4500</v>
      </c>
      <c r="Q47" s="304">
        <v>4700</v>
      </c>
      <c r="R47" s="304">
        <v>8500</v>
      </c>
      <c r="S47" s="304">
        <v>4500</v>
      </c>
      <c r="T47" s="305">
        <v>5500</v>
      </c>
    </row>
    <row r="48" spans="1:22" ht="15.75" thickBot="1" x14ac:dyDescent="0.3">
      <c r="A48" s="389"/>
      <c r="B48" s="296"/>
      <c r="C48" s="279"/>
      <c r="D48" s="297"/>
      <c r="E48" s="298"/>
      <c r="F48" s="298"/>
      <c r="G48" s="298"/>
      <c r="H48" s="298"/>
      <c r="I48" s="298"/>
      <c r="J48" s="298"/>
      <c r="K48" s="299"/>
      <c r="N48" s="300"/>
    </row>
    <row r="49" spans="1:20" ht="14.65" customHeight="1" thickBot="1" x14ac:dyDescent="0.3">
      <c r="A49" s="389"/>
      <c r="B49" s="391" t="s">
        <v>16</v>
      </c>
      <c r="C49" s="392"/>
      <c r="D49" s="392"/>
      <c r="E49" s="392"/>
      <c r="F49" s="392"/>
      <c r="G49" s="392"/>
      <c r="H49" s="392"/>
      <c r="I49" s="392"/>
      <c r="J49" s="392"/>
      <c r="K49" s="392"/>
      <c r="L49" s="393"/>
      <c r="M49" s="283"/>
      <c r="N49" s="284" t="s">
        <v>20</v>
      </c>
      <c r="O49" s="306">
        <f>O40*O45</f>
        <v>346500</v>
      </c>
      <c r="P49" s="307">
        <f t="shared" ref="P49:T49" si="2">P40*P45</f>
        <v>253000</v>
      </c>
      <c r="Q49" s="307">
        <f t="shared" si="2"/>
        <v>647900</v>
      </c>
      <c r="R49" s="308">
        <f t="shared" si="2"/>
        <v>644736</v>
      </c>
      <c r="S49" s="307">
        <f t="shared" si="2"/>
        <v>195500</v>
      </c>
      <c r="T49" s="309">
        <f t="shared" si="2"/>
        <v>63750</v>
      </c>
    </row>
    <row r="50" spans="1:20" ht="15.75" thickBot="1" x14ac:dyDescent="0.3">
      <c r="A50" s="389"/>
      <c r="B50" s="397"/>
      <c r="C50" s="398"/>
      <c r="D50" s="398"/>
      <c r="E50" s="398"/>
      <c r="F50" s="398"/>
      <c r="G50" s="398"/>
      <c r="H50" s="398"/>
      <c r="I50" s="398"/>
      <c r="J50" s="398"/>
      <c r="K50" s="398"/>
      <c r="L50" s="399"/>
      <c r="M50" s="292"/>
      <c r="N50" s="284" t="s">
        <v>17</v>
      </c>
      <c r="O50" s="400">
        <f>SUM(O49:T49)</f>
        <v>2151386</v>
      </c>
      <c r="P50" s="401"/>
      <c r="Q50" s="401"/>
      <c r="R50" s="401"/>
      <c r="S50" s="401"/>
      <c r="T50" s="402"/>
    </row>
    <row r="51" spans="1:20" ht="15.75" thickBot="1" x14ac:dyDescent="0.3">
      <c r="A51" s="389"/>
      <c r="B51" s="391" t="s">
        <v>18</v>
      </c>
      <c r="C51" s="392"/>
      <c r="D51" s="392"/>
      <c r="E51" s="392"/>
      <c r="F51" s="392"/>
      <c r="G51" s="392"/>
      <c r="H51" s="392"/>
      <c r="I51" s="392"/>
      <c r="J51" s="392"/>
      <c r="K51" s="392"/>
      <c r="L51" s="393"/>
      <c r="M51" s="283"/>
      <c r="N51" s="284" t="s">
        <v>20</v>
      </c>
      <c r="O51" s="272">
        <f t="shared" ref="O51:T51" si="3">O47*O40</f>
        <v>441000</v>
      </c>
      <c r="P51" s="273">
        <f t="shared" si="3"/>
        <v>517500</v>
      </c>
      <c r="Q51" s="273">
        <f t="shared" si="3"/>
        <v>982300</v>
      </c>
      <c r="R51" s="273">
        <f t="shared" si="3"/>
        <v>816000</v>
      </c>
      <c r="S51" s="273">
        <f t="shared" si="3"/>
        <v>382500</v>
      </c>
      <c r="T51" s="310">
        <f t="shared" si="3"/>
        <v>187000</v>
      </c>
    </row>
    <row r="52" spans="1:20" ht="15.75" thickBot="1" x14ac:dyDescent="0.3">
      <c r="A52" s="389"/>
      <c r="B52" s="397"/>
      <c r="C52" s="398"/>
      <c r="D52" s="398"/>
      <c r="E52" s="398"/>
      <c r="F52" s="398"/>
      <c r="G52" s="398"/>
      <c r="H52" s="398"/>
      <c r="I52" s="398"/>
      <c r="J52" s="398"/>
      <c r="K52" s="398"/>
      <c r="L52" s="399"/>
      <c r="M52" s="292"/>
      <c r="N52" s="284" t="s">
        <v>17</v>
      </c>
      <c r="O52" s="400">
        <f>SUM(O51:T51)</f>
        <v>3326300</v>
      </c>
      <c r="P52" s="401"/>
      <c r="Q52" s="401"/>
      <c r="R52" s="401"/>
      <c r="S52" s="401"/>
      <c r="T52" s="402"/>
    </row>
    <row r="53" spans="1:20" ht="14.65" customHeight="1" thickBot="1" x14ac:dyDescent="0.3">
      <c r="A53" s="389"/>
      <c r="B53" s="391" t="s">
        <v>19</v>
      </c>
      <c r="C53" s="392"/>
      <c r="D53" s="392"/>
      <c r="E53" s="392"/>
      <c r="F53" s="392"/>
      <c r="G53" s="392"/>
      <c r="H53" s="392"/>
      <c r="I53" s="392"/>
      <c r="J53" s="392"/>
      <c r="K53" s="392"/>
      <c r="L53" s="393"/>
      <c r="M53" s="283"/>
      <c r="N53" s="284" t="s">
        <v>20</v>
      </c>
      <c r="O53" s="311">
        <f>O51-O49</f>
        <v>94500</v>
      </c>
      <c r="P53" s="312">
        <f t="shared" ref="P53:T53" si="4">P51-P49</f>
        <v>264500</v>
      </c>
      <c r="Q53" s="312">
        <f t="shared" si="4"/>
        <v>334400</v>
      </c>
      <c r="R53" s="312">
        <f t="shared" si="4"/>
        <v>171264</v>
      </c>
      <c r="S53" s="312">
        <f t="shared" si="4"/>
        <v>187000</v>
      </c>
      <c r="T53" s="313">
        <f t="shared" si="4"/>
        <v>123250</v>
      </c>
    </row>
    <row r="54" spans="1:20" ht="29.65" customHeight="1" thickBot="1" x14ac:dyDescent="0.3">
      <c r="A54" s="389"/>
      <c r="B54" s="397"/>
      <c r="C54" s="398"/>
      <c r="D54" s="398"/>
      <c r="E54" s="398"/>
      <c r="F54" s="398"/>
      <c r="G54" s="398"/>
      <c r="H54" s="398"/>
      <c r="I54" s="398"/>
      <c r="J54" s="398"/>
      <c r="K54" s="398"/>
      <c r="L54" s="399"/>
      <c r="M54" s="292"/>
      <c r="N54" s="284" t="s">
        <v>31</v>
      </c>
      <c r="O54" s="419">
        <f>SUM(O53:T53)</f>
        <v>1174914</v>
      </c>
      <c r="P54" s="420"/>
      <c r="Q54" s="420"/>
      <c r="R54" s="420"/>
      <c r="S54" s="420"/>
      <c r="T54" s="421"/>
    </row>
    <row r="55" spans="1:20" ht="15.75" thickBot="1" x14ac:dyDescent="0.3">
      <c r="A55" s="389"/>
    </row>
    <row r="56" spans="1:20" ht="14.65" customHeight="1" thickBot="1" x14ac:dyDescent="0.3">
      <c r="A56" s="389"/>
      <c r="B56" s="422" t="s">
        <v>27</v>
      </c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24"/>
      <c r="O56" s="391" t="s">
        <v>28</v>
      </c>
      <c r="P56" s="392"/>
      <c r="Q56" s="393"/>
      <c r="R56" s="314" t="s">
        <v>29</v>
      </c>
      <c r="S56" s="315"/>
      <c r="T56" s="315"/>
    </row>
    <row r="57" spans="1:20" ht="15" customHeight="1" x14ac:dyDescent="0.25">
      <c r="A57" s="389"/>
      <c r="B57" s="425"/>
      <c r="C57" s="426"/>
      <c r="D57" s="426"/>
      <c r="E57" s="426"/>
      <c r="F57" s="426"/>
      <c r="G57" s="426"/>
      <c r="H57" s="426"/>
      <c r="I57" s="426"/>
      <c r="J57" s="426"/>
      <c r="K57" s="426"/>
      <c r="L57" s="426"/>
      <c r="M57" s="426"/>
      <c r="N57" s="426"/>
      <c r="O57" s="430" t="s">
        <v>115</v>
      </c>
      <c r="P57" s="431"/>
      <c r="Q57" s="431"/>
      <c r="R57" s="316">
        <v>60000</v>
      </c>
      <c r="S57" s="317"/>
      <c r="T57" s="317"/>
    </row>
    <row r="58" spans="1:20" ht="15" customHeight="1" x14ac:dyDescent="0.25">
      <c r="A58" s="389"/>
      <c r="B58" s="425"/>
      <c r="C58" s="426"/>
      <c r="D58" s="426"/>
      <c r="E58" s="426"/>
      <c r="F58" s="426"/>
      <c r="G58" s="426"/>
      <c r="H58" s="426"/>
      <c r="I58" s="426"/>
      <c r="J58" s="426"/>
      <c r="K58" s="426"/>
      <c r="L58" s="426"/>
      <c r="M58" s="426"/>
      <c r="N58" s="426"/>
      <c r="O58" s="405" t="s">
        <v>194</v>
      </c>
      <c r="P58" s="406"/>
      <c r="Q58" s="406"/>
      <c r="R58" s="318">
        <v>30000</v>
      </c>
      <c r="S58" s="317"/>
      <c r="T58" s="317"/>
    </row>
    <row r="59" spans="1:20" ht="15" customHeight="1" x14ac:dyDescent="0.25">
      <c r="A59" s="389"/>
      <c r="B59" s="425"/>
      <c r="C59" s="426"/>
      <c r="D59" s="426"/>
      <c r="E59" s="426"/>
      <c r="F59" s="426"/>
      <c r="G59" s="426"/>
      <c r="H59" s="426"/>
      <c r="I59" s="426"/>
      <c r="J59" s="426"/>
      <c r="K59" s="426"/>
      <c r="L59" s="426"/>
      <c r="M59" s="426"/>
      <c r="N59" s="426"/>
      <c r="O59" s="405" t="s">
        <v>193</v>
      </c>
      <c r="P59" s="406"/>
      <c r="Q59" s="406"/>
      <c r="R59" s="318">
        <v>30000</v>
      </c>
      <c r="S59" s="317"/>
      <c r="T59" s="317"/>
    </row>
    <row r="60" spans="1:20" ht="15" customHeight="1" x14ac:dyDescent="0.25">
      <c r="A60" s="389"/>
      <c r="B60" s="425"/>
      <c r="C60" s="426"/>
      <c r="D60" s="426"/>
      <c r="E60" s="426"/>
      <c r="F60" s="426"/>
      <c r="G60" s="426"/>
      <c r="H60" s="426"/>
      <c r="I60" s="426"/>
      <c r="J60" s="426"/>
      <c r="K60" s="426"/>
      <c r="L60" s="426"/>
      <c r="M60" s="426"/>
      <c r="N60" s="426"/>
      <c r="O60" s="405" t="s">
        <v>192</v>
      </c>
      <c r="P60" s="406"/>
      <c r="Q60" s="406"/>
      <c r="R60" s="318">
        <v>30000</v>
      </c>
      <c r="S60" s="317"/>
      <c r="T60" s="317"/>
    </row>
    <row r="61" spans="1:20" ht="15" customHeight="1" x14ac:dyDescent="0.25">
      <c r="A61" s="389"/>
      <c r="B61" s="425"/>
      <c r="C61" s="426"/>
      <c r="D61" s="426"/>
      <c r="E61" s="426"/>
      <c r="F61" s="426"/>
      <c r="G61" s="426"/>
      <c r="H61" s="426"/>
      <c r="I61" s="426"/>
      <c r="J61" s="426"/>
      <c r="K61" s="426"/>
      <c r="L61" s="426"/>
      <c r="M61" s="426"/>
      <c r="N61" s="426"/>
      <c r="O61" s="405" t="s">
        <v>207</v>
      </c>
      <c r="P61" s="406"/>
      <c r="Q61" s="406"/>
      <c r="R61" s="318">
        <v>20000</v>
      </c>
      <c r="S61" s="317"/>
      <c r="T61" s="317"/>
    </row>
    <row r="62" spans="1:20" ht="15" customHeight="1" x14ac:dyDescent="0.25">
      <c r="A62" s="389"/>
      <c r="B62" s="425"/>
      <c r="C62" s="426"/>
      <c r="D62" s="426"/>
      <c r="E62" s="426"/>
      <c r="F62" s="426"/>
      <c r="G62" s="426"/>
      <c r="H62" s="426"/>
      <c r="I62" s="426"/>
      <c r="J62" s="426"/>
      <c r="K62" s="426"/>
      <c r="L62" s="426"/>
      <c r="M62" s="426"/>
      <c r="N62" s="426"/>
      <c r="O62" s="405" t="s">
        <v>208</v>
      </c>
      <c r="P62" s="406"/>
      <c r="Q62" s="406"/>
      <c r="R62" s="318">
        <v>40000</v>
      </c>
      <c r="S62" s="317"/>
      <c r="T62" s="317"/>
    </row>
    <row r="63" spans="1:20" ht="15" customHeight="1" x14ac:dyDescent="0.25">
      <c r="A63" s="389"/>
      <c r="B63" s="425"/>
      <c r="C63" s="426"/>
      <c r="D63" s="426"/>
      <c r="E63" s="426"/>
      <c r="F63" s="426"/>
      <c r="G63" s="426"/>
      <c r="H63" s="426"/>
      <c r="I63" s="426"/>
      <c r="J63" s="426"/>
      <c r="K63" s="426"/>
      <c r="L63" s="426"/>
      <c r="M63" s="426"/>
      <c r="N63" s="426"/>
      <c r="O63" s="405" t="s">
        <v>209</v>
      </c>
      <c r="P63" s="406"/>
      <c r="Q63" s="406"/>
      <c r="R63" s="318">
        <v>20000</v>
      </c>
      <c r="S63" s="317"/>
      <c r="T63" s="317"/>
    </row>
    <row r="64" spans="1:20" ht="15" customHeight="1" x14ac:dyDescent="0.25">
      <c r="A64" s="389"/>
      <c r="B64" s="425"/>
      <c r="C64" s="426"/>
      <c r="D64" s="426"/>
      <c r="E64" s="426"/>
      <c r="F64" s="426"/>
      <c r="G64" s="426"/>
      <c r="H64" s="426"/>
      <c r="I64" s="426"/>
      <c r="J64" s="426"/>
      <c r="K64" s="426"/>
      <c r="L64" s="426"/>
      <c r="M64" s="426"/>
      <c r="N64" s="426"/>
      <c r="O64" s="405" t="s">
        <v>210</v>
      </c>
      <c r="P64" s="406"/>
      <c r="Q64" s="406"/>
      <c r="R64" s="318">
        <v>20000</v>
      </c>
      <c r="S64" s="317"/>
      <c r="T64" s="317"/>
    </row>
    <row r="65" spans="1:20" ht="15" customHeight="1" thickBot="1" x14ac:dyDescent="0.3">
      <c r="A65" s="389"/>
      <c r="B65" s="425"/>
      <c r="C65" s="426"/>
      <c r="D65" s="426"/>
      <c r="E65" s="426"/>
      <c r="F65" s="426"/>
      <c r="G65" s="426"/>
      <c r="H65" s="426"/>
      <c r="I65" s="426"/>
      <c r="J65" s="426"/>
      <c r="K65" s="426"/>
      <c r="L65" s="426"/>
      <c r="M65" s="426"/>
      <c r="N65" s="426"/>
      <c r="O65" s="403" t="s">
        <v>211</v>
      </c>
      <c r="P65" s="404"/>
      <c r="Q65" s="404"/>
      <c r="R65" s="319">
        <v>50000</v>
      </c>
      <c r="S65" s="317"/>
      <c r="T65" s="317"/>
    </row>
    <row r="66" spans="1:20" ht="15.75" customHeight="1" thickBot="1" x14ac:dyDescent="0.3">
      <c r="A66" s="389"/>
      <c r="B66" s="427"/>
      <c r="C66" s="428"/>
      <c r="D66" s="428"/>
      <c r="E66" s="428"/>
      <c r="F66" s="428"/>
      <c r="G66" s="428"/>
      <c r="H66" s="428"/>
      <c r="I66" s="428"/>
      <c r="J66" s="428"/>
      <c r="K66" s="428"/>
      <c r="L66" s="428"/>
      <c r="M66" s="428"/>
      <c r="N66" s="429"/>
      <c r="O66" s="410" t="s">
        <v>17</v>
      </c>
      <c r="P66" s="411"/>
      <c r="Q66" s="412"/>
      <c r="R66" s="320">
        <f>SUM(R57:R65)</f>
        <v>300000</v>
      </c>
      <c r="S66" s="317"/>
      <c r="T66" s="317"/>
    </row>
    <row r="67" spans="1:20" ht="15.75" thickBot="1" x14ac:dyDescent="0.3">
      <c r="A67" s="389"/>
    </row>
    <row r="68" spans="1:20" ht="51.75" customHeight="1" thickBot="1" x14ac:dyDescent="0.3">
      <c r="A68" s="390"/>
      <c r="B68" s="413" t="s">
        <v>19</v>
      </c>
      <c r="C68" s="414"/>
      <c r="D68" s="414"/>
      <c r="E68" s="414"/>
      <c r="F68" s="414"/>
      <c r="G68" s="414"/>
      <c r="H68" s="414"/>
      <c r="I68" s="414"/>
      <c r="J68" s="414"/>
      <c r="K68" s="414"/>
      <c r="L68" s="415"/>
      <c r="M68" s="284"/>
      <c r="N68" s="321" t="s">
        <v>17</v>
      </c>
      <c r="O68" s="416">
        <f>O54-R66</f>
        <v>874914</v>
      </c>
      <c r="P68" s="417"/>
      <c r="Q68" s="417"/>
      <c r="R68" s="417"/>
      <c r="S68" s="417"/>
      <c r="T68" s="418"/>
    </row>
    <row r="69" spans="1:20" ht="15.75" customHeight="1" x14ac:dyDescent="0.25">
      <c r="A69" s="322"/>
      <c r="P69" s="323"/>
      <c r="Q69" s="323"/>
      <c r="R69" s="323"/>
      <c r="T69" s="287"/>
    </row>
    <row r="70" spans="1:20" ht="15" customHeight="1" x14ac:dyDescent="0.25">
      <c r="A70" s="322"/>
      <c r="P70" s="323"/>
      <c r="Q70" s="323"/>
      <c r="R70" s="323"/>
      <c r="T70" s="324"/>
    </row>
    <row r="71" spans="1:20" ht="15" customHeight="1" x14ac:dyDescent="0.25">
      <c r="P71" s="323"/>
      <c r="Q71" s="323"/>
      <c r="R71" s="323"/>
      <c r="T71" s="324"/>
    </row>
    <row r="72" spans="1:20" ht="15" customHeight="1" x14ac:dyDescent="0.25">
      <c r="P72" s="323"/>
      <c r="Q72" s="323"/>
      <c r="R72" s="323"/>
      <c r="T72" s="324"/>
    </row>
    <row r="73" spans="1:20" ht="15" customHeight="1" x14ac:dyDescent="0.25">
      <c r="P73" s="323"/>
      <c r="Q73" s="323"/>
      <c r="R73" s="323"/>
      <c r="T73" s="324"/>
    </row>
    <row r="74" spans="1:20" ht="15" customHeight="1" x14ac:dyDescent="0.25">
      <c r="P74" s="323"/>
      <c r="Q74" s="323"/>
      <c r="R74" s="323"/>
      <c r="T74" s="324"/>
    </row>
    <row r="75" spans="1:20" ht="15" customHeight="1" x14ac:dyDescent="0.25">
      <c r="P75" s="323"/>
      <c r="Q75" s="323"/>
      <c r="R75" s="323"/>
      <c r="T75" s="324"/>
    </row>
    <row r="76" spans="1:20" ht="15" customHeight="1" x14ac:dyDescent="0.25">
      <c r="P76" s="323"/>
      <c r="Q76" s="323"/>
      <c r="R76" s="323"/>
      <c r="T76" s="324"/>
    </row>
    <row r="77" spans="1:20" ht="15.75" customHeight="1" x14ac:dyDescent="0.25">
      <c r="P77" s="323"/>
      <c r="Q77" s="323"/>
      <c r="R77" s="323"/>
      <c r="T77" s="324"/>
    </row>
  </sheetData>
  <mergeCells count="26"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05"/>
    <col min="2" max="2" width="12.42578125" style="105" customWidth="1"/>
    <col min="3" max="3" width="15.28515625" style="105" customWidth="1"/>
    <col min="4" max="4" width="38" style="105" hidden="1" customWidth="1" outlineLevel="1"/>
    <col min="5" max="5" width="15.140625" style="105" hidden="1" customWidth="1" outlineLevel="1"/>
    <col min="6" max="6" width="16.5703125" style="105" hidden="1" customWidth="1" outlineLevel="1"/>
    <col min="7" max="7" width="14.7109375" style="105" hidden="1" customWidth="1" outlineLevel="1"/>
    <col min="8" max="8" width="10.5703125" style="105" hidden="1" customWidth="1" outlineLevel="1"/>
    <col min="9" max="9" width="18.42578125" style="105" hidden="1" customWidth="1" outlineLevel="1"/>
    <col min="10" max="10" width="33.5703125" style="105" hidden="1" customWidth="1" outlineLevel="1"/>
    <col min="11" max="11" width="33.5703125" style="105" customWidth="1" outlineLevel="1"/>
    <col min="12" max="14" width="10.7109375" style="105" customWidth="1"/>
    <col min="15" max="20" width="15.42578125" style="105" customWidth="1"/>
    <col min="21" max="21" width="11.42578125" style="105"/>
    <col min="22" max="22" width="71.42578125" style="106" customWidth="1"/>
    <col min="23" max="16384" width="11.42578125" style="105"/>
  </cols>
  <sheetData>
    <row r="1" spans="1:22" ht="15.75" thickBot="1" x14ac:dyDescent="0.3"/>
    <row r="2" spans="1:22" ht="29.65" customHeight="1" thickBot="1" x14ac:dyDescent="0.3">
      <c r="B2" s="450" t="s">
        <v>266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2"/>
      <c r="O2" s="453" t="s">
        <v>12</v>
      </c>
      <c r="P2" s="454"/>
      <c r="Q2" s="454"/>
      <c r="R2" s="454"/>
      <c r="S2" s="454"/>
      <c r="T2" s="455"/>
    </row>
    <row r="3" spans="1:22" s="107" customFormat="1" ht="15.75" thickBot="1" x14ac:dyDescent="0.3">
      <c r="L3" s="108"/>
      <c r="M3" s="108"/>
      <c r="N3" s="108"/>
      <c r="O3" s="109" t="s">
        <v>32</v>
      </c>
      <c r="P3" s="109" t="s">
        <v>34</v>
      </c>
      <c r="Q3" s="109" t="s">
        <v>5</v>
      </c>
      <c r="R3" s="109" t="s">
        <v>35</v>
      </c>
      <c r="S3" s="109" t="s">
        <v>36</v>
      </c>
      <c r="T3" s="109" t="s">
        <v>23</v>
      </c>
      <c r="V3" s="106"/>
    </row>
    <row r="4" spans="1:22" s="110" customFormat="1" ht="15.75" thickBot="1" x14ac:dyDescent="0.3">
      <c r="B4" s="111" t="s">
        <v>0</v>
      </c>
      <c r="C4" s="111" t="s">
        <v>1</v>
      </c>
      <c r="D4" s="111" t="s">
        <v>2</v>
      </c>
      <c r="E4" s="111" t="s">
        <v>3</v>
      </c>
      <c r="F4" s="111" t="s">
        <v>6</v>
      </c>
      <c r="G4" s="111" t="s">
        <v>24</v>
      </c>
      <c r="H4" s="111" t="s">
        <v>4</v>
      </c>
      <c r="I4" s="111" t="s">
        <v>25</v>
      </c>
      <c r="J4" s="111" t="s">
        <v>26</v>
      </c>
      <c r="K4" s="111" t="s">
        <v>41</v>
      </c>
      <c r="L4" s="111" t="s">
        <v>40</v>
      </c>
      <c r="M4" s="111" t="s">
        <v>43</v>
      </c>
      <c r="N4" s="111" t="s">
        <v>263</v>
      </c>
      <c r="O4" s="109" t="s">
        <v>32</v>
      </c>
      <c r="P4" s="109" t="s">
        <v>34</v>
      </c>
      <c r="Q4" s="109" t="s">
        <v>5</v>
      </c>
      <c r="R4" s="109" t="s">
        <v>35</v>
      </c>
      <c r="S4" s="109" t="s">
        <v>36</v>
      </c>
      <c r="T4" s="109" t="s">
        <v>23</v>
      </c>
      <c r="U4" s="112" t="s">
        <v>17</v>
      </c>
      <c r="V4" s="113" t="s">
        <v>42</v>
      </c>
    </row>
    <row r="5" spans="1:22" outlineLevel="1" x14ac:dyDescent="0.25">
      <c r="A5" s="483"/>
      <c r="B5" s="114" t="s">
        <v>128</v>
      </c>
      <c r="C5" s="115" t="s">
        <v>158</v>
      </c>
      <c r="D5" s="115" t="s">
        <v>159</v>
      </c>
      <c r="E5" s="115" t="s">
        <v>52</v>
      </c>
      <c r="F5" s="115" t="s">
        <v>97</v>
      </c>
      <c r="G5" s="115" t="s">
        <v>63</v>
      </c>
      <c r="H5" s="115" t="s">
        <v>55</v>
      </c>
      <c r="I5" s="116">
        <v>56967898535</v>
      </c>
      <c r="J5" s="117" t="s">
        <v>160</v>
      </c>
      <c r="K5" s="117" t="s">
        <v>119</v>
      </c>
      <c r="L5" s="118" t="s">
        <v>190</v>
      </c>
      <c r="M5" s="118" t="s">
        <v>190</v>
      </c>
      <c r="N5" s="119">
        <f>SUMPRODUCT(Tabla5235[[#This Row],[Naranjas]:[Nueces]],O$25:T$25)</f>
        <v>25300</v>
      </c>
      <c r="O5" s="118">
        <v>1</v>
      </c>
      <c r="P5" s="118">
        <v>2</v>
      </c>
      <c r="Q5" s="118">
        <v>4</v>
      </c>
      <c r="R5" s="118">
        <v>0</v>
      </c>
      <c r="S5" s="118">
        <v>0</v>
      </c>
      <c r="T5" s="118">
        <v>0</v>
      </c>
      <c r="U5" s="118">
        <f>SUM(Tabla5235[[#This Row],[Naranjas]:[Nueces]])</f>
        <v>7</v>
      </c>
      <c r="V5" s="120"/>
    </row>
    <row r="6" spans="1:22" outlineLevel="1" x14ac:dyDescent="0.25">
      <c r="A6" s="484"/>
      <c r="B6" s="121" t="s">
        <v>137</v>
      </c>
      <c r="C6" s="119" t="s">
        <v>101</v>
      </c>
      <c r="D6" s="119" t="s">
        <v>138</v>
      </c>
      <c r="E6" s="119" t="s">
        <v>80</v>
      </c>
      <c r="F6" s="119" t="s">
        <v>139</v>
      </c>
      <c r="G6" s="119" t="s">
        <v>113</v>
      </c>
      <c r="H6" s="119" t="s">
        <v>55</v>
      </c>
      <c r="I6" s="122">
        <v>56957230044</v>
      </c>
      <c r="J6" s="123" t="s">
        <v>140</v>
      </c>
      <c r="K6" s="123" t="s">
        <v>57</v>
      </c>
      <c r="L6" s="124" t="s">
        <v>190</v>
      </c>
      <c r="M6" s="124" t="s">
        <v>190</v>
      </c>
      <c r="N6" s="119">
        <f>SUMPRODUCT(Tabla5235[[#This Row],[Naranjas]:[Nueces]],O$25:T$25)</f>
        <v>10900</v>
      </c>
      <c r="O6" s="124">
        <v>1</v>
      </c>
      <c r="P6" s="124">
        <v>0</v>
      </c>
      <c r="Q6" s="124">
        <v>2</v>
      </c>
      <c r="R6" s="124">
        <v>0</v>
      </c>
      <c r="S6" s="124">
        <v>0</v>
      </c>
      <c r="T6" s="124">
        <v>0</v>
      </c>
      <c r="U6" s="124">
        <f>SUM(Tabla5235[[#This Row],[Naranjas]:[Nueces]])</f>
        <v>3</v>
      </c>
      <c r="V6" s="125"/>
    </row>
    <row r="7" spans="1:22" outlineLevel="1" x14ac:dyDescent="0.25">
      <c r="A7" s="484"/>
      <c r="B7" s="121" t="s">
        <v>58</v>
      </c>
      <c r="C7" s="119" t="s">
        <v>59</v>
      </c>
      <c r="D7" s="119" t="s">
        <v>60</v>
      </c>
      <c r="E7" s="119" t="s">
        <v>61</v>
      </c>
      <c r="F7" s="119" t="s">
        <v>62</v>
      </c>
      <c r="G7" s="119" t="s">
        <v>63</v>
      </c>
      <c r="H7" s="119" t="s">
        <v>55</v>
      </c>
      <c r="I7" s="122">
        <v>56942723186</v>
      </c>
      <c r="J7" s="123" t="s">
        <v>64</v>
      </c>
      <c r="K7" s="123" t="s">
        <v>57</v>
      </c>
      <c r="L7" s="124" t="s">
        <v>190</v>
      </c>
      <c r="M7" s="124" t="s">
        <v>190</v>
      </c>
      <c r="N7" s="119">
        <f>SUMPRODUCT(Tabla5235[[#This Row],[Naranjas]:[Nueces]],O$25:T$25)</f>
        <v>25900</v>
      </c>
      <c r="O7" s="124">
        <v>1</v>
      </c>
      <c r="P7" s="124">
        <v>3</v>
      </c>
      <c r="Q7" s="124">
        <v>2</v>
      </c>
      <c r="R7" s="124">
        <v>0</v>
      </c>
      <c r="S7" s="124">
        <v>1</v>
      </c>
      <c r="T7" s="124">
        <v>0</v>
      </c>
      <c r="U7" s="124">
        <f>SUM(Tabla5235[[#This Row],[Naranjas]:[Nueces]])</f>
        <v>7</v>
      </c>
      <c r="V7" s="125"/>
    </row>
    <row r="8" spans="1:22" outlineLevel="1" x14ac:dyDescent="0.25">
      <c r="A8" s="484"/>
      <c r="B8" s="121" t="s">
        <v>231</v>
      </c>
      <c r="C8" s="119" t="s">
        <v>232</v>
      </c>
      <c r="D8" s="119" t="s">
        <v>233</v>
      </c>
      <c r="E8" s="119" t="s">
        <v>61</v>
      </c>
      <c r="F8" s="119" t="s">
        <v>68</v>
      </c>
      <c r="G8" s="119" t="s">
        <v>113</v>
      </c>
      <c r="H8" s="119" t="s">
        <v>55</v>
      </c>
      <c r="I8" s="122">
        <v>56995483434</v>
      </c>
      <c r="J8" s="123" t="s">
        <v>234</v>
      </c>
      <c r="K8" s="123" t="s">
        <v>57</v>
      </c>
      <c r="L8" s="124" t="s">
        <v>190</v>
      </c>
      <c r="M8" s="124" t="s">
        <v>190</v>
      </c>
      <c r="N8" s="119">
        <f>SUMPRODUCT(Tabla5235[[#This Row],[Naranjas]:[Nueces]],O$25:T$25)</f>
        <v>7200</v>
      </c>
      <c r="O8" s="124">
        <v>0</v>
      </c>
      <c r="P8" s="124">
        <v>1</v>
      </c>
      <c r="Q8" s="124">
        <v>1</v>
      </c>
      <c r="R8" s="124">
        <v>0</v>
      </c>
      <c r="S8" s="124">
        <v>0</v>
      </c>
      <c r="T8" s="124">
        <v>0</v>
      </c>
      <c r="U8" s="124">
        <f>SUM(Tabla5235[[#This Row],[Naranjas]:[Nueces]])</f>
        <v>2</v>
      </c>
      <c r="V8" s="125"/>
    </row>
    <row r="9" spans="1:22" outlineLevel="1" x14ac:dyDescent="0.25">
      <c r="A9" s="484"/>
      <c r="B9" s="126" t="s">
        <v>49</v>
      </c>
      <c r="C9" s="127" t="s">
        <v>50</v>
      </c>
      <c r="D9" s="128" t="s">
        <v>51</v>
      </c>
      <c r="E9" s="128" t="s">
        <v>52</v>
      </c>
      <c r="F9" s="128" t="s">
        <v>53</v>
      </c>
      <c r="G9" s="128" t="s">
        <v>54</v>
      </c>
      <c r="H9" s="128" t="s">
        <v>55</v>
      </c>
      <c r="I9" s="129">
        <v>56998246537</v>
      </c>
      <c r="J9" s="123" t="s">
        <v>56</v>
      </c>
      <c r="K9" s="123" t="s">
        <v>57</v>
      </c>
      <c r="L9" s="124" t="s">
        <v>190</v>
      </c>
      <c r="M9" s="124" t="s">
        <v>190</v>
      </c>
      <c r="N9" s="119">
        <f>SUMPRODUCT(Tabla5235[[#This Row],[Naranjas]:[Nueces]],O$25:T$25)</f>
        <v>50800</v>
      </c>
      <c r="O9" s="124">
        <v>0</v>
      </c>
      <c r="P9" s="124">
        <v>1</v>
      </c>
      <c r="Q9" s="124">
        <v>4</v>
      </c>
      <c r="R9" s="124">
        <v>2</v>
      </c>
      <c r="S9" s="124">
        <v>1</v>
      </c>
      <c r="T9" s="124">
        <v>2</v>
      </c>
      <c r="U9" s="124">
        <f>SUM(Tabla5235[[#This Row],[Naranjas]:[Nueces]])</f>
        <v>10</v>
      </c>
      <c r="V9" s="125"/>
    </row>
    <row r="10" spans="1:22" outlineLevel="1" x14ac:dyDescent="0.25">
      <c r="A10" s="484"/>
      <c r="B10" s="121" t="s">
        <v>165</v>
      </c>
      <c r="C10" s="119" t="s">
        <v>106</v>
      </c>
      <c r="D10" s="119" t="s">
        <v>166</v>
      </c>
      <c r="E10" s="119" t="s">
        <v>52</v>
      </c>
      <c r="F10" s="119" t="s">
        <v>97</v>
      </c>
      <c r="G10" s="119" t="s">
        <v>63</v>
      </c>
      <c r="H10" s="119" t="s">
        <v>55</v>
      </c>
      <c r="I10" s="122">
        <v>56986194003</v>
      </c>
      <c r="J10" s="123" t="s">
        <v>167</v>
      </c>
      <c r="K10" s="123" t="s">
        <v>89</v>
      </c>
      <c r="L10" s="124" t="s">
        <v>190</v>
      </c>
      <c r="M10" s="104" t="s">
        <v>190</v>
      </c>
      <c r="N10" s="119">
        <f>SUMPRODUCT(Tabla5235[[#This Row],[Naranjas]:[Nueces]],O$25:T$25)</f>
        <v>37000</v>
      </c>
      <c r="O10" s="124">
        <v>0</v>
      </c>
      <c r="P10" s="124">
        <v>0</v>
      </c>
      <c r="Q10" s="124">
        <v>10</v>
      </c>
      <c r="R10" s="124">
        <v>0</v>
      </c>
      <c r="S10" s="124">
        <v>0</v>
      </c>
      <c r="T10" s="124">
        <v>0</v>
      </c>
      <c r="U10" s="124">
        <f>SUM(Tabla5235[[#This Row],[Naranjas]:[Nueces]])</f>
        <v>10</v>
      </c>
      <c r="V10" s="125"/>
    </row>
    <row r="11" spans="1:22" outlineLevel="1" x14ac:dyDescent="0.25">
      <c r="A11" s="484"/>
      <c r="B11" s="121" t="s">
        <v>83</v>
      </c>
      <c r="C11" s="119" t="s">
        <v>84</v>
      </c>
      <c r="D11" s="119" t="s">
        <v>85</v>
      </c>
      <c r="E11" s="119" t="s">
        <v>61</v>
      </c>
      <c r="F11" s="119" t="s">
        <v>86</v>
      </c>
      <c r="G11" s="119" t="s">
        <v>87</v>
      </c>
      <c r="H11" s="119" t="s">
        <v>55</v>
      </c>
      <c r="I11" s="122">
        <v>56956481962</v>
      </c>
      <c r="J11" s="123" t="s">
        <v>88</v>
      </c>
      <c r="K11" s="123" t="s">
        <v>89</v>
      </c>
      <c r="L11" s="124" t="s">
        <v>190</v>
      </c>
      <c r="M11" s="124" t="s">
        <v>190</v>
      </c>
      <c r="N11" s="119">
        <f>SUMPRODUCT(Tabla5235[[#This Row],[Naranjas]:[Nueces]],O$25:T$25)</f>
        <v>46400</v>
      </c>
      <c r="O11" s="124">
        <v>2</v>
      </c>
      <c r="P11" s="124">
        <v>1</v>
      </c>
      <c r="Q11" s="124">
        <v>7</v>
      </c>
      <c r="R11" s="124">
        <v>0</v>
      </c>
      <c r="S11" s="124">
        <v>1</v>
      </c>
      <c r="T11" s="124">
        <v>1</v>
      </c>
      <c r="U11" s="124">
        <f>SUM(Tabla5235[[#This Row],[Naranjas]:[Nueces]])</f>
        <v>12</v>
      </c>
      <c r="V11" s="125"/>
    </row>
    <row r="12" spans="1:22" outlineLevel="1" x14ac:dyDescent="0.25">
      <c r="A12" s="484"/>
      <c r="B12" s="121" t="s">
        <v>173</v>
      </c>
      <c r="C12" s="119" t="s">
        <v>174</v>
      </c>
      <c r="D12" s="119" t="s">
        <v>175</v>
      </c>
      <c r="E12" s="119" t="s">
        <v>74</v>
      </c>
      <c r="F12" s="119" t="s">
        <v>75</v>
      </c>
      <c r="G12" s="119" t="s">
        <v>176</v>
      </c>
      <c r="H12" s="119" t="s">
        <v>55</v>
      </c>
      <c r="I12" s="122">
        <v>56979987750</v>
      </c>
      <c r="J12" s="123" t="s">
        <v>177</v>
      </c>
      <c r="K12" s="123" t="s">
        <v>89</v>
      </c>
      <c r="L12" s="124" t="s">
        <v>190</v>
      </c>
      <c r="M12" s="124" t="s">
        <v>190</v>
      </c>
      <c r="N12" s="119">
        <f>SUMPRODUCT(Tabla5235[[#This Row],[Naranjas]:[Nueces]],O$25:T$25)</f>
        <v>76100</v>
      </c>
      <c r="O12" s="124">
        <v>0</v>
      </c>
      <c r="P12" s="124">
        <v>8</v>
      </c>
      <c r="Q12" s="124">
        <v>13</v>
      </c>
      <c r="R12" s="124">
        <v>0</v>
      </c>
      <c r="S12" s="124">
        <v>0</v>
      </c>
      <c r="T12" s="124">
        <v>0</v>
      </c>
      <c r="U12" s="124">
        <f>SUM(Tabla5235[[#This Row],[Naranjas]:[Nueces]])</f>
        <v>21</v>
      </c>
      <c r="V12" s="125"/>
    </row>
    <row r="13" spans="1:22" outlineLevel="1" x14ac:dyDescent="0.25">
      <c r="A13" s="484"/>
      <c r="B13" s="121" t="s">
        <v>100</v>
      </c>
      <c r="C13" s="119" t="s">
        <v>101</v>
      </c>
      <c r="D13" s="119" t="s">
        <v>102</v>
      </c>
      <c r="E13" s="119" t="s">
        <v>52</v>
      </c>
      <c r="F13" s="119" t="s">
        <v>97</v>
      </c>
      <c r="G13" s="119" t="s">
        <v>103</v>
      </c>
      <c r="H13" s="119" t="s">
        <v>55</v>
      </c>
      <c r="I13" s="122">
        <v>56966640363</v>
      </c>
      <c r="J13" s="123" t="s">
        <v>104</v>
      </c>
      <c r="K13" s="123" t="s">
        <v>89</v>
      </c>
      <c r="L13" s="124" t="s">
        <v>190</v>
      </c>
      <c r="M13" s="124" t="s">
        <v>190</v>
      </c>
      <c r="N13" s="119">
        <f>SUMPRODUCT(Tabla5235[[#This Row],[Naranjas]:[Nueces]],O$25:T$25)</f>
        <v>8200</v>
      </c>
      <c r="O13" s="124">
        <v>0</v>
      </c>
      <c r="P13" s="124">
        <v>0</v>
      </c>
      <c r="Q13" s="124">
        <v>1</v>
      </c>
      <c r="R13" s="124">
        <v>0</v>
      </c>
      <c r="S13" s="124">
        <v>1</v>
      </c>
      <c r="T13" s="124">
        <v>0</v>
      </c>
      <c r="U13" s="124">
        <f>SUM(Tabla5235[[#This Row],[Naranjas]:[Nueces]])</f>
        <v>2</v>
      </c>
      <c r="V13" s="125"/>
    </row>
    <row r="14" spans="1:22" outlineLevel="1" x14ac:dyDescent="0.25">
      <c r="A14" s="484"/>
      <c r="B14" s="121" t="s">
        <v>105</v>
      </c>
      <c r="C14" s="119" t="s">
        <v>106</v>
      </c>
      <c r="D14" s="119" t="s">
        <v>107</v>
      </c>
      <c r="E14" s="119" t="s">
        <v>61</v>
      </c>
      <c r="F14" s="119" t="s">
        <v>86</v>
      </c>
      <c r="G14" s="119" t="s">
        <v>108</v>
      </c>
      <c r="H14" s="119" t="s">
        <v>55</v>
      </c>
      <c r="I14" s="122">
        <v>56982978895</v>
      </c>
      <c r="J14" s="123" t="s">
        <v>109</v>
      </c>
      <c r="K14" s="123" t="s">
        <v>89</v>
      </c>
      <c r="L14" s="124" t="s">
        <v>190</v>
      </c>
      <c r="M14" s="124" t="s">
        <v>190</v>
      </c>
      <c r="N14" s="119">
        <f>SUMPRODUCT(Tabla5235[[#This Row],[Naranjas]:[Nueces]],O$25:T$25)</f>
        <v>3500</v>
      </c>
      <c r="O14" s="124">
        <v>0</v>
      </c>
      <c r="P14" s="124">
        <v>1</v>
      </c>
      <c r="Q14" s="124">
        <v>0</v>
      </c>
      <c r="R14" s="124">
        <v>0</v>
      </c>
      <c r="S14" s="124">
        <v>0</v>
      </c>
      <c r="T14" s="124">
        <v>0</v>
      </c>
      <c r="U14" s="124">
        <f>SUM(Tabla5235[[#This Row],[Naranjas]:[Nueces]])</f>
        <v>1</v>
      </c>
      <c r="V14" s="125"/>
    </row>
    <row r="15" spans="1:22" ht="15.75" outlineLevel="1" thickBot="1" x14ac:dyDescent="0.3">
      <c r="A15" s="485"/>
      <c r="B15" s="130" t="s">
        <v>182</v>
      </c>
      <c r="C15" s="131" t="s">
        <v>183</v>
      </c>
      <c r="D15" s="131" t="s">
        <v>184</v>
      </c>
      <c r="E15" s="131" t="s">
        <v>52</v>
      </c>
      <c r="F15" s="131" t="s">
        <v>97</v>
      </c>
      <c r="G15" s="131" t="s">
        <v>103</v>
      </c>
      <c r="H15" s="131" t="s">
        <v>55</v>
      </c>
      <c r="I15" s="132">
        <v>56952304675</v>
      </c>
      <c r="J15" s="133" t="s">
        <v>185</v>
      </c>
      <c r="K15" s="133" t="s">
        <v>89</v>
      </c>
      <c r="L15" s="134" t="s">
        <v>190</v>
      </c>
      <c r="M15" s="134" t="s">
        <v>190</v>
      </c>
      <c r="N15" s="119">
        <f>SUMPRODUCT(Tabla5235[[#This Row],[Naranjas]:[Nueces]],O$25:T$25)</f>
        <v>3500</v>
      </c>
      <c r="O15" s="134">
        <v>0</v>
      </c>
      <c r="P15" s="134">
        <v>1</v>
      </c>
      <c r="Q15" s="134">
        <v>0</v>
      </c>
      <c r="R15" s="134">
        <v>0</v>
      </c>
      <c r="S15" s="134">
        <v>0</v>
      </c>
      <c r="T15" s="134">
        <v>0</v>
      </c>
      <c r="U15" s="134">
        <f>SUM(Tabla5235[[#This Row],[Naranjas]:[Nueces]])</f>
        <v>1</v>
      </c>
      <c r="V15" s="135"/>
    </row>
    <row r="16" spans="1:22" outlineLevel="1" x14ac:dyDescent="0.25">
      <c r="A16" s="136"/>
      <c r="B16" s="137"/>
      <c r="C16" s="137"/>
      <c r="D16" s="137"/>
      <c r="E16" s="137"/>
      <c r="F16" s="137"/>
      <c r="G16" s="137"/>
      <c r="H16" s="137"/>
      <c r="I16" s="138"/>
      <c r="J16" s="139"/>
      <c r="K16" s="139"/>
      <c r="L16" s="140"/>
      <c r="M16" s="140"/>
      <c r="N16" s="140"/>
      <c r="O16" s="140"/>
      <c r="P16" s="140"/>
      <c r="Q16" s="140"/>
      <c r="R16" s="140"/>
      <c r="S16" s="140"/>
      <c r="T16" s="140"/>
      <c r="U16" s="140"/>
    </row>
    <row r="17" spans="1:20" ht="15.75" thickBot="1" x14ac:dyDescent="0.3"/>
    <row r="18" spans="1:20" ht="14.65" customHeight="1" thickBot="1" x14ac:dyDescent="0.3">
      <c r="A18" s="456" t="s">
        <v>21</v>
      </c>
      <c r="B18" s="459" t="s">
        <v>7</v>
      </c>
      <c r="C18" s="460"/>
      <c r="D18" s="460"/>
      <c r="E18" s="460"/>
      <c r="F18" s="460"/>
      <c r="G18" s="460"/>
      <c r="H18" s="460"/>
      <c r="I18" s="460"/>
      <c r="J18" s="460"/>
      <c r="K18" s="460"/>
      <c r="L18" s="461"/>
      <c r="M18" s="141"/>
      <c r="N18" s="142" t="s">
        <v>9</v>
      </c>
      <c r="O18" s="143">
        <f>SUM(Tabla5235[Naranjas])</f>
        <v>5</v>
      </c>
      <c r="P18" s="118">
        <f>SUM(Tabla5235[Mandarinas])</f>
        <v>18</v>
      </c>
      <c r="Q18" s="118">
        <f>SUM(Tabla5235[Paltas])</f>
        <v>44</v>
      </c>
      <c r="R18" s="118">
        <f>SUM(Tabla5235[Quesos])</f>
        <v>2</v>
      </c>
      <c r="S18" s="118">
        <f>SUM(Tabla5235[Tomate Cherry])</f>
        <v>4</v>
      </c>
      <c r="T18" s="144">
        <f>SUM(Tabla5235[Nueces])</f>
        <v>3</v>
      </c>
    </row>
    <row r="19" spans="1:20" ht="14.65" customHeight="1" thickBot="1" x14ac:dyDescent="0.3">
      <c r="A19" s="457"/>
      <c r="B19" s="462"/>
      <c r="C19" s="463"/>
      <c r="D19" s="463"/>
      <c r="E19" s="463"/>
      <c r="F19" s="463"/>
      <c r="G19" s="463"/>
      <c r="H19" s="463"/>
      <c r="I19" s="463"/>
      <c r="J19" s="463"/>
      <c r="K19" s="463"/>
      <c r="L19" s="464"/>
      <c r="M19" s="145"/>
      <c r="N19" s="142" t="s">
        <v>30</v>
      </c>
      <c r="O19" s="146">
        <v>5</v>
      </c>
      <c r="P19" s="124">
        <v>4</v>
      </c>
      <c r="Q19" s="124">
        <v>2</v>
      </c>
      <c r="R19" s="147">
        <v>1</v>
      </c>
      <c r="S19" s="124">
        <v>1</v>
      </c>
      <c r="T19" s="148">
        <v>0.25</v>
      </c>
    </row>
    <row r="20" spans="1:20" ht="14.65" customHeight="1" thickBot="1" x14ac:dyDescent="0.3">
      <c r="A20" s="457"/>
      <c r="B20" s="462"/>
      <c r="C20" s="463"/>
      <c r="D20" s="463"/>
      <c r="E20" s="463"/>
      <c r="F20" s="463"/>
      <c r="G20" s="463"/>
      <c r="H20" s="463"/>
      <c r="I20" s="463"/>
      <c r="J20" s="463"/>
      <c r="K20" s="463"/>
      <c r="L20" s="464"/>
      <c r="M20" s="145"/>
      <c r="N20" s="142" t="s">
        <v>8</v>
      </c>
      <c r="O20" s="146">
        <f>O19*O18</f>
        <v>25</v>
      </c>
      <c r="P20" s="124">
        <f t="shared" ref="P20:T20" si="0">P19*P18</f>
        <v>72</v>
      </c>
      <c r="Q20" s="124">
        <f t="shared" si="0"/>
        <v>88</v>
      </c>
      <c r="R20" s="124">
        <f t="shared" si="0"/>
        <v>2</v>
      </c>
      <c r="S20" s="124">
        <f t="shared" si="0"/>
        <v>4</v>
      </c>
      <c r="T20" s="149">
        <f t="shared" si="0"/>
        <v>0.75</v>
      </c>
    </row>
    <row r="21" spans="1:20" ht="15.75" thickBot="1" x14ac:dyDescent="0.3">
      <c r="A21" s="457"/>
      <c r="B21" s="465"/>
      <c r="C21" s="466"/>
      <c r="D21" s="466"/>
      <c r="E21" s="466"/>
      <c r="F21" s="466"/>
      <c r="G21" s="466"/>
      <c r="H21" s="466"/>
      <c r="I21" s="466"/>
      <c r="J21" s="466"/>
      <c r="K21" s="466"/>
      <c r="L21" s="467"/>
      <c r="M21" s="150"/>
      <c r="N21" s="142" t="s">
        <v>10</v>
      </c>
      <c r="O21" s="151"/>
      <c r="P21" s="134"/>
      <c r="Q21" s="134"/>
      <c r="R21" s="134"/>
      <c r="S21" s="134"/>
      <c r="T21" s="152"/>
    </row>
    <row r="22" spans="1:20" ht="15.75" thickBot="1" x14ac:dyDescent="0.3">
      <c r="A22" s="457"/>
      <c r="B22" s="153"/>
      <c r="C22" s="137"/>
      <c r="D22" s="154"/>
      <c r="E22" s="155"/>
      <c r="F22" s="155"/>
      <c r="G22" s="155"/>
      <c r="H22" s="155"/>
      <c r="I22" s="155"/>
      <c r="J22" s="155"/>
      <c r="K22" s="156"/>
      <c r="N22" s="157"/>
    </row>
    <row r="23" spans="1:20" ht="15.75" thickBot="1" x14ac:dyDescent="0.3">
      <c r="A23" s="457"/>
      <c r="B23" s="459" t="s">
        <v>13</v>
      </c>
      <c r="C23" s="460"/>
      <c r="D23" s="460"/>
      <c r="E23" s="460"/>
      <c r="F23" s="460"/>
      <c r="G23" s="460"/>
      <c r="H23" s="460"/>
      <c r="I23" s="460"/>
      <c r="J23" s="460"/>
      <c r="K23" s="460"/>
      <c r="L23" s="461"/>
      <c r="M23" s="141"/>
      <c r="N23" s="142" t="s">
        <v>14</v>
      </c>
      <c r="O23" s="114">
        <f>O24*O19</f>
        <v>525</v>
      </c>
      <c r="P23" s="115">
        <f t="shared" ref="P23:T23" si="1">P24*P19</f>
        <v>2200</v>
      </c>
      <c r="Q23" s="115">
        <f t="shared" si="1"/>
        <v>3100</v>
      </c>
      <c r="R23" s="115">
        <f t="shared" si="1"/>
        <v>6716</v>
      </c>
      <c r="S23" s="115">
        <f t="shared" si="1"/>
        <v>2300</v>
      </c>
      <c r="T23" s="158">
        <f t="shared" si="1"/>
        <v>1875</v>
      </c>
    </row>
    <row r="24" spans="1:20" ht="15.75" thickBot="1" x14ac:dyDescent="0.3">
      <c r="A24" s="457"/>
      <c r="B24" s="462"/>
      <c r="C24" s="463"/>
      <c r="D24" s="463"/>
      <c r="E24" s="463"/>
      <c r="F24" s="463"/>
      <c r="G24" s="463"/>
      <c r="H24" s="463"/>
      <c r="I24" s="463"/>
      <c r="J24" s="463"/>
      <c r="K24" s="463"/>
      <c r="L24" s="464"/>
      <c r="M24" s="145"/>
      <c r="N24" s="142" t="s">
        <v>8</v>
      </c>
      <c r="O24" s="121">
        <v>105</v>
      </c>
      <c r="P24" s="119">
        <v>550</v>
      </c>
      <c r="Q24" s="119">
        <v>1550</v>
      </c>
      <c r="R24" s="119">
        <v>6716</v>
      </c>
      <c r="S24" s="119">
        <v>2300</v>
      </c>
      <c r="T24" s="159">
        <v>7500</v>
      </c>
    </row>
    <row r="25" spans="1:20" ht="15.75" thickBot="1" x14ac:dyDescent="0.3">
      <c r="A25" s="457"/>
      <c r="B25" s="465"/>
      <c r="C25" s="466"/>
      <c r="D25" s="466"/>
      <c r="E25" s="466"/>
      <c r="F25" s="466"/>
      <c r="G25" s="466"/>
      <c r="H25" s="466"/>
      <c r="I25" s="466"/>
      <c r="J25" s="466"/>
      <c r="K25" s="466"/>
      <c r="L25" s="467"/>
      <c r="M25" s="150"/>
      <c r="N25" s="142" t="s">
        <v>15</v>
      </c>
      <c r="O25" s="130">
        <v>3500</v>
      </c>
      <c r="P25" s="131">
        <v>3500</v>
      </c>
      <c r="Q25" s="131">
        <v>3700</v>
      </c>
      <c r="R25" s="131">
        <v>8500</v>
      </c>
      <c r="S25" s="131">
        <v>4500</v>
      </c>
      <c r="T25" s="160">
        <v>5500</v>
      </c>
    </row>
    <row r="26" spans="1:20" ht="15.75" thickBot="1" x14ac:dyDescent="0.3">
      <c r="A26" s="457"/>
      <c r="B26" s="153"/>
      <c r="C26" s="137"/>
      <c r="D26" s="154"/>
      <c r="E26" s="155"/>
      <c r="F26" s="155"/>
      <c r="G26" s="155"/>
      <c r="H26" s="155"/>
      <c r="I26" s="155"/>
      <c r="J26" s="155"/>
      <c r="K26" s="156"/>
      <c r="N26" s="157"/>
    </row>
    <row r="27" spans="1:20" ht="14.65" customHeight="1" thickBot="1" x14ac:dyDescent="0.3">
      <c r="A27" s="457"/>
      <c r="B27" s="459" t="s">
        <v>16</v>
      </c>
      <c r="C27" s="460"/>
      <c r="D27" s="460"/>
      <c r="E27" s="460"/>
      <c r="F27" s="460"/>
      <c r="G27" s="460"/>
      <c r="H27" s="460"/>
      <c r="I27" s="460"/>
      <c r="J27" s="460"/>
      <c r="K27" s="460"/>
      <c r="L27" s="461"/>
      <c r="M27" s="141"/>
      <c r="N27" s="142" t="s">
        <v>20</v>
      </c>
      <c r="O27" s="161">
        <f>O18*O23</f>
        <v>2625</v>
      </c>
      <c r="P27" s="162">
        <f t="shared" ref="P27:T27" si="2">P18*P23</f>
        <v>39600</v>
      </c>
      <c r="Q27" s="162">
        <f t="shared" si="2"/>
        <v>136400</v>
      </c>
      <c r="R27" s="163">
        <f t="shared" si="2"/>
        <v>13432</v>
      </c>
      <c r="S27" s="162">
        <f t="shared" si="2"/>
        <v>9200</v>
      </c>
      <c r="T27" s="164">
        <f t="shared" si="2"/>
        <v>5625</v>
      </c>
    </row>
    <row r="28" spans="1:20" ht="15.75" thickBot="1" x14ac:dyDescent="0.3">
      <c r="A28" s="457"/>
      <c r="B28" s="465"/>
      <c r="C28" s="466"/>
      <c r="D28" s="466"/>
      <c r="E28" s="466"/>
      <c r="F28" s="466"/>
      <c r="G28" s="466"/>
      <c r="H28" s="466"/>
      <c r="I28" s="466"/>
      <c r="J28" s="466"/>
      <c r="K28" s="466"/>
      <c r="L28" s="467"/>
      <c r="M28" s="150"/>
      <c r="N28" s="142" t="s">
        <v>17</v>
      </c>
      <c r="O28" s="468">
        <f>SUM(O27:T27)</f>
        <v>206882</v>
      </c>
      <c r="P28" s="469"/>
      <c r="Q28" s="469"/>
      <c r="R28" s="469"/>
      <c r="S28" s="469"/>
      <c r="T28" s="470"/>
    </row>
    <row r="29" spans="1:20" ht="15.75" thickBot="1" x14ac:dyDescent="0.3">
      <c r="A29" s="457"/>
      <c r="B29" s="459" t="s">
        <v>18</v>
      </c>
      <c r="C29" s="460"/>
      <c r="D29" s="460"/>
      <c r="E29" s="460"/>
      <c r="F29" s="460"/>
      <c r="G29" s="460"/>
      <c r="H29" s="460"/>
      <c r="I29" s="460"/>
      <c r="J29" s="460"/>
      <c r="K29" s="460"/>
      <c r="L29" s="461"/>
      <c r="M29" s="141"/>
      <c r="N29" s="142" t="s">
        <v>20</v>
      </c>
      <c r="O29" s="126">
        <f t="shared" ref="O29:T29" si="3">O25*O18</f>
        <v>17500</v>
      </c>
      <c r="P29" s="127">
        <f t="shared" si="3"/>
        <v>63000</v>
      </c>
      <c r="Q29" s="127">
        <f t="shared" si="3"/>
        <v>162800</v>
      </c>
      <c r="R29" s="127">
        <f t="shared" si="3"/>
        <v>17000</v>
      </c>
      <c r="S29" s="127">
        <f t="shared" si="3"/>
        <v>18000</v>
      </c>
      <c r="T29" s="165">
        <f t="shared" si="3"/>
        <v>16500</v>
      </c>
    </row>
    <row r="30" spans="1:20" ht="15.75" thickBot="1" x14ac:dyDescent="0.3">
      <c r="A30" s="457"/>
      <c r="B30" s="465"/>
      <c r="C30" s="466"/>
      <c r="D30" s="466"/>
      <c r="E30" s="466"/>
      <c r="F30" s="466"/>
      <c r="G30" s="466"/>
      <c r="H30" s="466"/>
      <c r="I30" s="466"/>
      <c r="J30" s="466"/>
      <c r="K30" s="466"/>
      <c r="L30" s="467"/>
      <c r="M30" s="150"/>
      <c r="N30" s="142" t="s">
        <v>17</v>
      </c>
      <c r="O30" s="468">
        <f>SUM(O29:T29)</f>
        <v>294800</v>
      </c>
      <c r="P30" s="469"/>
      <c r="Q30" s="469"/>
      <c r="R30" s="469"/>
      <c r="S30" s="469"/>
      <c r="T30" s="470"/>
    </row>
    <row r="31" spans="1:20" ht="14.65" customHeight="1" thickBot="1" x14ac:dyDescent="0.3">
      <c r="A31" s="457"/>
      <c r="B31" s="459" t="s">
        <v>19</v>
      </c>
      <c r="C31" s="460"/>
      <c r="D31" s="460"/>
      <c r="E31" s="460"/>
      <c r="F31" s="460"/>
      <c r="G31" s="460"/>
      <c r="H31" s="460"/>
      <c r="I31" s="460"/>
      <c r="J31" s="460"/>
      <c r="K31" s="460"/>
      <c r="L31" s="461"/>
      <c r="M31" s="141"/>
      <c r="N31" s="142" t="s">
        <v>20</v>
      </c>
      <c r="O31" s="166">
        <f>O29-O27</f>
        <v>14875</v>
      </c>
      <c r="P31" s="167">
        <f t="shared" ref="P31:T31" si="4">P29-P27</f>
        <v>23400</v>
      </c>
      <c r="Q31" s="167">
        <f t="shared" si="4"/>
        <v>26400</v>
      </c>
      <c r="R31" s="167">
        <f t="shared" si="4"/>
        <v>3568</v>
      </c>
      <c r="S31" s="167">
        <f t="shared" si="4"/>
        <v>8800</v>
      </c>
      <c r="T31" s="168">
        <f t="shared" si="4"/>
        <v>10875</v>
      </c>
    </row>
    <row r="32" spans="1:20" ht="29.65" customHeight="1" thickBot="1" x14ac:dyDescent="0.3">
      <c r="A32" s="457"/>
      <c r="B32" s="465"/>
      <c r="C32" s="466"/>
      <c r="D32" s="466"/>
      <c r="E32" s="466"/>
      <c r="F32" s="466"/>
      <c r="G32" s="466"/>
      <c r="H32" s="466"/>
      <c r="I32" s="466"/>
      <c r="J32" s="466"/>
      <c r="K32" s="466"/>
      <c r="L32" s="467"/>
      <c r="M32" s="150"/>
      <c r="N32" s="142" t="s">
        <v>31</v>
      </c>
      <c r="O32" s="480">
        <f>SUM(O31:T31)</f>
        <v>87918</v>
      </c>
      <c r="P32" s="481"/>
      <c r="Q32" s="481"/>
      <c r="R32" s="481"/>
      <c r="S32" s="481"/>
      <c r="T32" s="482"/>
    </row>
    <row r="33" spans="1:20" ht="15.75" thickBot="1" x14ac:dyDescent="0.3">
      <c r="A33" s="457"/>
    </row>
    <row r="34" spans="1:20" ht="14.65" customHeight="1" thickBot="1" x14ac:dyDescent="0.3">
      <c r="A34" s="457"/>
      <c r="B34" s="432" t="s">
        <v>27</v>
      </c>
      <c r="C34" s="433"/>
      <c r="D34" s="433"/>
      <c r="E34" s="433"/>
      <c r="F34" s="433"/>
      <c r="G34" s="433"/>
      <c r="H34" s="433"/>
      <c r="I34" s="433"/>
      <c r="J34" s="433"/>
      <c r="K34" s="433"/>
      <c r="L34" s="433"/>
      <c r="M34" s="433"/>
      <c r="N34" s="434"/>
      <c r="O34" s="441" t="s">
        <v>28</v>
      </c>
      <c r="P34" s="442"/>
      <c r="Q34" s="443"/>
      <c r="R34" s="169" t="s">
        <v>29</v>
      </c>
      <c r="S34" s="170"/>
      <c r="T34" s="170"/>
    </row>
    <row r="35" spans="1:20" ht="15" customHeight="1" x14ac:dyDescent="0.25">
      <c r="A35" s="457"/>
      <c r="B35" s="435"/>
      <c r="C35" s="436"/>
      <c r="D35" s="436"/>
      <c r="E35" s="436"/>
      <c r="F35" s="436"/>
      <c r="G35" s="436"/>
      <c r="H35" s="436"/>
      <c r="I35" s="436"/>
      <c r="J35" s="436"/>
      <c r="K35" s="436"/>
      <c r="L35" s="436"/>
      <c r="M35" s="436"/>
      <c r="N35" s="437"/>
      <c r="O35" s="444" t="s">
        <v>256</v>
      </c>
      <c r="P35" s="445"/>
      <c r="Q35" s="446"/>
      <c r="R35" s="171">
        <v>10000</v>
      </c>
      <c r="S35" s="172"/>
      <c r="T35" s="172"/>
    </row>
    <row r="36" spans="1:20" ht="15" customHeight="1" x14ac:dyDescent="0.25">
      <c r="A36" s="457"/>
      <c r="B36" s="435"/>
      <c r="C36" s="436"/>
      <c r="D36" s="436"/>
      <c r="E36" s="436"/>
      <c r="F36" s="436"/>
      <c r="G36" s="436"/>
      <c r="H36" s="436"/>
      <c r="I36" s="436"/>
      <c r="J36" s="436"/>
      <c r="K36" s="436"/>
      <c r="L36" s="436"/>
      <c r="M36" s="436"/>
      <c r="N36" s="437"/>
      <c r="O36" s="447"/>
      <c r="P36" s="448"/>
      <c r="Q36" s="449"/>
      <c r="R36" s="173"/>
      <c r="S36" s="172"/>
      <c r="T36" s="172"/>
    </row>
    <row r="37" spans="1:20" ht="15" customHeight="1" x14ac:dyDescent="0.25">
      <c r="A37" s="457"/>
      <c r="B37" s="435"/>
      <c r="C37" s="436"/>
      <c r="D37" s="436"/>
      <c r="E37" s="436"/>
      <c r="F37" s="436"/>
      <c r="G37" s="436"/>
      <c r="H37" s="436"/>
      <c r="I37" s="436"/>
      <c r="J37" s="436"/>
      <c r="K37" s="436"/>
      <c r="L37" s="436"/>
      <c r="M37" s="436"/>
      <c r="N37" s="437"/>
      <c r="O37" s="447"/>
      <c r="P37" s="448"/>
      <c r="Q37" s="449"/>
      <c r="R37" s="173"/>
      <c r="S37" s="172"/>
      <c r="T37" s="172"/>
    </row>
    <row r="38" spans="1:20" ht="15" customHeight="1" x14ac:dyDescent="0.25">
      <c r="A38" s="457"/>
      <c r="B38" s="435"/>
      <c r="C38" s="436"/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7"/>
      <c r="O38" s="447"/>
      <c r="P38" s="448"/>
      <c r="Q38" s="449"/>
      <c r="R38" s="173"/>
      <c r="S38" s="172"/>
      <c r="T38" s="172"/>
    </row>
    <row r="39" spans="1:20" ht="15" customHeight="1" x14ac:dyDescent="0.25">
      <c r="A39" s="457"/>
      <c r="B39" s="435"/>
      <c r="C39" s="436"/>
      <c r="D39" s="436"/>
      <c r="E39" s="436"/>
      <c r="F39" s="436"/>
      <c r="G39" s="436"/>
      <c r="H39" s="436"/>
      <c r="I39" s="436"/>
      <c r="J39" s="436"/>
      <c r="K39" s="436"/>
      <c r="L39" s="436"/>
      <c r="M39" s="436"/>
      <c r="N39" s="437"/>
      <c r="O39" s="447"/>
      <c r="P39" s="448"/>
      <c r="Q39" s="449"/>
      <c r="R39" s="173"/>
      <c r="S39" s="172"/>
      <c r="T39" s="172"/>
    </row>
    <row r="40" spans="1:20" ht="15" customHeight="1" x14ac:dyDescent="0.25">
      <c r="A40" s="457"/>
      <c r="B40" s="435"/>
      <c r="C40" s="436"/>
      <c r="D40" s="436"/>
      <c r="E40" s="436"/>
      <c r="F40" s="436"/>
      <c r="G40" s="436"/>
      <c r="H40" s="436"/>
      <c r="I40" s="436"/>
      <c r="J40" s="436"/>
      <c r="K40" s="436"/>
      <c r="L40" s="436"/>
      <c r="M40" s="436"/>
      <c r="N40" s="437"/>
      <c r="O40" s="447"/>
      <c r="P40" s="448"/>
      <c r="Q40" s="449"/>
      <c r="R40" s="173"/>
      <c r="S40" s="172"/>
      <c r="T40" s="172"/>
    </row>
    <row r="41" spans="1:20" ht="15" customHeight="1" thickBot="1" x14ac:dyDescent="0.3">
      <c r="A41" s="457"/>
      <c r="B41" s="435"/>
      <c r="C41" s="436"/>
      <c r="D41" s="436"/>
      <c r="E41" s="436"/>
      <c r="F41" s="436"/>
      <c r="G41" s="436"/>
      <c r="H41" s="436"/>
      <c r="I41" s="436"/>
      <c r="J41" s="436"/>
      <c r="K41" s="436"/>
      <c r="L41" s="436"/>
      <c r="M41" s="436"/>
      <c r="N41" s="437"/>
      <c r="O41" s="471"/>
      <c r="P41" s="472"/>
      <c r="Q41" s="473"/>
      <c r="R41" s="173"/>
      <c r="S41" s="172"/>
      <c r="T41" s="172"/>
    </row>
    <row r="42" spans="1:20" ht="15.75" customHeight="1" thickBot="1" x14ac:dyDescent="0.3">
      <c r="A42" s="457"/>
      <c r="B42" s="438"/>
      <c r="C42" s="439"/>
      <c r="D42" s="439"/>
      <c r="E42" s="439"/>
      <c r="F42" s="439"/>
      <c r="G42" s="439"/>
      <c r="H42" s="439"/>
      <c r="I42" s="439"/>
      <c r="J42" s="439"/>
      <c r="K42" s="439"/>
      <c r="L42" s="439"/>
      <c r="M42" s="439"/>
      <c r="N42" s="440"/>
      <c r="O42" s="474" t="s">
        <v>17</v>
      </c>
      <c r="P42" s="475"/>
      <c r="Q42" s="476"/>
      <c r="R42" s="174">
        <f>SUM(R35:R41)</f>
        <v>10000</v>
      </c>
      <c r="S42" s="172"/>
      <c r="T42" s="172"/>
    </row>
    <row r="43" spans="1:20" ht="15.75" thickBot="1" x14ac:dyDescent="0.3">
      <c r="A43" s="457"/>
    </row>
    <row r="44" spans="1:20" ht="51.75" customHeight="1" thickBot="1" x14ac:dyDescent="0.3">
      <c r="A44" s="458"/>
      <c r="B44" s="441" t="s">
        <v>19</v>
      </c>
      <c r="C44" s="442"/>
      <c r="D44" s="442"/>
      <c r="E44" s="442"/>
      <c r="F44" s="442"/>
      <c r="G44" s="442"/>
      <c r="H44" s="442"/>
      <c r="I44" s="442"/>
      <c r="J44" s="442"/>
      <c r="K44" s="442"/>
      <c r="L44" s="443"/>
      <c r="M44" s="142"/>
      <c r="N44" s="175" t="s">
        <v>17</v>
      </c>
      <c r="O44" s="477">
        <f>O32-SUM(R35:R41)</f>
        <v>77918</v>
      </c>
      <c r="P44" s="478"/>
      <c r="Q44" s="478"/>
      <c r="R44" s="478"/>
      <c r="S44" s="478"/>
      <c r="T44" s="479"/>
    </row>
    <row r="45" spans="1:20" ht="15.75" customHeight="1" x14ac:dyDescent="0.25">
      <c r="A45" s="176"/>
      <c r="P45" s="177"/>
      <c r="Q45" s="177"/>
      <c r="R45" s="177"/>
      <c r="T45" s="145"/>
    </row>
    <row r="46" spans="1:20" ht="15" customHeight="1" x14ac:dyDescent="0.25">
      <c r="A46" s="176"/>
      <c r="P46" s="177"/>
      <c r="Q46" s="177"/>
      <c r="R46" s="177"/>
      <c r="T46" s="178"/>
    </row>
    <row r="47" spans="1:20" ht="15" customHeight="1" x14ac:dyDescent="0.25">
      <c r="P47" s="177"/>
      <c r="Q47" s="177"/>
      <c r="R47" s="177"/>
      <c r="T47" s="178"/>
    </row>
    <row r="48" spans="1:20" ht="15" customHeight="1" x14ac:dyDescent="0.25">
      <c r="P48" s="177"/>
      <c r="Q48" s="177"/>
      <c r="R48" s="177"/>
      <c r="T48" s="178"/>
    </row>
    <row r="49" spans="16:20" ht="15" customHeight="1" x14ac:dyDescent="0.25">
      <c r="P49" s="177"/>
      <c r="Q49" s="177"/>
      <c r="R49" s="177"/>
      <c r="T49" s="178"/>
    </row>
    <row r="50" spans="16:20" ht="15" customHeight="1" x14ac:dyDescent="0.25">
      <c r="P50" s="177"/>
      <c r="Q50" s="177"/>
      <c r="R50" s="177"/>
      <c r="T50" s="178"/>
    </row>
    <row r="51" spans="16:20" ht="15" customHeight="1" x14ac:dyDescent="0.25">
      <c r="P51" s="177"/>
      <c r="Q51" s="177"/>
      <c r="R51" s="177"/>
      <c r="T51" s="178"/>
    </row>
    <row r="52" spans="16:20" ht="15" customHeight="1" x14ac:dyDescent="0.25">
      <c r="P52" s="177"/>
      <c r="Q52" s="177"/>
      <c r="R52" s="177"/>
      <c r="T52" s="178"/>
    </row>
    <row r="53" spans="16:20" ht="15.75" customHeight="1" x14ac:dyDescent="0.25">
      <c r="P53" s="177"/>
      <c r="Q53" s="177"/>
      <c r="R53" s="177"/>
      <c r="T53" s="178"/>
    </row>
  </sheetData>
  <mergeCells count="24"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  <mergeCell ref="B34:N42"/>
    <mergeCell ref="O34:Q34"/>
    <mergeCell ref="O35:Q35"/>
    <mergeCell ref="O36:Q36"/>
    <mergeCell ref="O37:Q37"/>
    <mergeCell ref="O38:Q38"/>
    <mergeCell ref="O39:Q39"/>
    <mergeCell ref="O40:Q40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1" width="15.42578125" customWidth="1"/>
    <col min="23" max="23" width="71.42578125" style="58" customWidth="1"/>
  </cols>
  <sheetData>
    <row r="1" spans="1:23" ht="15.75" thickBot="1" x14ac:dyDescent="0.3"/>
    <row r="2" spans="1:23" ht="29.65" customHeight="1" thickBot="1" x14ac:dyDescent="0.3">
      <c r="B2" s="325" t="s">
        <v>267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29"/>
      <c r="U2" s="330"/>
    </row>
    <row r="3" spans="1:23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25">
      <c r="A5" s="374"/>
      <c r="B5" s="83" t="s">
        <v>77</v>
      </c>
      <c r="C5" s="74" t="s">
        <v>78</v>
      </c>
      <c r="D5" s="74" t="s">
        <v>79</v>
      </c>
      <c r="E5" s="74" t="s">
        <v>80</v>
      </c>
      <c r="F5" s="74" t="s">
        <v>81</v>
      </c>
      <c r="G5" s="74" t="s">
        <v>63</v>
      </c>
      <c r="H5" s="74" t="s">
        <v>55</v>
      </c>
      <c r="I5" s="80">
        <v>56963061299</v>
      </c>
      <c r="J5" s="42" t="s">
        <v>82</v>
      </c>
      <c r="K5" s="42" t="s">
        <v>57</v>
      </c>
      <c r="L5" s="79" t="s">
        <v>190</v>
      </c>
      <c r="M5" s="79" t="s">
        <v>196</v>
      </c>
      <c r="N5" s="74">
        <f>SUMPRODUCT(Tabla5236[[#This Row],[Naranjas]:[Nueces]],O$26:U$26)</f>
        <v>58600</v>
      </c>
      <c r="O5" s="79">
        <v>2</v>
      </c>
      <c r="P5" s="79">
        <v>4</v>
      </c>
      <c r="Q5" s="79">
        <v>3</v>
      </c>
      <c r="R5" s="79">
        <v>0</v>
      </c>
      <c r="S5" s="79">
        <v>2</v>
      </c>
      <c r="T5" s="79">
        <v>0</v>
      </c>
      <c r="U5" s="79">
        <v>1</v>
      </c>
      <c r="V5" s="79">
        <f>SUM(Tabla5236[[#This Row],[Naranjas]:[Nueces]])</f>
        <v>12</v>
      </c>
      <c r="W5" s="85"/>
    </row>
    <row r="6" spans="1:23" outlineLevel="1" x14ac:dyDescent="0.25">
      <c r="A6" s="374"/>
      <c r="B6" s="83" t="s">
        <v>49</v>
      </c>
      <c r="C6" s="74" t="s">
        <v>50</v>
      </c>
      <c r="D6" s="74" t="s">
        <v>51</v>
      </c>
      <c r="E6" s="74" t="s">
        <v>52</v>
      </c>
      <c r="F6" s="74" t="s">
        <v>53</v>
      </c>
      <c r="G6" s="74" t="s">
        <v>54</v>
      </c>
      <c r="H6" s="74" t="s">
        <v>55</v>
      </c>
      <c r="I6" s="80">
        <v>56998246537</v>
      </c>
      <c r="J6" s="42" t="s">
        <v>56</v>
      </c>
      <c r="K6" s="42" t="s">
        <v>57</v>
      </c>
      <c r="L6" s="79" t="s">
        <v>190</v>
      </c>
      <c r="M6" s="79" t="s">
        <v>196</v>
      </c>
      <c r="N6" s="74">
        <f>SUMPRODUCT(Tabla5236[[#This Row],[Naranjas]:[Nueces]],O$26:U$26)</f>
        <v>36900</v>
      </c>
      <c r="O6" s="79">
        <v>0</v>
      </c>
      <c r="P6" s="79">
        <v>1</v>
      </c>
      <c r="Q6" s="79">
        <v>2</v>
      </c>
      <c r="R6" s="79">
        <v>0</v>
      </c>
      <c r="S6" s="79">
        <v>2</v>
      </c>
      <c r="T6" s="79">
        <v>2</v>
      </c>
      <c r="U6" s="79">
        <v>0</v>
      </c>
      <c r="V6" s="79">
        <f>SUM(Tabla5236[[#This Row],[Naranjas]:[Nueces]])</f>
        <v>7</v>
      </c>
      <c r="W6" s="85"/>
    </row>
    <row r="7" spans="1:23" outlineLevel="1" x14ac:dyDescent="0.25">
      <c r="A7" s="374"/>
      <c r="B7" s="83" t="s">
        <v>178</v>
      </c>
      <c r="C7" s="74" t="s">
        <v>179</v>
      </c>
      <c r="D7" s="74" t="s">
        <v>180</v>
      </c>
      <c r="E7" s="74" t="s">
        <v>80</v>
      </c>
      <c r="F7" s="74" t="s">
        <v>68</v>
      </c>
      <c r="G7" s="74">
        <v>0</v>
      </c>
      <c r="H7" s="74" t="s">
        <v>55</v>
      </c>
      <c r="I7" s="80">
        <v>56954243532</v>
      </c>
      <c r="J7" s="42" t="s">
        <v>181</v>
      </c>
      <c r="K7" s="42" t="s">
        <v>57</v>
      </c>
      <c r="L7" s="79" t="s">
        <v>190</v>
      </c>
      <c r="M7" s="79" t="s">
        <v>196</v>
      </c>
      <c r="N7" s="74">
        <f>SUMPRODUCT(Tabla5236[[#This Row],[Naranjas]:[Nueces]],O$26:U$26)</f>
        <v>37200</v>
      </c>
      <c r="O7" s="79">
        <v>2</v>
      </c>
      <c r="P7" s="79">
        <v>1</v>
      </c>
      <c r="Q7" s="79">
        <v>1</v>
      </c>
      <c r="R7" s="79">
        <v>0</v>
      </c>
      <c r="S7" s="79">
        <v>3</v>
      </c>
      <c r="T7" s="79">
        <v>0</v>
      </c>
      <c r="U7" s="79">
        <v>0</v>
      </c>
      <c r="V7" s="79">
        <f>SUM(Tabla5236[[#This Row],[Naranjas]:[Nueces]])</f>
        <v>7</v>
      </c>
      <c r="W7" s="85"/>
    </row>
    <row r="8" spans="1:23" outlineLevel="1" x14ac:dyDescent="0.25">
      <c r="A8" s="374"/>
      <c r="B8" s="83" t="s">
        <v>165</v>
      </c>
      <c r="C8" s="74" t="s">
        <v>106</v>
      </c>
      <c r="D8" s="74" t="s">
        <v>166</v>
      </c>
      <c r="E8" s="74" t="s">
        <v>52</v>
      </c>
      <c r="F8" s="74" t="s">
        <v>97</v>
      </c>
      <c r="G8" s="74" t="s">
        <v>63</v>
      </c>
      <c r="H8" s="74" t="s">
        <v>55</v>
      </c>
      <c r="I8" s="80">
        <v>56986194003</v>
      </c>
      <c r="J8" s="42" t="s">
        <v>167</v>
      </c>
      <c r="K8" s="42" t="s">
        <v>89</v>
      </c>
      <c r="L8" s="79" t="s">
        <v>190</v>
      </c>
      <c r="M8" s="79" t="s">
        <v>196</v>
      </c>
      <c r="N8" s="74">
        <f>SUMPRODUCT(Tabla5236[[#This Row],[Naranjas]:[Nueces]],O$26:U$26)</f>
        <v>88600</v>
      </c>
      <c r="O8" s="79">
        <v>0</v>
      </c>
      <c r="P8" s="79">
        <v>0</v>
      </c>
      <c r="Q8" s="79">
        <v>8</v>
      </c>
      <c r="R8" s="79">
        <v>6</v>
      </c>
      <c r="S8" s="79">
        <v>0</v>
      </c>
      <c r="T8" s="79">
        <v>0</v>
      </c>
      <c r="U8" s="79">
        <v>0</v>
      </c>
      <c r="V8" s="79">
        <f>SUM(Tabla5236[[#This Row],[Naranjas]:[Nueces]])</f>
        <v>14</v>
      </c>
      <c r="W8" s="85" t="s">
        <v>262</v>
      </c>
    </row>
    <row r="9" spans="1:23" outlineLevel="1" x14ac:dyDescent="0.25">
      <c r="A9" s="374"/>
      <c r="B9" s="83" t="s">
        <v>227</v>
      </c>
      <c r="C9" s="74" t="s">
        <v>228</v>
      </c>
      <c r="D9" s="74" t="s">
        <v>229</v>
      </c>
      <c r="E9" s="74" t="s">
        <v>80</v>
      </c>
      <c r="F9" s="74" t="s">
        <v>62</v>
      </c>
      <c r="G9" s="74" t="s">
        <v>113</v>
      </c>
      <c r="H9" s="74" t="s">
        <v>55</v>
      </c>
      <c r="I9" s="80">
        <v>56967289638</v>
      </c>
      <c r="J9" s="42" t="s">
        <v>230</v>
      </c>
      <c r="K9" s="42" t="s">
        <v>119</v>
      </c>
      <c r="L9" s="79" t="s">
        <v>190</v>
      </c>
      <c r="M9" s="79" t="s">
        <v>190</v>
      </c>
      <c r="N9" s="74">
        <f>SUMPRODUCT(Tabla5236[[#This Row],[Naranjas]:[Nueces]],O$26:U$26)</f>
        <v>14100</v>
      </c>
      <c r="O9" s="79">
        <v>0</v>
      </c>
      <c r="P9" s="79">
        <v>0</v>
      </c>
      <c r="Q9" s="79">
        <v>3</v>
      </c>
      <c r="R9" s="79">
        <v>0</v>
      </c>
      <c r="S9" s="79">
        <v>0</v>
      </c>
      <c r="T9" s="79">
        <v>0</v>
      </c>
      <c r="U9" s="79">
        <v>0</v>
      </c>
      <c r="V9" s="79">
        <f>SUM(Tabla5236[[#This Row],[Naranjas]:[Nueces]])</f>
        <v>3</v>
      </c>
      <c r="W9" s="85" t="s">
        <v>261</v>
      </c>
    </row>
    <row r="10" spans="1:23" outlineLevel="1" x14ac:dyDescent="0.25">
      <c r="A10" s="374"/>
      <c r="B10" s="83" t="s">
        <v>133</v>
      </c>
      <c r="C10" s="74" t="s">
        <v>134</v>
      </c>
      <c r="D10" s="74" t="s">
        <v>135</v>
      </c>
      <c r="E10" s="74" t="s">
        <v>52</v>
      </c>
      <c r="F10" s="74" t="s">
        <v>97</v>
      </c>
      <c r="G10" s="74" t="s">
        <v>69</v>
      </c>
      <c r="H10" s="74" t="s">
        <v>55</v>
      </c>
      <c r="I10" s="80">
        <v>56982328251</v>
      </c>
      <c r="J10" s="42" t="s">
        <v>136</v>
      </c>
      <c r="K10" s="42" t="s">
        <v>119</v>
      </c>
      <c r="L10" s="79" t="s">
        <v>190</v>
      </c>
      <c r="M10" s="79" t="s">
        <v>190</v>
      </c>
      <c r="N10" s="74">
        <f>SUMPRODUCT(Tabla5236[[#This Row],[Naranjas]:[Nueces]],O$26:U$26)</f>
        <v>37400</v>
      </c>
      <c r="O10" s="79">
        <v>0</v>
      </c>
      <c r="P10" s="79">
        <v>0</v>
      </c>
      <c r="Q10" s="79">
        <v>2</v>
      </c>
      <c r="R10" s="79">
        <v>0</v>
      </c>
      <c r="S10" s="79">
        <v>4</v>
      </c>
      <c r="T10" s="79">
        <v>0</v>
      </c>
      <c r="U10" s="79">
        <v>0</v>
      </c>
      <c r="V10" s="79">
        <f>SUM(Tabla5236[[#This Row],[Naranjas]:[Nueces]])</f>
        <v>6</v>
      </c>
      <c r="W10" s="85"/>
    </row>
    <row r="11" spans="1:23" outlineLevel="1" x14ac:dyDescent="0.25">
      <c r="A11" s="374"/>
      <c r="B11" s="83" t="s">
        <v>128</v>
      </c>
      <c r="C11" s="74" t="s">
        <v>158</v>
      </c>
      <c r="D11" s="74" t="s">
        <v>159</v>
      </c>
      <c r="E11" s="74" t="s">
        <v>52</v>
      </c>
      <c r="F11" s="74" t="s">
        <v>97</v>
      </c>
      <c r="G11" s="74" t="s">
        <v>63</v>
      </c>
      <c r="H11" s="74" t="s">
        <v>55</v>
      </c>
      <c r="I11" s="80">
        <v>56967898535</v>
      </c>
      <c r="J11" s="42" t="s">
        <v>160</v>
      </c>
      <c r="K11" s="42" t="s">
        <v>119</v>
      </c>
      <c r="L11" s="79" t="s">
        <v>190</v>
      </c>
      <c r="M11" s="79" t="s">
        <v>190</v>
      </c>
      <c r="N11" s="74">
        <f>SUMPRODUCT(Tabla5236[[#This Row],[Naranjas]:[Nueces]],O$26:U$26)</f>
        <v>63000</v>
      </c>
      <c r="O11" s="79">
        <v>2</v>
      </c>
      <c r="P11" s="79">
        <v>1</v>
      </c>
      <c r="Q11" s="79">
        <v>10</v>
      </c>
      <c r="R11" s="79">
        <v>0</v>
      </c>
      <c r="S11" s="79">
        <v>0</v>
      </c>
      <c r="T11" s="79">
        <v>1</v>
      </c>
      <c r="U11" s="79">
        <v>0</v>
      </c>
      <c r="V11" s="79">
        <f>SUM(Tabla5236[[#This Row],[Naranjas]:[Nueces]])</f>
        <v>14</v>
      </c>
      <c r="W11" s="85"/>
    </row>
    <row r="12" spans="1:23" outlineLevel="1" x14ac:dyDescent="0.25">
      <c r="A12" s="374"/>
      <c r="B12" s="83" t="s">
        <v>168</v>
      </c>
      <c r="C12" s="74" t="s">
        <v>169</v>
      </c>
      <c r="D12" s="74" t="s">
        <v>259</v>
      </c>
      <c r="E12" s="74" t="s">
        <v>80</v>
      </c>
      <c r="F12" s="74" t="s">
        <v>171</v>
      </c>
      <c r="G12" s="74" t="s">
        <v>63</v>
      </c>
      <c r="H12" s="74" t="s">
        <v>55</v>
      </c>
      <c r="I12" s="80">
        <v>56979878976</v>
      </c>
      <c r="J12" s="42" t="s">
        <v>172</v>
      </c>
      <c r="K12" s="42" t="s">
        <v>57</v>
      </c>
      <c r="L12" s="79" t="s">
        <v>190</v>
      </c>
      <c r="M12" s="79" t="s">
        <v>190</v>
      </c>
      <c r="N12" s="74">
        <f>SUMPRODUCT(Tabla5236[[#This Row],[Naranjas]:[Nueces]],O$26:U$26)</f>
        <v>117300</v>
      </c>
      <c r="O12" s="79">
        <v>0</v>
      </c>
      <c r="P12" s="79">
        <v>3</v>
      </c>
      <c r="Q12" s="79">
        <v>9</v>
      </c>
      <c r="R12" s="79">
        <v>2</v>
      </c>
      <c r="S12" s="79">
        <v>3</v>
      </c>
      <c r="T12" s="79">
        <v>4</v>
      </c>
      <c r="U12" s="79">
        <v>1</v>
      </c>
      <c r="V12" s="79">
        <f>SUM(Tabla5236[[#This Row],[Naranjas]:[Nueces]])</f>
        <v>22</v>
      </c>
      <c r="W12" s="85"/>
    </row>
    <row r="13" spans="1:23" outlineLevel="1" x14ac:dyDescent="0.25">
      <c r="A13" s="374"/>
      <c r="B13" s="83" t="s">
        <v>65</v>
      </c>
      <c r="C13" s="74" t="s">
        <v>66</v>
      </c>
      <c r="D13" s="74" t="s">
        <v>67</v>
      </c>
      <c r="E13" s="74" t="s">
        <v>61</v>
      </c>
      <c r="F13" s="74" t="s">
        <v>68</v>
      </c>
      <c r="G13" s="74" t="s">
        <v>69</v>
      </c>
      <c r="H13" s="74" t="s">
        <v>55</v>
      </c>
      <c r="I13" s="80">
        <v>56977684576</v>
      </c>
      <c r="J13" s="42" t="s">
        <v>70</v>
      </c>
      <c r="K13" s="42" t="s">
        <v>57</v>
      </c>
      <c r="L13" s="79" t="s">
        <v>190</v>
      </c>
      <c r="M13" s="79" t="s">
        <v>190</v>
      </c>
      <c r="N13" s="74">
        <f>SUMPRODUCT(Tabla5236[[#This Row],[Naranjas]:[Nueces]],O$26:U$26)</f>
        <v>40800</v>
      </c>
      <c r="O13" s="79">
        <v>0</v>
      </c>
      <c r="P13" s="79">
        <v>3</v>
      </c>
      <c r="Q13" s="79">
        <v>4</v>
      </c>
      <c r="R13" s="79">
        <v>1</v>
      </c>
      <c r="S13" s="79">
        <v>0</v>
      </c>
      <c r="T13" s="79">
        <v>0</v>
      </c>
      <c r="U13" s="79">
        <v>0</v>
      </c>
      <c r="V13" s="79">
        <f>SUM(Tabla5236[[#This Row],[Naranjas]:[Nueces]])</f>
        <v>8</v>
      </c>
      <c r="W13" s="85"/>
    </row>
    <row r="14" spans="1:23" outlineLevel="1" x14ac:dyDescent="0.25">
      <c r="A14" s="374"/>
      <c r="B14" s="83" t="s">
        <v>231</v>
      </c>
      <c r="C14" s="74" t="s">
        <v>232</v>
      </c>
      <c r="D14" s="74" t="s">
        <v>233</v>
      </c>
      <c r="E14" s="74" t="s">
        <v>61</v>
      </c>
      <c r="F14" s="74" t="s">
        <v>68</v>
      </c>
      <c r="G14" s="74" t="s">
        <v>113</v>
      </c>
      <c r="H14" s="74" t="s">
        <v>55</v>
      </c>
      <c r="I14" s="80">
        <v>56995483434</v>
      </c>
      <c r="J14" s="42" t="s">
        <v>234</v>
      </c>
      <c r="K14" s="42" t="s">
        <v>57</v>
      </c>
      <c r="L14" s="79" t="s">
        <v>190</v>
      </c>
      <c r="M14" s="79" t="s">
        <v>190</v>
      </c>
      <c r="N14" s="74">
        <f>SUMPRODUCT(Tabla5236[[#This Row],[Naranjas]:[Nueces]],O$26:U$26)</f>
        <v>22400</v>
      </c>
      <c r="O14" s="79">
        <v>0</v>
      </c>
      <c r="P14" s="79">
        <v>1</v>
      </c>
      <c r="Q14" s="79">
        <v>2</v>
      </c>
      <c r="R14" s="79">
        <v>1</v>
      </c>
      <c r="S14" s="79">
        <v>0</v>
      </c>
      <c r="T14" s="79">
        <v>0</v>
      </c>
      <c r="U14" s="79">
        <v>0</v>
      </c>
      <c r="V14" s="79">
        <f>SUM(Tabla5236[[#This Row],[Naranjas]:[Nueces]])</f>
        <v>4</v>
      </c>
      <c r="W14" s="85"/>
    </row>
    <row r="15" spans="1:23" outlineLevel="1" x14ac:dyDescent="0.25">
      <c r="A15" s="374"/>
      <c r="B15" s="83" t="s">
        <v>120</v>
      </c>
      <c r="C15" s="74" t="s">
        <v>121</v>
      </c>
      <c r="D15" s="74" t="s">
        <v>122</v>
      </c>
      <c r="E15" s="74" t="s">
        <v>80</v>
      </c>
      <c r="F15" s="74" t="s">
        <v>81</v>
      </c>
      <c r="G15" s="74" t="s">
        <v>63</v>
      </c>
      <c r="H15" s="74" t="s">
        <v>55</v>
      </c>
      <c r="I15" s="80">
        <v>56978785698</v>
      </c>
      <c r="J15" s="42" t="s">
        <v>123</v>
      </c>
      <c r="K15" s="42" t="s">
        <v>57</v>
      </c>
      <c r="L15" s="79" t="s">
        <v>190</v>
      </c>
      <c r="M15" s="179" t="s">
        <v>190</v>
      </c>
      <c r="N15" s="74">
        <f>SUMPRODUCT(Tabla5236[[#This Row],[Naranjas]:[Nueces]],O$26:U$26)</f>
        <v>50600</v>
      </c>
      <c r="O15" s="79">
        <v>0</v>
      </c>
      <c r="P15" s="79">
        <v>2</v>
      </c>
      <c r="Q15" s="79">
        <v>3</v>
      </c>
      <c r="R15" s="79">
        <v>0</v>
      </c>
      <c r="S15" s="79">
        <v>2</v>
      </c>
      <c r="T15" s="79">
        <v>3</v>
      </c>
      <c r="U15" s="79">
        <v>0</v>
      </c>
      <c r="V15" s="79">
        <f>SUM(Tabla5236[[#This Row],[Naranjas]:[Nueces]])</f>
        <v>10</v>
      </c>
      <c r="W15" s="85" t="s">
        <v>260</v>
      </c>
    </row>
    <row r="16" spans="1:23" ht="15.75" outlineLevel="1" thickBot="1" x14ac:dyDescent="0.3">
      <c r="A16" s="375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2">
        <v>56952304675</v>
      </c>
      <c r="J16" s="73" t="s">
        <v>185</v>
      </c>
      <c r="K16" s="73" t="s">
        <v>89</v>
      </c>
      <c r="L16" s="79" t="s">
        <v>190</v>
      </c>
      <c r="M16" s="79" t="s">
        <v>190</v>
      </c>
      <c r="N16" s="74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25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.75" thickBot="1" x14ac:dyDescent="0.3"/>
    <row r="19" spans="1:22" ht="14.65" customHeight="1" thickBot="1" x14ac:dyDescent="0.3">
      <c r="A19" s="331" t="s">
        <v>21</v>
      </c>
      <c r="B19" s="367" t="s">
        <v>7</v>
      </c>
      <c r="C19" s="368"/>
      <c r="D19" s="368"/>
      <c r="E19" s="368"/>
      <c r="F19" s="368"/>
      <c r="G19" s="368"/>
      <c r="H19" s="368"/>
      <c r="I19" s="368"/>
      <c r="J19" s="368"/>
      <c r="K19" s="368"/>
      <c r="L19" s="369"/>
      <c r="M19" s="97"/>
      <c r="N19" s="91" t="s">
        <v>9</v>
      </c>
      <c r="O19" s="14">
        <f>SUM(Tabla5236[Naranjas])</f>
        <v>8</v>
      </c>
      <c r="P19" s="76">
        <f>SUM(Tabla5236[Mandarinas])</f>
        <v>20</v>
      </c>
      <c r="Q19" s="76">
        <f>SUM(Tabla5236[Paltas])</f>
        <v>50</v>
      </c>
      <c r="R19" s="76">
        <f>SUM(Tabla5236[Quesos])</f>
        <v>11</v>
      </c>
      <c r="S19" s="76">
        <f>SUM(Tabla5236[Frutillas])</f>
        <v>20</v>
      </c>
      <c r="T19" s="76">
        <f>SUM(Tabla5236[Tomate Cherry])</f>
        <v>12</v>
      </c>
      <c r="U19" s="10">
        <f>SUM(Tabla5236[Nueces])</f>
        <v>2</v>
      </c>
    </row>
    <row r="20" spans="1:22" ht="14.65" customHeight="1" thickBot="1" x14ac:dyDescent="0.3">
      <c r="A20" s="332"/>
      <c r="B20" s="376"/>
      <c r="C20" s="377"/>
      <c r="D20" s="377"/>
      <c r="E20" s="377"/>
      <c r="F20" s="377"/>
      <c r="G20" s="377"/>
      <c r="H20" s="377"/>
      <c r="I20" s="377"/>
      <c r="J20" s="377"/>
      <c r="K20" s="377"/>
      <c r="L20" s="378"/>
      <c r="M20" s="98"/>
      <c r="N20" s="91" t="s">
        <v>30</v>
      </c>
      <c r="O20" s="15">
        <v>5</v>
      </c>
      <c r="P20" s="79">
        <v>4</v>
      </c>
      <c r="Q20" s="79">
        <v>2</v>
      </c>
      <c r="R20" s="56">
        <v>1</v>
      </c>
      <c r="S20" s="56">
        <v>2</v>
      </c>
      <c r="T20" s="79">
        <v>1</v>
      </c>
      <c r="U20" s="57">
        <v>0.25</v>
      </c>
    </row>
    <row r="21" spans="1:22" ht="14.65" customHeight="1" thickBot="1" x14ac:dyDescent="0.3">
      <c r="A21" s="332"/>
      <c r="B21" s="376"/>
      <c r="C21" s="377"/>
      <c r="D21" s="377"/>
      <c r="E21" s="377"/>
      <c r="F21" s="377"/>
      <c r="G21" s="377"/>
      <c r="H21" s="377"/>
      <c r="I21" s="377"/>
      <c r="J21" s="377"/>
      <c r="K21" s="377"/>
      <c r="L21" s="378"/>
      <c r="M21" s="98"/>
      <c r="N21" s="91" t="s">
        <v>8</v>
      </c>
      <c r="O21" s="15">
        <f>O20*O19</f>
        <v>40</v>
      </c>
      <c r="P21" s="79">
        <f t="shared" ref="P21:U21" si="0">P20*P19</f>
        <v>80</v>
      </c>
      <c r="Q21" s="79">
        <f t="shared" si="0"/>
        <v>100</v>
      </c>
      <c r="R21" s="79">
        <f t="shared" si="0"/>
        <v>11</v>
      </c>
      <c r="S21" s="79">
        <f t="shared" si="0"/>
        <v>40</v>
      </c>
      <c r="T21" s="79">
        <f t="shared" si="0"/>
        <v>12</v>
      </c>
      <c r="U21" s="19">
        <f t="shared" si="0"/>
        <v>0.5</v>
      </c>
    </row>
    <row r="22" spans="1:22" ht="15.75" thickBot="1" x14ac:dyDescent="0.3">
      <c r="A22" s="332"/>
      <c r="B22" s="370"/>
      <c r="C22" s="371"/>
      <c r="D22" s="371"/>
      <c r="E22" s="371"/>
      <c r="F22" s="371"/>
      <c r="G22" s="371"/>
      <c r="H22" s="371"/>
      <c r="I22" s="371"/>
      <c r="J22" s="371"/>
      <c r="K22" s="371"/>
      <c r="L22" s="372"/>
      <c r="M22" s="99"/>
      <c r="N22" s="91" t="s">
        <v>10</v>
      </c>
      <c r="O22" s="16"/>
      <c r="P22" s="27"/>
      <c r="Q22" s="27"/>
      <c r="R22" s="27"/>
      <c r="S22" s="27"/>
      <c r="T22" s="27"/>
      <c r="U22" s="20"/>
    </row>
    <row r="23" spans="1:22" ht="15.75" thickBot="1" x14ac:dyDescent="0.3">
      <c r="A23" s="332"/>
      <c r="B23" s="92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.75" thickBot="1" x14ac:dyDescent="0.3">
      <c r="A24" s="332"/>
      <c r="B24" s="367" t="s">
        <v>13</v>
      </c>
      <c r="C24" s="368"/>
      <c r="D24" s="368"/>
      <c r="E24" s="368"/>
      <c r="F24" s="368"/>
      <c r="G24" s="368"/>
      <c r="H24" s="368"/>
      <c r="I24" s="368"/>
      <c r="J24" s="368"/>
      <c r="K24" s="368"/>
      <c r="L24" s="369"/>
      <c r="M24" s="97"/>
      <c r="N24" s="91" t="s">
        <v>14</v>
      </c>
      <c r="O24" s="81">
        <f>O25*O20</f>
        <v>525</v>
      </c>
      <c r="P24" s="78">
        <f t="shared" ref="P24:U24" si="1">P25*P20</f>
        <v>2200</v>
      </c>
      <c r="Q24" s="78">
        <f t="shared" si="1"/>
        <v>3100</v>
      </c>
      <c r="R24" s="78">
        <f t="shared" si="1"/>
        <v>6716</v>
      </c>
      <c r="S24" s="78">
        <f t="shared" si="1"/>
        <v>4000</v>
      </c>
      <c r="T24" s="78">
        <f t="shared" si="1"/>
        <v>2300</v>
      </c>
      <c r="U24" s="24">
        <f t="shared" si="1"/>
        <v>1875</v>
      </c>
    </row>
    <row r="25" spans="1:22" ht="15.75" thickBot="1" x14ac:dyDescent="0.3">
      <c r="A25" s="332"/>
      <c r="B25" s="376"/>
      <c r="C25" s="377"/>
      <c r="D25" s="377"/>
      <c r="E25" s="377"/>
      <c r="F25" s="377"/>
      <c r="G25" s="377"/>
      <c r="H25" s="377"/>
      <c r="I25" s="377"/>
      <c r="J25" s="377"/>
      <c r="K25" s="377"/>
      <c r="L25" s="378"/>
      <c r="M25" s="98"/>
      <c r="N25" s="91" t="s">
        <v>8</v>
      </c>
      <c r="O25" s="83">
        <v>105</v>
      </c>
      <c r="P25" s="74">
        <v>550</v>
      </c>
      <c r="Q25" s="74">
        <v>1550</v>
      </c>
      <c r="R25" s="74">
        <v>6716</v>
      </c>
      <c r="S25" s="74">
        <f>12000/6</f>
        <v>2000</v>
      </c>
      <c r="T25" s="74">
        <v>2300</v>
      </c>
      <c r="U25" s="46">
        <v>7500</v>
      </c>
    </row>
    <row r="26" spans="1:22" ht="15.75" thickBot="1" x14ac:dyDescent="0.3">
      <c r="A26" s="332"/>
      <c r="B26" s="370"/>
      <c r="C26" s="371"/>
      <c r="D26" s="371"/>
      <c r="E26" s="371"/>
      <c r="F26" s="371"/>
      <c r="G26" s="371"/>
      <c r="H26" s="371"/>
      <c r="I26" s="371"/>
      <c r="J26" s="371"/>
      <c r="K26" s="371"/>
      <c r="L26" s="372"/>
      <c r="M26" s="99"/>
      <c r="N26" s="91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.75" thickBot="1" x14ac:dyDescent="0.3">
      <c r="A27" s="332"/>
      <c r="B27" s="92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65" customHeight="1" thickBot="1" x14ac:dyDescent="0.3">
      <c r="A28" s="332"/>
      <c r="B28" s="367" t="s">
        <v>16</v>
      </c>
      <c r="C28" s="368"/>
      <c r="D28" s="368"/>
      <c r="E28" s="368"/>
      <c r="F28" s="368"/>
      <c r="G28" s="368"/>
      <c r="H28" s="368"/>
      <c r="I28" s="368"/>
      <c r="J28" s="368"/>
      <c r="K28" s="368"/>
      <c r="L28" s="369"/>
      <c r="M28" s="97"/>
      <c r="N28" s="91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.75" thickBot="1" x14ac:dyDescent="0.3">
      <c r="A29" s="332"/>
      <c r="B29" s="370"/>
      <c r="C29" s="371"/>
      <c r="D29" s="371"/>
      <c r="E29" s="371"/>
      <c r="F29" s="371"/>
      <c r="G29" s="371"/>
      <c r="H29" s="371"/>
      <c r="I29" s="371"/>
      <c r="J29" s="371"/>
      <c r="K29" s="371"/>
      <c r="L29" s="372"/>
      <c r="M29" s="99"/>
      <c r="N29" s="91" t="s">
        <v>17</v>
      </c>
      <c r="O29" s="334">
        <f>SUM(O28:U28)</f>
        <v>388426</v>
      </c>
      <c r="P29" s="335"/>
      <c r="Q29" s="335"/>
      <c r="R29" s="335"/>
      <c r="S29" s="335"/>
      <c r="T29" s="335"/>
      <c r="U29" s="336"/>
    </row>
    <row r="30" spans="1:22" ht="15.75" thickBot="1" x14ac:dyDescent="0.3">
      <c r="A30" s="332"/>
      <c r="B30" s="367" t="s">
        <v>18</v>
      </c>
      <c r="C30" s="368"/>
      <c r="D30" s="368"/>
      <c r="E30" s="368"/>
      <c r="F30" s="368"/>
      <c r="G30" s="368"/>
      <c r="H30" s="368"/>
      <c r="I30" s="368"/>
      <c r="J30" s="368"/>
      <c r="K30" s="368"/>
      <c r="L30" s="369"/>
      <c r="M30" s="97"/>
      <c r="N30" s="91" t="s">
        <v>20</v>
      </c>
      <c r="O30" s="77">
        <f t="shared" ref="O30:U30" si="3">O26*O19</f>
        <v>28000</v>
      </c>
      <c r="P30" s="75">
        <f t="shared" si="3"/>
        <v>90000</v>
      </c>
      <c r="Q30" s="75">
        <f t="shared" si="3"/>
        <v>235000</v>
      </c>
      <c r="R30" s="75">
        <f t="shared" si="3"/>
        <v>93500</v>
      </c>
      <c r="S30" s="75">
        <f t="shared" si="3"/>
        <v>140000</v>
      </c>
      <c r="T30" s="75">
        <f t="shared" si="3"/>
        <v>54000</v>
      </c>
      <c r="U30" s="7">
        <f t="shared" si="3"/>
        <v>11000</v>
      </c>
    </row>
    <row r="31" spans="1:22" ht="15.75" thickBot="1" x14ac:dyDescent="0.3">
      <c r="A31" s="332"/>
      <c r="B31" s="370"/>
      <c r="C31" s="371"/>
      <c r="D31" s="371"/>
      <c r="E31" s="371"/>
      <c r="F31" s="371"/>
      <c r="G31" s="371"/>
      <c r="H31" s="371"/>
      <c r="I31" s="371"/>
      <c r="J31" s="371"/>
      <c r="K31" s="371"/>
      <c r="L31" s="372"/>
      <c r="M31" s="99"/>
      <c r="N31" s="91" t="s">
        <v>17</v>
      </c>
      <c r="O31" s="334">
        <f>SUM(O30:U30)</f>
        <v>651500</v>
      </c>
      <c r="P31" s="335"/>
      <c r="Q31" s="335"/>
      <c r="R31" s="335"/>
      <c r="S31" s="335"/>
      <c r="T31" s="335"/>
      <c r="U31" s="336"/>
    </row>
    <row r="32" spans="1:22" ht="14.65" customHeight="1" thickBot="1" x14ac:dyDescent="0.3">
      <c r="A32" s="332"/>
      <c r="B32" s="367" t="s">
        <v>19</v>
      </c>
      <c r="C32" s="368"/>
      <c r="D32" s="368"/>
      <c r="E32" s="368"/>
      <c r="F32" s="368"/>
      <c r="G32" s="368"/>
      <c r="H32" s="368"/>
      <c r="I32" s="368"/>
      <c r="J32" s="368"/>
      <c r="K32" s="368"/>
      <c r="L32" s="369"/>
      <c r="M32" s="97"/>
      <c r="N32" s="91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65" customHeight="1" thickBot="1" x14ac:dyDescent="0.3">
      <c r="A33" s="332"/>
      <c r="B33" s="370"/>
      <c r="C33" s="371"/>
      <c r="D33" s="371"/>
      <c r="E33" s="371"/>
      <c r="F33" s="371"/>
      <c r="G33" s="371"/>
      <c r="H33" s="371"/>
      <c r="I33" s="371"/>
      <c r="J33" s="371"/>
      <c r="K33" s="371"/>
      <c r="L33" s="372"/>
      <c r="M33" s="99"/>
      <c r="N33" s="91" t="s">
        <v>31</v>
      </c>
      <c r="O33" s="349">
        <f>SUM(O32:U32)</f>
        <v>263074</v>
      </c>
      <c r="P33" s="350"/>
      <c r="Q33" s="350"/>
      <c r="R33" s="350"/>
      <c r="S33" s="350"/>
      <c r="T33" s="350"/>
      <c r="U33" s="351"/>
    </row>
    <row r="34" spans="1:21" ht="15.75" thickBot="1" x14ac:dyDescent="0.3">
      <c r="A34" s="332"/>
    </row>
    <row r="35" spans="1:21" ht="14.65" customHeight="1" thickBot="1" x14ac:dyDescent="0.3">
      <c r="A35" s="332"/>
      <c r="B35" s="352" t="s">
        <v>27</v>
      </c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4"/>
      <c r="O35" s="343" t="s">
        <v>28</v>
      </c>
      <c r="P35" s="344"/>
      <c r="Q35" s="345"/>
      <c r="R35" s="44" t="s">
        <v>29</v>
      </c>
      <c r="S35" s="94"/>
      <c r="T35" s="11"/>
      <c r="U35" s="11"/>
    </row>
    <row r="36" spans="1:21" ht="15" customHeight="1" x14ac:dyDescent="0.25">
      <c r="A36" s="332"/>
      <c r="B36" s="355"/>
      <c r="C36" s="356"/>
      <c r="D36" s="356"/>
      <c r="E36" s="356"/>
      <c r="F36" s="356"/>
      <c r="G36" s="356"/>
      <c r="H36" s="356"/>
      <c r="I36" s="356"/>
      <c r="J36" s="356"/>
      <c r="K36" s="356"/>
      <c r="L36" s="356"/>
      <c r="M36" s="356"/>
      <c r="N36" s="357"/>
      <c r="O36" s="361" t="s">
        <v>194</v>
      </c>
      <c r="P36" s="362"/>
      <c r="Q36" s="363"/>
      <c r="R36" s="52">
        <v>30000</v>
      </c>
      <c r="S36" s="95"/>
      <c r="T36" s="12"/>
      <c r="U36" s="12"/>
    </row>
    <row r="37" spans="1:21" ht="15" customHeight="1" x14ac:dyDescent="0.25">
      <c r="A37" s="332"/>
      <c r="B37" s="355"/>
      <c r="C37" s="356"/>
      <c r="D37" s="356"/>
      <c r="E37" s="356"/>
      <c r="F37" s="356"/>
      <c r="G37" s="356"/>
      <c r="H37" s="356"/>
      <c r="I37" s="356"/>
      <c r="J37" s="356"/>
      <c r="K37" s="356"/>
      <c r="L37" s="356"/>
      <c r="M37" s="356"/>
      <c r="N37" s="357"/>
      <c r="O37" s="364" t="s">
        <v>192</v>
      </c>
      <c r="P37" s="365"/>
      <c r="Q37" s="366"/>
      <c r="R37" s="53">
        <v>30000</v>
      </c>
      <c r="S37" s="95"/>
      <c r="T37" s="12"/>
      <c r="U37" s="12"/>
    </row>
    <row r="38" spans="1:21" ht="15" customHeight="1" x14ac:dyDescent="0.25">
      <c r="A38" s="332"/>
      <c r="B38" s="355"/>
      <c r="C38" s="356"/>
      <c r="D38" s="356"/>
      <c r="E38" s="356"/>
      <c r="F38" s="356"/>
      <c r="G38" s="356"/>
      <c r="H38" s="356"/>
      <c r="I38" s="356"/>
      <c r="J38" s="356"/>
      <c r="K38" s="356"/>
      <c r="L38" s="356"/>
      <c r="M38" s="356"/>
      <c r="N38" s="357"/>
      <c r="O38" s="364"/>
      <c r="P38" s="365"/>
      <c r="Q38" s="366"/>
      <c r="R38" s="53"/>
      <c r="S38" s="95"/>
      <c r="T38" s="12"/>
      <c r="U38" s="12"/>
    </row>
    <row r="39" spans="1:21" ht="15" customHeight="1" x14ac:dyDescent="0.25">
      <c r="A39" s="332"/>
      <c r="B39" s="355"/>
      <c r="C39" s="356"/>
      <c r="D39" s="356"/>
      <c r="E39" s="356"/>
      <c r="F39" s="356"/>
      <c r="G39" s="356"/>
      <c r="H39" s="356"/>
      <c r="I39" s="356"/>
      <c r="J39" s="356"/>
      <c r="K39" s="356"/>
      <c r="L39" s="356"/>
      <c r="M39" s="356"/>
      <c r="N39" s="357"/>
      <c r="O39" s="364"/>
      <c r="P39" s="365"/>
      <c r="Q39" s="366"/>
      <c r="R39" s="53"/>
      <c r="S39" s="95"/>
      <c r="T39" s="12"/>
      <c r="U39" s="12"/>
    </row>
    <row r="40" spans="1:21" ht="15" customHeight="1" x14ac:dyDescent="0.25">
      <c r="A40" s="332"/>
      <c r="B40" s="355"/>
      <c r="C40" s="356"/>
      <c r="D40" s="356"/>
      <c r="E40" s="356"/>
      <c r="F40" s="356"/>
      <c r="G40" s="356"/>
      <c r="H40" s="356"/>
      <c r="I40" s="356"/>
      <c r="J40" s="356"/>
      <c r="K40" s="356"/>
      <c r="L40" s="356"/>
      <c r="M40" s="356"/>
      <c r="N40" s="357"/>
      <c r="O40" s="364"/>
      <c r="P40" s="365"/>
      <c r="Q40" s="366"/>
      <c r="R40" s="53"/>
      <c r="S40" s="95"/>
      <c r="T40" s="12"/>
      <c r="U40" s="12"/>
    </row>
    <row r="41" spans="1:21" ht="15" customHeight="1" x14ac:dyDescent="0.25">
      <c r="A41" s="332"/>
      <c r="B41" s="355"/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7"/>
      <c r="O41" s="364"/>
      <c r="P41" s="365"/>
      <c r="Q41" s="366"/>
      <c r="R41" s="53"/>
      <c r="S41" s="95"/>
      <c r="T41" s="12"/>
      <c r="U41" s="12"/>
    </row>
    <row r="42" spans="1:21" ht="15" customHeight="1" thickBot="1" x14ac:dyDescent="0.3">
      <c r="A42" s="332"/>
      <c r="B42" s="355"/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7"/>
      <c r="O42" s="337"/>
      <c r="P42" s="338"/>
      <c r="Q42" s="339"/>
      <c r="R42" s="53"/>
      <c r="S42" s="95"/>
      <c r="T42" s="12"/>
      <c r="U42" s="12"/>
    </row>
    <row r="43" spans="1:21" ht="15.75" customHeight="1" thickBot="1" x14ac:dyDescent="0.3">
      <c r="A43" s="332"/>
      <c r="B43" s="358"/>
      <c r="C43" s="359"/>
      <c r="D43" s="359"/>
      <c r="E43" s="359"/>
      <c r="F43" s="359"/>
      <c r="G43" s="359"/>
      <c r="H43" s="359"/>
      <c r="I43" s="359"/>
      <c r="J43" s="359"/>
      <c r="K43" s="359"/>
      <c r="L43" s="359"/>
      <c r="M43" s="359"/>
      <c r="N43" s="360"/>
      <c r="O43" s="340" t="s">
        <v>17</v>
      </c>
      <c r="P43" s="341"/>
      <c r="Q43" s="342"/>
      <c r="R43" s="54">
        <f>SUM(R36:R42)</f>
        <v>60000</v>
      </c>
      <c r="S43" s="96"/>
      <c r="T43" s="12"/>
      <c r="U43" s="12"/>
    </row>
    <row r="44" spans="1:21" ht="15.75" thickBot="1" x14ac:dyDescent="0.3">
      <c r="A44" s="332"/>
    </row>
    <row r="45" spans="1:21" ht="51.75" customHeight="1" thickBot="1" x14ac:dyDescent="0.3">
      <c r="A45" s="333"/>
      <c r="B45" s="343" t="s">
        <v>19</v>
      </c>
      <c r="C45" s="344"/>
      <c r="D45" s="344"/>
      <c r="E45" s="344"/>
      <c r="F45" s="344"/>
      <c r="G45" s="344"/>
      <c r="H45" s="344"/>
      <c r="I45" s="344"/>
      <c r="J45" s="344"/>
      <c r="K45" s="344"/>
      <c r="L45" s="345"/>
      <c r="M45" s="100"/>
      <c r="N45" s="90" t="s">
        <v>17</v>
      </c>
      <c r="O45" s="346">
        <f>O33-SUM(R36:R42)</f>
        <v>203074</v>
      </c>
      <c r="P45" s="347"/>
      <c r="Q45" s="347"/>
      <c r="R45" s="347"/>
      <c r="S45" s="347"/>
      <c r="T45" s="347"/>
      <c r="U45" s="348"/>
    </row>
    <row r="46" spans="1:21" ht="15.75" customHeight="1" x14ac:dyDescent="0.25">
      <c r="A46" s="45"/>
      <c r="P46" s="43"/>
      <c r="Q46" s="43"/>
      <c r="R46" s="43"/>
      <c r="S46" s="43"/>
      <c r="U46" s="93"/>
    </row>
    <row r="47" spans="1:21" ht="15" customHeight="1" x14ac:dyDescent="0.25">
      <c r="A47" s="45"/>
      <c r="P47" s="43"/>
      <c r="Q47" s="43"/>
      <c r="R47" s="43"/>
      <c r="S47" s="43"/>
      <c r="U47" s="13"/>
    </row>
    <row r="48" spans="1:21" ht="15" customHeight="1" x14ac:dyDescent="0.25">
      <c r="P48" s="43"/>
      <c r="Q48" s="43"/>
      <c r="R48" s="43"/>
      <c r="S48" s="43"/>
      <c r="U48" s="13"/>
    </row>
    <row r="49" spans="16:21" ht="15" customHeight="1" x14ac:dyDescent="0.25">
      <c r="P49" s="43"/>
      <c r="Q49" s="43"/>
      <c r="R49" s="43"/>
      <c r="S49" s="43"/>
      <c r="U49" s="13"/>
    </row>
    <row r="50" spans="16:21" ht="15" customHeight="1" x14ac:dyDescent="0.25">
      <c r="P50" s="43"/>
      <c r="Q50" s="43"/>
      <c r="R50" s="43"/>
      <c r="S50" s="43"/>
      <c r="U50" s="13"/>
    </row>
    <row r="51" spans="16:21" ht="15" customHeight="1" x14ac:dyDescent="0.25">
      <c r="P51" s="43"/>
      <c r="Q51" s="43"/>
      <c r="R51" s="43"/>
      <c r="S51" s="43"/>
      <c r="U51" s="13"/>
    </row>
    <row r="52" spans="16:21" ht="15" customHeight="1" x14ac:dyDescent="0.25">
      <c r="P52" s="43"/>
      <c r="Q52" s="43"/>
      <c r="R52" s="43"/>
      <c r="S52" s="43"/>
      <c r="U52" s="13"/>
    </row>
    <row r="53" spans="16:21" ht="15" customHeight="1" x14ac:dyDescent="0.25">
      <c r="P53" s="43"/>
      <c r="Q53" s="43"/>
      <c r="R53" s="43"/>
      <c r="S53" s="43"/>
      <c r="U53" s="13"/>
    </row>
    <row r="54" spans="16:21" ht="15.75" customHeight="1" x14ac:dyDescent="0.25">
      <c r="P54" s="43"/>
      <c r="Q54" s="43"/>
      <c r="R54" s="43"/>
      <c r="S54" s="43"/>
      <c r="U54" s="13"/>
    </row>
  </sheetData>
  <mergeCells count="24">
    <mergeCell ref="B35:N43"/>
    <mergeCell ref="O35:Q35"/>
    <mergeCell ref="O36:Q36"/>
    <mergeCell ref="O37:Q37"/>
    <mergeCell ref="O38:Q38"/>
    <mergeCell ref="O39:Q39"/>
    <mergeCell ref="O40:Q40"/>
    <mergeCell ref="O41:Q41"/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80"/>
    <col min="2" max="2" width="12.42578125" style="180" customWidth="1"/>
    <col min="3" max="3" width="15.28515625" style="180" customWidth="1"/>
    <col min="4" max="4" width="38" style="180" hidden="1" customWidth="1" outlineLevel="1"/>
    <col min="5" max="5" width="15.140625" style="180" hidden="1" customWidth="1" outlineLevel="1"/>
    <col min="6" max="6" width="16.5703125" style="180" hidden="1" customWidth="1" outlineLevel="1"/>
    <col min="7" max="7" width="14.7109375" style="180" hidden="1" customWidth="1" outlineLevel="1"/>
    <col min="8" max="8" width="10.5703125" style="180" hidden="1" customWidth="1" outlineLevel="1"/>
    <col min="9" max="9" width="18.42578125" style="180" hidden="1" customWidth="1" outlineLevel="1"/>
    <col min="10" max="10" width="33.5703125" style="180" hidden="1" customWidth="1" outlineLevel="1"/>
    <col min="11" max="11" width="33.5703125" style="180" customWidth="1" outlineLevel="1"/>
    <col min="12" max="14" width="10.7109375" style="180" customWidth="1"/>
    <col min="15" max="21" width="15.42578125" style="180" customWidth="1"/>
    <col min="22" max="22" width="11.42578125" style="180"/>
    <col min="23" max="23" width="71.42578125" style="181" customWidth="1"/>
    <col min="24" max="16384" width="11.42578125" style="180"/>
  </cols>
  <sheetData>
    <row r="1" spans="1:23" ht="15.75" thickBot="1" x14ac:dyDescent="0.3"/>
    <row r="2" spans="1:23" ht="29.65" customHeight="1" thickBot="1" x14ac:dyDescent="0.3">
      <c r="B2" s="486" t="s">
        <v>268</v>
      </c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8"/>
      <c r="O2" s="489" t="s">
        <v>12</v>
      </c>
      <c r="P2" s="490"/>
      <c r="Q2" s="490"/>
      <c r="R2" s="490"/>
      <c r="S2" s="490"/>
      <c r="T2" s="490"/>
      <c r="U2" s="491"/>
    </row>
    <row r="3" spans="1:23" s="182" customFormat="1" ht="15.75" thickBot="1" x14ac:dyDescent="0.3">
      <c r="L3" s="183"/>
      <c r="M3" s="183"/>
      <c r="N3" s="183"/>
      <c r="O3" s="184" t="s">
        <v>32</v>
      </c>
      <c r="P3" s="184" t="s">
        <v>34</v>
      </c>
      <c r="Q3" s="184" t="s">
        <v>5</v>
      </c>
      <c r="R3" s="184" t="s">
        <v>35</v>
      </c>
      <c r="S3" s="184" t="s">
        <v>257</v>
      </c>
      <c r="T3" s="184" t="s">
        <v>36</v>
      </c>
      <c r="U3" s="184" t="s">
        <v>23</v>
      </c>
      <c r="W3" s="181"/>
    </row>
    <row r="4" spans="1:23" s="185" customFormat="1" ht="15.75" thickBot="1" x14ac:dyDescent="0.3">
      <c r="B4" s="186" t="s">
        <v>0</v>
      </c>
      <c r="C4" s="186" t="s">
        <v>1</v>
      </c>
      <c r="D4" s="186" t="s">
        <v>2</v>
      </c>
      <c r="E4" s="186" t="s">
        <v>3</v>
      </c>
      <c r="F4" s="186" t="s">
        <v>6</v>
      </c>
      <c r="G4" s="186" t="s">
        <v>24</v>
      </c>
      <c r="H4" s="186" t="s">
        <v>4</v>
      </c>
      <c r="I4" s="186" t="s">
        <v>25</v>
      </c>
      <c r="J4" s="186" t="s">
        <v>26</v>
      </c>
      <c r="K4" s="186" t="s">
        <v>41</v>
      </c>
      <c r="L4" s="186" t="s">
        <v>40</v>
      </c>
      <c r="M4" s="186" t="s">
        <v>43</v>
      </c>
      <c r="N4" s="186" t="s">
        <v>263</v>
      </c>
      <c r="O4" s="186" t="s">
        <v>32</v>
      </c>
      <c r="P4" s="186" t="s">
        <v>34</v>
      </c>
      <c r="Q4" s="186" t="s">
        <v>5</v>
      </c>
      <c r="R4" s="186" t="s">
        <v>35</v>
      </c>
      <c r="S4" s="187" t="s">
        <v>257</v>
      </c>
      <c r="T4" s="187" t="s">
        <v>36</v>
      </c>
      <c r="U4" s="187" t="s">
        <v>23</v>
      </c>
      <c r="V4" s="187" t="s">
        <v>17</v>
      </c>
      <c r="W4" s="188" t="s">
        <v>42</v>
      </c>
    </row>
    <row r="5" spans="1:23" ht="14.65" customHeight="1" outlineLevel="1" x14ac:dyDescent="0.25">
      <c r="A5" s="522" t="s">
        <v>45</v>
      </c>
      <c r="B5" s="189" t="s">
        <v>227</v>
      </c>
      <c r="C5" s="190" t="s">
        <v>228</v>
      </c>
      <c r="D5" s="190" t="s">
        <v>229</v>
      </c>
      <c r="E5" s="190" t="s">
        <v>80</v>
      </c>
      <c r="F5" s="190" t="s">
        <v>62</v>
      </c>
      <c r="G5" s="190" t="s">
        <v>113</v>
      </c>
      <c r="H5" s="190" t="s">
        <v>55</v>
      </c>
      <c r="I5" s="191">
        <v>56967289638</v>
      </c>
      <c r="J5" s="192" t="s">
        <v>230</v>
      </c>
      <c r="K5" s="192" t="s">
        <v>119</v>
      </c>
      <c r="L5" s="193" t="s">
        <v>190</v>
      </c>
      <c r="M5" s="193" t="s">
        <v>196</v>
      </c>
      <c r="N5" s="190">
        <f>SUMPRODUCT(Tabla5237[[#This Row],[Naranjas]:[Nueces]],O$38:U$38)</f>
        <v>195400</v>
      </c>
      <c r="O5" s="193">
        <v>11</v>
      </c>
      <c r="P5" s="193">
        <v>1</v>
      </c>
      <c r="Q5" s="193">
        <v>7</v>
      </c>
      <c r="R5" s="193">
        <v>6</v>
      </c>
      <c r="S5" s="193">
        <v>6</v>
      </c>
      <c r="T5" s="193">
        <v>6</v>
      </c>
      <c r="U5" s="193">
        <v>1</v>
      </c>
      <c r="V5" s="193">
        <f>SUM(Tabla5237[[#This Row],[Naranjas]:[Nueces]])</f>
        <v>38</v>
      </c>
      <c r="W5" s="194"/>
    </row>
    <row r="6" spans="1:23" outlineLevel="1" x14ac:dyDescent="0.25">
      <c r="A6" s="523"/>
      <c r="B6" s="195" t="s">
        <v>231</v>
      </c>
      <c r="C6" s="196" t="s">
        <v>232</v>
      </c>
      <c r="D6" s="196" t="s">
        <v>233</v>
      </c>
      <c r="E6" s="196" t="s">
        <v>61</v>
      </c>
      <c r="F6" s="196" t="s">
        <v>68</v>
      </c>
      <c r="G6" s="196" t="s">
        <v>113</v>
      </c>
      <c r="H6" s="196" t="s">
        <v>55</v>
      </c>
      <c r="I6" s="197">
        <v>56995483434</v>
      </c>
      <c r="J6" s="198" t="s">
        <v>234</v>
      </c>
      <c r="K6" s="198" t="s">
        <v>57</v>
      </c>
      <c r="L6" s="199" t="s">
        <v>190</v>
      </c>
      <c r="M6" s="199" t="s">
        <v>196</v>
      </c>
      <c r="N6" s="196">
        <f>SUMPRODUCT(Tabla5237[[#This Row],[Naranjas]:[Nueces]],O$38:U$38)</f>
        <v>88000</v>
      </c>
      <c r="O6" s="199">
        <v>2</v>
      </c>
      <c r="P6" s="199">
        <v>0</v>
      </c>
      <c r="Q6" s="199">
        <v>10</v>
      </c>
      <c r="R6" s="199">
        <v>4</v>
      </c>
      <c r="S6" s="199">
        <v>0</v>
      </c>
      <c r="T6" s="199">
        <v>0</v>
      </c>
      <c r="U6" s="199">
        <v>0</v>
      </c>
      <c r="V6" s="199">
        <f>SUM(Tabla5237[[#This Row],[Naranjas]:[Nueces]])</f>
        <v>16</v>
      </c>
      <c r="W6" s="200"/>
    </row>
    <row r="7" spans="1:23" outlineLevel="1" x14ac:dyDescent="0.25">
      <c r="A7" s="523"/>
      <c r="B7" s="201" t="s">
        <v>137</v>
      </c>
      <c r="C7" s="202" t="s">
        <v>101</v>
      </c>
      <c r="D7" s="203" t="s">
        <v>138</v>
      </c>
      <c r="E7" s="203" t="s">
        <v>80</v>
      </c>
      <c r="F7" s="203" t="s">
        <v>139</v>
      </c>
      <c r="G7" s="203" t="s">
        <v>113</v>
      </c>
      <c r="H7" s="203" t="s">
        <v>55</v>
      </c>
      <c r="I7" s="197">
        <v>56957230044</v>
      </c>
      <c r="J7" s="198" t="s">
        <v>140</v>
      </c>
      <c r="K7" s="198" t="s">
        <v>57</v>
      </c>
      <c r="L7" s="199" t="s">
        <v>190</v>
      </c>
      <c r="M7" s="199" t="s">
        <v>196</v>
      </c>
      <c r="N7" s="196">
        <f>SUMPRODUCT(Tabla5237[[#This Row],[Naranjas]:[Nueces]],O$38:U$38)</f>
        <v>63300</v>
      </c>
      <c r="O7" s="199">
        <v>5</v>
      </c>
      <c r="P7" s="199">
        <v>1</v>
      </c>
      <c r="Q7" s="199">
        <v>4</v>
      </c>
      <c r="R7" s="199">
        <v>0</v>
      </c>
      <c r="S7" s="199">
        <v>3</v>
      </c>
      <c r="T7" s="199">
        <v>1</v>
      </c>
      <c r="U7" s="199">
        <v>0</v>
      </c>
      <c r="V7" s="199">
        <f>SUM(Tabla5237[[#This Row],[Naranjas]:[Nueces]])</f>
        <v>14</v>
      </c>
      <c r="W7" s="200"/>
    </row>
    <row r="8" spans="1:23" outlineLevel="1" x14ac:dyDescent="0.25">
      <c r="A8" s="523"/>
      <c r="B8" s="195" t="s">
        <v>165</v>
      </c>
      <c r="C8" s="196" t="s">
        <v>106</v>
      </c>
      <c r="D8" s="196" t="s">
        <v>166</v>
      </c>
      <c r="E8" s="196" t="s">
        <v>52</v>
      </c>
      <c r="F8" s="196" t="s">
        <v>97</v>
      </c>
      <c r="G8" s="196" t="s">
        <v>63</v>
      </c>
      <c r="H8" s="196" t="s">
        <v>55</v>
      </c>
      <c r="I8" s="197">
        <v>56986194003</v>
      </c>
      <c r="J8" s="198" t="s">
        <v>167</v>
      </c>
      <c r="K8" s="198" t="s">
        <v>89</v>
      </c>
      <c r="L8" s="199" t="s">
        <v>190</v>
      </c>
      <c r="M8" s="199" t="s">
        <v>196</v>
      </c>
      <c r="N8" s="196">
        <f>SUMPRODUCT(Tabla5237[[#This Row],[Naranjas]:[Nueces]],O$38:U$38)</f>
        <v>128900</v>
      </c>
      <c r="O8" s="199">
        <v>0</v>
      </c>
      <c r="P8" s="199">
        <v>0</v>
      </c>
      <c r="Q8" s="199">
        <f>17+5</f>
        <v>22</v>
      </c>
      <c r="R8" s="199">
        <v>3</v>
      </c>
      <c r="S8" s="199">
        <v>0</v>
      </c>
      <c r="T8" s="199">
        <v>0</v>
      </c>
      <c r="U8" s="199">
        <v>0</v>
      </c>
      <c r="V8" s="199">
        <f>SUM(Tabla5237[[#This Row],[Naranjas]:[Nueces]])</f>
        <v>25</v>
      </c>
      <c r="W8" s="200"/>
    </row>
    <row r="9" spans="1:23" outlineLevel="1" x14ac:dyDescent="0.25">
      <c r="A9" s="523"/>
      <c r="B9" s="195" t="s">
        <v>275</v>
      </c>
      <c r="C9" s="196" t="s">
        <v>276</v>
      </c>
      <c r="D9" s="196" t="s">
        <v>277</v>
      </c>
      <c r="E9" s="196" t="s">
        <v>278</v>
      </c>
      <c r="F9" s="196" t="s">
        <v>278</v>
      </c>
      <c r="G9" s="196" t="s">
        <v>108</v>
      </c>
      <c r="H9" s="196" t="s">
        <v>55</v>
      </c>
      <c r="I9" s="197">
        <v>56965951459</v>
      </c>
      <c r="J9" s="198" t="s">
        <v>279</v>
      </c>
      <c r="K9" s="198" t="s">
        <v>89</v>
      </c>
      <c r="L9" s="199" t="s">
        <v>190</v>
      </c>
      <c r="M9" s="199" t="s">
        <v>196</v>
      </c>
      <c r="N9" s="196">
        <f>SUMPRODUCT(Tabla5237[[#This Row],[Naranjas]:[Nueces]],O$38:U$38)</f>
        <v>164200</v>
      </c>
      <c r="O9" s="199">
        <v>3</v>
      </c>
      <c r="P9" s="199">
        <v>2</v>
      </c>
      <c r="Q9" s="199">
        <v>11</v>
      </c>
      <c r="R9" s="199">
        <v>2</v>
      </c>
      <c r="S9" s="199">
        <v>8</v>
      </c>
      <c r="T9" s="199">
        <v>5</v>
      </c>
      <c r="U9" s="199">
        <v>1</v>
      </c>
      <c r="V9" s="199">
        <f>SUM(Tabla5237[[#This Row],[Naranjas]:[Nueces]])</f>
        <v>32</v>
      </c>
      <c r="W9" s="200"/>
    </row>
    <row r="10" spans="1:23" outlineLevel="1" x14ac:dyDescent="0.25">
      <c r="A10" s="523"/>
      <c r="B10" s="195" t="s">
        <v>161</v>
      </c>
      <c r="C10" s="196" t="s">
        <v>162</v>
      </c>
      <c r="D10" s="196" t="s">
        <v>163</v>
      </c>
      <c r="E10" s="196" t="s">
        <v>52</v>
      </c>
      <c r="F10" s="196" t="s">
        <v>53</v>
      </c>
      <c r="G10" s="196" t="s">
        <v>63</v>
      </c>
      <c r="H10" s="196" t="s">
        <v>55</v>
      </c>
      <c r="I10" s="197">
        <v>56991889995</v>
      </c>
      <c r="J10" s="198" t="s">
        <v>164</v>
      </c>
      <c r="K10" s="198" t="s">
        <v>119</v>
      </c>
      <c r="L10" s="199" t="s">
        <v>190</v>
      </c>
      <c r="M10" s="104" t="s">
        <v>190</v>
      </c>
      <c r="N10" s="196">
        <f>SUMPRODUCT(Tabla5237[[#This Row],[Naranjas]:[Nueces]],O$38:U$38)</f>
        <v>55800</v>
      </c>
      <c r="O10" s="199">
        <v>1</v>
      </c>
      <c r="P10" s="199">
        <v>0</v>
      </c>
      <c r="Q10" s="199">
        <v>4</v>
      </c>
      <c r="R10" s="199">
        <v>2</v>
      </c>
      <c r="S10" s="199">
        <v>2</v>
      </c>
      <c r="T10" s="199">
        <v>1</v>
      </c>
      <c r="U10" s="199">
        <v>0</v>
      </c>
      <c r="V10" s="199">
        <f>SUM(Tabla5237[[#This Row],[Naranjas]:[Nueces]])</f>
        <v>10</v>
      </c>
      <c r="W10" s="200"/>
    </row>
    <row r="11" spans="1:23" outlineLevel="1" x14ac:dyDescent="0.25">
      <c r="A11" s="523"/>
      <c r="B11" s="195" t="s">
        <v>282</v>
      </c>
      <c r="C11" s="196" t="s">
        <v>283</v>
      </c>
      <c r="D11" s="196" t="s">
        <v>284</v>
      </c>
      <c r="E11" s="196" t="s">
        <v>52</v>
      </c>
      <c r="F11" s="196" t="s">
        <v>97</v>
      </c>
      <c r="G11" s="196" t="s">
        <v>285</v>
      </c>
      <c r="H11" s="196" t="s">
        <v>55</v>
      </c>
      <c r="I11" s="197">
        <v>56968320616</v>
      </c>
      <c r="J11" s="198" t="s">
        <v>286</v>
      </c>
      <c r="K11" s="198" t="s">
        <v>119</v>
      </c>
      <c r="L11" s="199" t="s">
        <v>190</v>
      </c>
      <c r="M11" s="104" t="s">
        <v>190</v>
      </c>
      <c r="N11" s="196">
        <f>SUMPRODUCT(Tabla5237[[#This Row],[Naranjas]:[Nueces]],O$38:U$38)</f>
        <v>106400</v>
      </c>
      <c r="O11" s="199">
        <v>5</v>
      </c>
      <c r="P11" s="199">
        <v>0</v>
      </c>
      <c r="Q11" s="199">
        <v>7</v>
      </c>
      <c r="R11" s="199">
        <v>2</v>
      </c>
      <c r="S11" s="199">
        <v>5</v>
      </c>
      <c r="T11" s="199">
        <v>2</v>
      </c>
      <c r="U11" s="199">
        <v>0</v>
      </c>
      <c r="V11" s="199">
        <f>SUM(Tabla5237[[#This Row],[Naranjas]:[Nueces]])</f>
        <v>21</v>
      </c>
      <c r="W11" s="200"/>
    </row>
    <row r="12" spans="1:23" outlineLevel="1" x14ac:dyDescent="0.25">
      <c r="A12" s="523"/>
      <c r="B12" s="195" t="s">
        <v>133</v>
      </c>
      <c r="C12" s="196" t="s">
        <v>134</v>
      </c>
      <c r="D12" s="196" t="s">
        <v>135</v>
      </c>
      <c r="E12" s="196" t="s">
        <v>52</v>
      </c>
      <c r="F12" s="196" t="s">
        <v>97</v>
      </c>
      <c r="G12" s="196" t="s">
        <v>69</v>
      </c>
      <c r="H12" s="196" t="s">
        <v>55</v>
      </c>
      <c r="I12" s="197">
        <v>56982328251</v>
      </c>
      <c r="J12" s="198" t="s">
        <v>136</v>
      </c>
      <c r="K12" s="198" t="s">
        <v>119</v>
      </c>
      <c r="L12" s="199" t="s">
        <v>190</v>
      </c>
      <c r="M12" s="104" t="s">
        <v>190</v>
      </c>
      <c r="N12" s="196">
        <f>SUMPRODUCT(Tabla5237[[#This Row],[Naranjas]:[Nueces]],O$38:U$38)</f>
        <v>16400</v>
      </c>
      <c r="O12" s="199">
        <v>2</v>
      </c>
      <c r="P12" s="199">
        <v>0</v>
      </c>
      <c r="Q12" s="199">
        <v>2</v>
      </c>
      <c r="R12" s="199">
        <v>0</v>
      </c>
      <c r="S12" s="199">
        <v>0</v>
      </c>
      <c r="T12" s="199">
        <v>0</v>
      </c>
      <c r="U12" s="199">
        <v>0</v>
      </c>
      <c r="V12" s="199">
        <f>SUM(Tabla5237[[#This Row],[Naranjas]:[Nueces]])</f>
        <v>4</v>
      </c>
      <c r="W12" s="200"/>
    </row>
    <row r="13" spans="1:23" outlineLevel="1" x14ac:dyDescent="0.25">
      <c r="A13" s="523"/>
      <c r="B13" s="195" t="s">
        <v>128</v>
      </c>
      <c r="C13" s="196" t="s">
        <v>158</v>
      </c>
      <c r="D13" s="196" t="s">
        <v>159</v>
      </c>
      <c r="E13" s="196" t="s">
        <v>52</v>
      </c>
      <c r="F13" s="196" t="s">
        <v>97</v>
      </c>
      <c r="G13" s="196" t="s">
        <v>63</v>
      </c>
      <c r="H13" s="196" t="s">
        <v>55</v>
      </c>
      <c r="I13" s="197">
        <v>56967898535</v>
      </c>
      <c r="J13" s="198" t="s">
        <v>160</v>
      </c>
      <c r="K13" s="198" t="s">
        <v>119</v>
      </c>
      <c r="L13" s="199" t="s">
        <v>190</v>
      </c>
      <c r="M13" s="199" t="s">
        <v>190</v>
      </c>
      <c r="N13" s="196">
        <f>SUMPRODUCT(Tabla5237[[#This Row],[Naranjas]:[Nueces]],O$38:U$38)</f>
        <v>97900</v>
      </c>
      <c r="O13" s="199">
        <v>2</v>
      </c>
      <c r="P13" s="199">
        <v>2</v>
      </c>
      <c r="Q13" s="199">
        <v>12</v>
      </c>
      <c r="R13" s="199">
        <v>0</v>
      </c>
      <c r="S13" s="199">
        <v>2</v>
      </c>
      <c r="T13" s="199">
        <v>3</v>
      </c>
      <c r="U13" s="199">
        <v>0</v>
      </c>
      <c r="V13" s="199">
        <f>SUM(Tabla5237[[#This Row],[Naranjas]:[Nueces]])</f>
        <v>21</v>
      </c>
      <c r="W13" s="200"/>
    </row>
    <row r="14" spans="1:23" outlineLevel="1" x14ac:dyDescent="0.25">
      <c r="A14" s="523"/>
      <c r="B14" s="195" t="s">
        <v>115</v>
      </c>
      <c r="C14" s="196" t="s">
        <v>116</v>
      </c>
      <c r="D14" s="196" t="s">
        <v>117</v>
      </c>
      <c r="E14" s="196" t="s">
        <v>52</v>
      </c>
      <c r="F14" s="196" t="s">
        <v>53</v>
      </c>
      <c r="G14" s="196" t="s">
        <v>69</v>
      </c>
      <c r="H14" s="196" t="s">
        <v>55</v>
      </c>
      <c r="I14" s="197">
        <v>56966477967</v>
      </c>
      <c r="J14" s="198" t="s">
        <v>118</v>
      </c>
      <c r="K14" s="198" t="s">
        <v>119</v>
      </c>
      <c r="L14" s="199" t="s">
        <v>190</v>
      </c>
      <c r="M14" s="199" t="s">
        <v>190</v>
      </c>
      <c r="N14" s="196">
        <f>SUMPRODUCT(Tabla5237[[#This Row],[Naranjas]:[Nueces]],O$38:U$38)</f>
        <v>121600</v>
      </c>
      <c r="O14" s="199">
        <v>4</v>
      </c>
      <c r="P14" s="199">
        <v>2</v>
      </c>
      <c r="Q14" s="199">
        <v>8</v>
      </c>
      <c r="R14" s="199">
        <v>1</v>
      </c>
      <c r="S14" s="199">
        <v>3</v>
      </c>
      <c r="T14" s="199">
        <v>4</v>
      </c>
      <c r="U14" s="199">
        <v>3</v>
      </c>
      <c r="V14" s="199">
        <f>SUM(Tabla5237[[#This Row],[Naranjas]:[Nueces]])</f>
        <v>25</v>
      </c>
      <c r="W14" s="200"/>
    </row>
    <row r="15" spans="1:23" outlineLevel="1" x14ac:dyDescent="0.25">
      <c r="A15" s="523"/>
      <c r="B15" s="195" t="s">
        <v>165</v>
      </c>
      <c r="C15" s="196" t="s">
        <v>270</v>
      </c>
      <c r="D15" s="196" t="s">
        <v>280</v>
      </c>
      <c r="E15" s="196" t="s">
        <v>52</v>
      </c>
      <c r="F15" s="196" t="s">
        <v>97</v>
      </c>
      <c r="G15" s="196" t="s">
        <v>113</v>
      </c>
      <c r="H15" s="196" t="s">
        <v>55</v>
      </c>
      <c r="I15" s="197">
        <v>56975684552</v>
      </c>
      <c r="J15" s="198" t="s">
        <v>281</v>
      </c>
      <c r="K15" s="198" t="s">
        <v>119</v>
      </c>
      <c r="L15" s="199" t="s">
        <v>190</v>
      </c>
      <c r="M15" s="199" t="s">
        <v>190</v>
      </c>
      <c r="N15" s="196">
        <f>SUMPRODUCT(Tabla5237[[#This Row],[Naranjas]:[Nueces]],O$38:U$38)</f>
        <v>102400</v>
      </c>
      <c r="O15" s="199">
        <v>2</v>
      </c>
      <c r="P15" s="199">
        <v>0</v>
      </c>
      <c r="Q15" s="199">
        <v>7</v>
      </c>
      <c r="R15" s="199">
        <v>0</v>
      </c>
      <c r="S15" s="199">
        <v>8</v>
      </c>
      <c r="T15" s="199">
        <v>2</v>
      </c>
      <c r="U15" s="199">
        <v>1</v>
      </c>
      <c r="V15" s="199">
        <f>SUM(Tabla5237[[#This Row],[Naranjas]:[Nueces]])</f>
        <v>20</v>
      </c>
      <c r="W15" s="200"/>
    </row>
    <row r="16" spans="1:23" outlineLevel="1" x14ac:dyDescent="0.25">
      <c r="A16" s="523"/>
      <c r="B16" s="195" t="s">
        <v>65</v>
      </c>
      <c r="C16" s="196" t="s">
        <v>66</v>
      </c>
      <c r="D16" s="196" t="s">
        <v>67</v>
      </c>
      <c r="E16" s="196" t="s">
        <v>61</v>
      </c>
      <c r="F16" s="196" t="s">
        <v>68</v>
      </c>
      <c r="G16" s="196" t="s">
        <v>69</v>
      </c>
      <c r="H16" s="196" t="s">
        <v>55</v>
      </c>
      <c r="I16" s="197">
        <v>56977684576</v>
      </c>
      <c r="J16" s="198" t="s">
        <v>70</v>
      </c>
      <c r="K16" s="198" t="s">
        <v>57</v>
      </c>
      <c r="L16" s="199" t="s">
        <v>190</v>
      </c>
      <c r="M16" s="199" t="s">
        <v>190</v>
      </c>
      <c r="N16" s="196">
        <f>SUMPRODUCT(Tabla5237[[#This Row],[Naranjas]:[Nueces]],O$38:U$38)</f>
        <v>8200</v>
      </c>
      <c r="O16" s="199">
        <v>1</v>
      </c>
      <c r="P16" s="199">
        <v>0</v>
      </c>
      <c r="Q16" s="199">
        <v>1</v>
      </c>
      <c r="R16" s="199">
        <v>0</v>
      </c>
      <c r="S16" s="199">
        <v>0</v>
      </c>
      <c r="T16" s="199">
        <v>0</v>
      </c>
      <c r="U16" s="199">
        <v>0</v>
      </c>
      <c r="V16" s="199">
        <f>SUM(Tabla5237[[#This Row],[Naranjas]:[Nueces]])</f>
        <v>2</v>
      </c>
      <c r="W16" s="200"/>
    </row>
    <row r="17" spans="1:23" outlineLevel="1" x14ac:dyDescent="0.25">
      <c r="A17" s="523"/>
      <c r="B17" s="195" t="s">
        <v>168</v>
      </c>
      <c r="C17" s="196" t="s">
        <v>169</v>
      </c>
      <c r="D17" s="196" t="s">
        <v>259</v>
      </c>
      <c r="E17" s="196" t="s">
        <v>80</v>
      </c>
      <c r="F17" s="196" t="s">
        <v>171</v>
      </c>
      <c r="G17" s="196" t="s">
        <v>63</v>
      </c>
      <c r="H17" s="196" t="s">
        <v>55</v>
      </c>
      <c r="I17" s="197">
        <v>56979878976</v>
      </c>
      <c r="J17" s="198" t="s">
        <v>172</v>
      </c>
      <c r="K17" s="198" t="s">
        <v>57</v>
      </c>
      <c r="L17" s="199" t="s">
        <v>190</v>
      </c>
      <c r="M17" s="199" t="s">
        <v>190</v>
      </c>
      <c r="N17" s="196">
        <f>SUMPRODUCT(Tabla5237[[#This Row],[Naranjas]:[Nueces]],O$38:U$38)</f>
        <v>228100</v>
      </c>
      <c r="O17" s="199">
        <v>7</v>
      </c>
      <c r="P17" s="199">
        <v>7</v>
      </c>
      <c r="Q17" s="199">
        <v>13</v>
      </c>
      <c r="R17" s="199">
        <v>6</v>
      </c>
      <c r="S17" s="199">
        <v>7</v>
      </c>
      <c r="T17" s="199">
        <v>4</v>
      </c>
      <c r="U17" s="199">
        <v>0</v>
      </c>
      <c r="V17" s="199">
        <f>SUM(Tabla5237[[#This Row],[Naranjas]:[Nueces]])</f>
        <v>44</v>
      </c>
      <c r="W17" s="200"/>
    </row>
    <row r="18" spans="1:23" outlineLevel="1" x14ac:dyDescent="0.25">
      <c r="A18" s="523"/>
      <c r="B18" s="195" t="s">
        <v>173</v>
      </c>
      <c r="C18" s="196" t="s">
        <v>194</v>
      </c>
      <c r="D18" s="196" t="s">
        <v>273</v>
      </c>
      <c r="E18" s="196" t="s">
        <v>80</v>
      </c>
      <c r="F18" s="196" t="s">
        <v>93</v>
      </c>
      <c r="G18" s="196" t="s">
        <v>63</v>
      </c>
      <c r="H18" s="196" t="s">
        <v>269</v>
      </c>
      <c r="I18" s="197">
        <v>56996324787</v>
      </c>
      <c r="J18" s="198" t="s">
        <v>274</v>
      </c>
      <c r="K18" s="198" t="s">
        <v>57</v>
      </c>
      <c r="L18" s="199" t="s">
        <v>190</v>
      </c>
      <c r="M18" s="199" t="s">
        <v>190</v>
      </c>
      <c r="N18" s="196">
        <f>SUMPRODUCT(Tabla5237[[#This Row],[Naranjas]:[Nueces]],O$38:U$38)</f>
        <v>15200</v>
      </c>
      <c r="O18" s="199">
        <v>0</v>
      </c>
      <c r="P18" s="199">
        <v>1</v>
      </c>
      <c r="Q18" s="199">
        <v>1</v>
      </c>
      <c r="R18" s="199">
        <v>0</v>
      </c>
      <c r="S18" s="199">
        <v>1</v>
      </c>
      <c r="T18" s="199">
        <v>0</v>
      </c>
      <c r="U18" s="199">
        <v>0</v>
      </c>
      <c r="V18" s="199">
        <f>SUM(Tabla5237[[#This Row],[Naranjas]:[Nueces]])</f>
        <v>3</v>
      </c>
      <c r="W18" s="200"/>
    </row>
    <row r="19" spans="1:23" outlineLevel="1" x14ac:dyDescent="0.25">
      <c r="A19" s="523"/>
      <c r="B19" s="195" t="s">
        <v>120</v>
      </c>
      <c r="C19" s="196" t="s">
        <v>121</v>
      </c>
      <c r="D19" s="196" t="s">
        <v>122</v>
      </c>
      <c r="E19" s="196" t="s">
        <v>80</v>
      </c>
      <c r="F19" s="196" t="s">
        <v>81</v>
      </c>
      <c r="G19" s="196" t="s">
        <v>63</v>
      </c>
      <c r="H19" s="196" t="s">
        <v>55</v>
      </c>
      <c r="I19" s="197">
        <v>56978785698</v>
      </c>
      <c r="J19" s="198" t="s">
        <v>123</v>
      </c>
      <c r="K19" s="198" t="s">
        <v>57</v>
      </c>
      <c r="L19" s="199" t="s">
        <v>190</v>
      </c>
      <c r="M19" s="199" t="s">
        <v>190</v>
      </c>
      <c r="N19" s="196">
        <f>SUMPRODUCT(Tabla5237[[#This Row],[Naranjas]:[Nueces]],O$38:U$38)</f>
        <v>107400</v>
      </c>
      <c r="O19" s="199">
        <v>3</v>
      </c>
      <c r="P19" s="199">
        <v>0</v>
      </c>
      <c r="Q19" s="199">
        <v>17</v>
      </c>
      <c r="R19" s="199">
        <v>2</v>
      </c>
      <c r="S19" s="199">
        <v>0</v>
      </c>
      <c r="T19" s="199">
        <v>0</v>
      </c>
      <c r="U19" s="199">
        <v>0</v>
      </c>
      <c r="V19" s="199">
        <f>SUM(Tabla5237[[#This Row],[Naranjas]:[Nueces]])</f>
        <v>22</v>
      </c>
      <c r="W19" s="200"/>
    </row>
    <row r="20" spans="1:23" outlineLevel="1" x14ac:dyDescent="0.25">
      <c r="A20" s="523"/>
      <c r="B20" s="195" t="s">
        <v>58</v>
      </c>
      <c r="C20" s="196" t="s">
        <v>59</v>
      </c>
      <c r="D20" s="196" t="s">
        <v>60</v>
      </c>
      <c r="E20" s="196" t="s">
        <v>61</v>
      </c>
      <c r="F20" s="196" t="s">
        <v>62</v>
      </c>
      <c r="G20" s="196" t="s">
        <v>63</v>
      </c>
      <c r="H20" s="196" t="s">
        <v>55</v>
      </c>
      <c r="I20" s="197">
        <v>56942723186</v>
      </c>
      <c r="J20" s="198" t="s">
        <v>64</v>
      </c>
      <c r="K20" s="198" t="s">
        <v>57</v>
      </c>
      <c r="L20" s="199" t="s">
        <v>190</v>
      </c>
      <c r="M20" s="199" t="s">
        <v>190</v>
      </c>
      <c r="N20" s="196">
        <f>SUMPRODUCT(Tabla5237[[#This Row],[Naranjas]:[Nueces]],O$38:U$38)</f>
        <v>104000</v>
      </c>
      <c r="O20" s="199">
        <v>6</v>
      </c>
      <c r="P20" s="199">
        <v>3</v>
      </c>
      <c r="Q20" s="199">
        <v>10</v>
      </c>
      <c r="R20" s="199">
        <v>0</v>
      </c>
      <c r="S20" s="199">
        <v>3</v>
      </c>
      <c r="T20" s="199">
        <v>1</v>
      </c>
      <c r="U20" s="199">
        <v>0</v>
      </c>
      <c r="V20" s="199">
        <f>SUM(Tabla5237[[#This Row],[Naranjas]:[Nueces]])</f>
        <v>23</v>
      </c>
      <c r="W20" s="200"/>
    </row>
    <row r="21" spans="1:23" outlineLevel="1" x14ac:dyDescent="0.25">
      <c r="A21" s="523"/>
      <c r="B21" s="195" t="s">
        <v>212</v>
      </c>
      <c r="C21" s="196" t="s">
        <v>213</v>
      </c>
      <c r="D21" s="196" t="s">
        <v>214</v>
      </c>
      <c r="E21" s="196" t="s">
        <v>80</v>
      </c>
      <c r="F21" s="196" t="s">
        <v>171</v>
      </c>
      <c r="G21" s="196" t="s">
        <v>113</v>
      </c>
      <c r="H21" s="196" t="s">
        <v>55</v>
      </c>
      <c r="I21" s="197">
        <v>56955324629</v>
      </c>
      <c r="J21" s="198" t="s">
        <v>215</v>
      </c>
      <c r="K21" s="198" t="s">
        <v>89</v>
      </c>
      <c r="L21" s="199" t="s">
        <v>190</v>
      </c>
      <c r="M21" s="199" t="s">
        <v>190</v>
      </c>
      <c r="N21" s="196">
        <f>SUMPRODUCT(Tabla5237[[#This Row],[Naranjas]:[Nueces]],O$38:U$38)</f>
        <v>43200</v>
      </c>
      <c r="O21" s="199">
        <v>0</v>
      </c>
      <c r="P21" s="199">
        <v>0</v>
      </c>
      <c r="Q21" s="199">
        <v>6</v>
      </c>
      <c r="R21" s="199">
        <v>0</v>
      </c>
      <c r="S21" s="199">
        <v>1</v>
      </c>
      <c r="T21" s="199">
        <v>2</v>
      </c>
      <c r="U21" s="199">
        <v>0</v>
      </c>
      <c r="V21" s="199">
        <f>SUM(Tabla5237[[#This Row],[Naranjas]:[Nueces]])</f>
        <v>9</v>
      </c>
      <c r="W21" s="200"/>
    </row>
    <row r="22" spans="1:23" outlineLevel="1" x14ac:dyDescent="0.25">
      <c r="A22" s="523"/>
      <c r="B22" s="195" t="s">
        <v>141</v>
      </c>
      <c r="C22" s="196" t="s">
        <v>142</v>
      </c>
      <c r="D22" s="196" t="s">
        <v>143</v>
      </c>
      <c r="E22" s="196" t="s">
        <v>52</v>
      </c>
      <c r="F22" s="196" t="s">
        <v>53</v>
      </c>
      <c r="G22" s="196" t="s">
        <v>131</v>
      </c>
      <c r="H22" s="196" t="s">
        <v>55</v>
      </c>
      <c r="I22" s="197">
        <v>56988587944</v>
      </c>
      <c r="J22" s="198" t="s">
        <v>144</v>
      </c>
      <c r="K22" s="198" t="s">
        <v>89</v>
      </c>
      <c r="L22" s="199" t="s">
        <v>190</v>
      </c>
      <c r="M22" s="199" t="s">
        <v>190</v>
      </c>
      <c r="N22" s="196">
        <f>SUMPRODUCT(Tabla5237[[#This Row],[Naranjas]:[Nueces]],O$38:U$38)</f>
        <v>97300</v>
      </c>
      <c r="O22" s="199">
        <v>3</v>
      </c>
      <c r="P22" s="199">
        <v>1</v>
      </c>
      <c r="Q22" s="199">
        <v>9</v>
      </c>
      <c r="R22" s="199">
        <v>1</v>
      </c>
      <c r="S22" s="199">
        <v>3</v>
      </c>
      <c r="T22" s="199">
        <v>3</v>
      </c>
      <c r="U22" s="199">
        <v>0</v>
      </c>
      <c r="V22" s="199">
        <f>SUM(Tabla5237[[#This Row],[Naranjas]:[Nueces]])</f>
        <v>20</v>
      </c>
      <c r="W22" s="200"/>
    </row>
    <row r="23" spans="1:23" outlineLevel="1" x14ac:dyDescent="0.25">
      <c r="A23" s="523"/>
      <c r="B23" s="195" t="s">
        <v>83</v>
      </c>
      <c r="C23" s="196" t="s">
        <v>84</v>
      </c>
      <c r="D23" s="196" t="s">
        <v>85</v>
      </c>
      <c r="E23" s="196" t="s">
        <v>61</v>
      </c>
      <c r="F23" s="196" t="s">
        <v>86</v>
      </c>
      <c r="G23" s="196" t="s">
        <v>87</v>
      </c>
      <c r="H23" s="196" t="s">
        <v>55</v>
      </c>
      <c r="I23" s="197">
        <v>56956481962</v>
      </c>
      <c r="J23" s="198" t="s">
        <v>88</v>
      </c>
      <c r="K23" s="198" t="s">
        <v>89</v>
      </c>
      <c r="L23" s="199" t="s">
        <v>190</v>
      </c>
      <c r="M23" s="199" t="s">
        <v>190</v>
      </c>
      <c r="N23" s="196">
        <f>SUMPRODUCT(Tabla5237[[#This Row],[Naranjas]:[Nueces]],O$38:U$38)</f>
        <v>30900</v>
      </c>
      <c r="O23" s="199">
        <v>1</v>
      </c>
      <c r="P23" s="199">
        <v>0</v>
      </c>
      <c r="Q23" s="199">
        <v>2</v>
      </c>
      <c r="R23" s="199">
        <v>0</v>
      </c>
      <c r="S23" s="199">
        <v>3</v>
      </c>
      <c r="T23" s="199">
        <v>0</v>
      </c>
      <c r="U23" s="199">
        <v>0</v>
      </c>
      <c r="V23" s="199">
        <f>SUM(Tabla5237[[#This Row],[Naranjas]:[Nueces]])</f>
        <v>6</v>
      </c>
      <c r="W23" s="200"/>
    </row>
    <row r="24" spans="1:23" outlineLevel="1" x14ac:dyDescent="0.25">
      <c r="A24" s="523"/>
      <c r="B24" s="195" t="s">
        <v>105</v>
      </c>
      <c r="C24" s="196" t="s">
        <v>106</v>
      </c>
      <c r="D24" s="196" t="s">
        <v>107</v>
      </c>
      <c r="E24" s="196" t="s">
        <v>61</v>
      </c>
      <c r="F24" s="196" t="s">
        <v>86</v>
      </c>
      <c r="G24" s="196" t="s">
        <v>108</v>
      </c>
      <c r="H24" s="196" t="s">
        <v>55</v>
      </c>
      <c r="I24" s="197">
        <v>56982978895</v>
      </c>
      <c r="J24" s="198" t="s">
        <v>109</v>
      </c>
      <c r="K24" s="198" t="s">
        <v>89</v>
      </c>
      <c r="L24" s="199" t="s">
        <v>190</v>
      </c>
      <c r="M24" s="199" t="s">
        <v>190</v>
      </c>
      <c r="N24" s="196">
        <f>SUMPRODUCT(Tabla5237[[#This Row],[Naranjas]:[Nueces]],O$38:U$38)</f>
        <v>177800</v>
      </c>
      <c r="O24" s="199">
        <v>3</v>
      </c>
      <c r="P24" s="199">
        <v>7</v>
      </c>
      <c r="Q24" s="199">
        <v>9</v>
      </c>
      <c r="R24" s="199">
        <v>2</v>
      </c>
      <c r="S24" s="199">
        <v>9</v>
      </c>
      <c r="T24" s="199">
        <v>5</v>
      </c>
      <c r="U24" s="199">
        <v>0</v>
      </c>
      <c r="V24" s="199">
        <f>SUM(Tabla5237[[#This Row],[Naranjas]:[Nueces]])</f>
        <v>35</v>
      </c>
      <c r="W24" s="200"/>
    </row>
    <row r="25" spans="1:23" outlineLevel="1" x14ac:dyDescent="0.25">
      <c r="A25" s="523"/>
      <c r="B25" s="195" t="s">
        <v>178</v>
      </c>
      <c r="C25" s="196" t="s">
        <v>270</v>
      </c>
      <c r="D25" s="196" t="s">
        <v>271</v>
      </c>
      <c r="E25" s="196" t="s">
        <v>80</v>
      </c>
      <c r="F25" s="196" t="s">
        <v>139</v>
      </c>
      <c r="G25" s="196" t="s">
        <v>63</v>
      </c>
      <c r="H25" s="196" t="s">
        <v>55</v>
      </c>
      <c r="I25" s="197">
        <v>56993024442</v>
      </c>
      <c r="J25" s="198" t="s">
        <v>272</v>
      </c>
      <c r="K25" s="198" t="s">
        <v>89</v>
      </c>
      <c r="L25" s="199" t="s">
        <v>190</v>
      </c>
      <c r="M25" s="199" t="s">
        <v>190</v>
      </c>
      <c r="N25" s="196">
        <f>SUMPRODUCT(Tabla5237[[#This Row],[Naranjas]:[Nueces]],O$38:U$38)</f>
        <v>902100</v>
      </c>
      <c r="O25" s="199">
        <v>27</v>
      </c>
      <c r="P25" s="199">
        <v>31</v>
      </c>
      <c r="Q25" s="199">
        <v>63</v>
      </c>
      <c r="R25" s="199">
        <v>15</v>
      </c>
      <c r="S25" s="199">
        <v>25</v>
      </c>
      <c r="T25" s="199">
        <v>10</v>
      </c>
      <c r="U25" s="199">
        <v>9</v>
      </c>
      <c r="V25" s="199">
        <f>SUM(Tabla5237[[#This Row],[Naranjas]:[Nueces]])</f>
        <v>180</v>
      </c>
      <c r="W25" s="200"/>
    </row>
    <row r="26" spans="1:23" outlineLevel="1" x14ac:dyDescent="0.25">
      <c r="A26" s="523"/>
      <c r="B26" s="195" t="s">
        <v>182</v>
      </c>
      <c r="C26" s="196" t="s">
        <v>183</v>
      </c>
      <c r="D26" s="196" t="s">
        <v>184</v>
      </c>
      <c r="E26" s="196" t="s">
        <v>52</v>
      </c>
      <c r="F26" s="196" t="s">
        <v>97</v>
      </c>
      <c r="G26" s="196" t="s">
        <v>103</v>
      </c>
      <c r="H26" s="196" t="s">
        <v>55</v>
      </c>
      <c r="I26" s="197">
        <v>56952304675</v>
      </c>
      <c r="J26" s="198" t="s">
        <v>185</v>
      </c>
      <c r="K26" s="198" t="s">
        <v>89</v>
      </c>
      <c r="L26" s="199" t="s">
        <v>190</v>
      </c>
      <c r="M26" s="199" t="s">
        <v>190</v>
      </c>
      <c r="N26" s="196">
        <f>SUMPRODUCT(Tabla5237[[#This Row],[Naranjas]:[Nueces]],O$38:U$38)</f>
        <v>102600</v>
      </c>
      <c r="O26" s="199">
        <v>4</v>
      </c>
      <c r="P26" s="199">
        <v>2</v>
      </c>
      <c r="Q26" s="199">
        <v>3</v>
      </c>
      <c r="R26" s="199">
        <v>3</v>
      </c>
      <c r="S26" s="199">
        <v>5</v>
      </c>
      <c r="T26" s="199">
        <v>1</v>
      </c>
      <c r="U26" s="199">
        <v>1</v>
      </c>
      <c r="V26" s="199">
        <f>SUM(Tabla5237[[#This Row],[Naranjas]:[Nueces]])</f>
        <v>19</v>
      </c>
      <c r="W26" s="200"/>
    </row>
    <row r="27" spans="1:23" outlineLevel="1" x14ac:dyDescent="0.25">
      <c r="A27" s="523"/>
      <c r="B27" s="201" t="s">
        <v>287</v>
      </c>
      <c r="C27" s="202" t="s">
        <v>183</v>
      </c>
      <c r="D27" s="203" t="s">
        <v>184</v>
      </c>
      <c r="E27" s="203" t="s">
        <v>52</v>
      </c>
      <c r="F27" s="203" t="s">
        <v>97</v>
      </c>
      <c r="G27" s="203" t="s">
        <v>103</v>
      </c>
      <c r="H27" s="203" t="s">
        <v>55</v>
      </c>
      <c r="I27" s="197">
        <v>56994178481</v>
      </c>
      <c r="J27" s="198" t="s">
        <v>288</v>
      </c>
      <c r="K27" s="198" t="s">
        <v>89</v>
      </c>
      <c r="L27" s="199" t="s">
        <v>190</v>
      </c>
      <c r="M27" s="199" t="s">
        <v>190</v>
      </c>
      <c r="N27" s="204">
        <f>SUMPRODUCT(Tabla5237[[#This Row],[Naranjas]:[Nueces]],O$38:U$38)</f>
        <v>41400</v>
      </c>
      <c r="O27" s="199">
        <v>3</v>
      </c>
      <c r="P27" s="199">
        <v>0</v>
      </c>
      <c r="Q27" s="199">
        <v>2</v>
      </c>
      <c r="R27" s="199">
        <v>2</v>
      </c>
      <c r="S27" s="199">
        <v>0</v>
      </c>
      <c r="T27" s="199">
        <v>1</v>
      </c>
      <c r="U27" s="199">
        <v>0</v>
      </c>
      <c r="V27" s="199">
        <f>SUM(Tabla5237[[#This Row],[Naranjas]:[Nueces]])</f>
        <v>8</v>
      </c>
      <c r="W27" s="200"/>
    </row>
    <row r="28" spans="1:23" outlineLevel="1" x14ac:dyDescent="0.25">
      <c r="A28" s="523"/>
      <c r="B28" s="201" t="s">
        <v>100</v>
      </c>
      <c r="C28" s="202" t="s">
        <v>101</v>
      </c>
      <c r="D28" s="203" t="s">
        <v>102</v>
      </c>
      <c r="E28" s="203" t="s">
        <v>52</v>
      </c>
      <c r="F28" s="203" t="s">
        <v>97</v>
      </c>
      <c r="G28" s="203" t="s">
        <v>103</v>
      </c>
      <c r="H28" s="203" t="s">
        <v>55</v>
      </c>
      <c r="I28" s="197">
        <v>56966640363</v>
      </c>
      <c r="J28" s="198" t="s">
        <v>104</v>
      </c>
      <c r="K28" s="198" t="s">
        <v>89</v>
      </c>
      <c r="L28" s="199" t="s">
        <v>190</v>
      </c>
      <c r="M28" s="199" t="s">
        <v>190</v>
      </c>
      <c r="N28" s="196">
        <f>SUMPRODUCT(Tabla5237[[#This Row],[Naranjas]:[Nueces]],O$38:U$38)</f>
        <v>113600</v>
      </c>
      <c r="O28" s="199">
        <v>5</v>
      </c>
      <c r="P28" s="199">
        <v>3</v>
      </c>
      <c r="Q28" s="199">
        <v>8</v>
      </c>
      <c r="R28" s="199">
        <v>0</v>
      </c>
      <c r="S28" s="199">
        <v>6</v>
      </c>
      <c r="T28" s="199">
        <v>2</v>
      </c>
      <c r="U28" s="199">
        <v>0</v>
      </c>
      <c r="V28" s="199">
        <f>SUM(Tabla5237[[#This Row],[Naranjas]:[Nueces]])</f>
        <v>24</v>
      </c>
      <c r="W28" s="200"/>
    </row>
    <row r="29" spans="1:23" outlineLevel="1" x14ac:dyDescent="0.25">
      <c r="A29" s="205"/>
      <c r="B29" s="206"/>
      <c r="C29" s="206"/>
      <c r="D29" s="206"/>
      <c r="E29" s="206"/>
      <c r="F29" s="206"/>
      <c r="G29" s="206"/>
      <c r="H29" s="206"/>
      <c r="I29" s="207"/>
      <c r="J29" s="208"/>
      <c r="K29" s="208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</row>
    <row r="30" spans="1:23" ht="15.75" thickBot="1" x14ac:dyDescent="0.3"/>
    <row r="31" spans="1:23" ht="14.65" customHeight="1" thickBot="1" x14ac:dyDescent="0.3">
      <c r="A31" s="492" t="s">
        <v>21</v>
      </c>
      <c r="B31" s="495" t="s">
        <v>7</v>
      </c>
      <c r="C31" s="496"/>
      <c r="D31" s="496"/>
      <c r="E31" s="496"/>
      <c r="F31" s="496"/>
      <c r="G31" s="496"/>
      <c r="H31" s="496"/>
      <c r="I31" s="496"/>
      <c r="J31" s="496"/>
      <c r="K31" s="496"/>
      <c r="L31" s="496"/>
      <c r="M31" s="497"/>
      <c r="N31" s="210" t="s">
        <v>9</v>
      </c>
      <c r="O31" s="211">
        <f>SUM(Tabla5237[Naranjas])</f>
        <v>100</v>
      </c>
      <c r="P31" s="193">
        <f>SUM(Tabla5237[Mandarinas])</f>
        <v>63</v>
      </c>
      <c r="Q31" s="193">
        <f>SUM(Tabla5237[Paltas])</f>
        <v>238</v>
      </c>
      <c r="R31" s="193">
        <f>SUM(Tabla5237[Quesos])</f>
        <v>51</v>
      </c>
      <c r="S31" s="193">
        <f>SUM(Tabla5237[Frutillas])</f>
        <v>100</v>
      </c>
      <c r="T31" s="193">
        <f>SUM(Tabla5237[Tomate Cherry])</f>
        <v>53</v>
      </c>
      <c r="U31" s="212">
        <f>SUM(Tabla5237[Nueces])</f>
        <v>16</v>
      </c>
    </row>
    <row r="32" spans="1:23" ht="14.65" customHeight="1" thickBot="1" x14ac:dyDescent="0.3">
      <c r="A32" s="493"/>
      <c r="B32" s="498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500"/>
      <c r="N32" s="210" t="s">
        <v>30</v>
      </c>
      <c r="O32" s="213">
        <v>5</v>
      </c>
      <c r="P32" s="199">
        <v>4</v>
      </c>
      <c r="Q32" s="199">
        <v>2</v>
      </c>
      <c r="R32" s="199">
        <v>1</v>
      </c>
      <c r="S32" s="199">
        <v>2</v>
      </c>
      <c r="T32" s="199">
        <v>1</v>
      </c>
      <c r="U32" s="214">
        <v>0.25</v>
      </c>
    </row>
    <row r="33" spans="1:21" ht="14.65" customHeight="1" thickBot="1" x14ac:dyDescent="0.3">
      <c r="A33" s="493"/>
      <c r="B33" s="498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500"/>
      <c r="N33" s="210" t="s">
        <v>8</v>
      </c>
      <c r="O33" s="213">
        <f>O32*O31</f>
        <v>500</v>
      </c>
      <c r="P33" s="199">
        <f t="shared" ref="P33:U33" si="0">P32*P31</f>
        <v>252</v>
      </c>
      <c r="Q33" s="199">
        <f t="shared" si="0"/>
        <v>476</v>
      </c>
      <c r="R33" s="199">
        <f t="shared" si="0"/>
        <v>51</v>
      </c>
      <c r="S33" s="199">
        <f t="shared" si="0"/>
        <v>200</v>
      </c>
      <c r="T33" s="199">
        <f t="shared" si="0"/>
        <v>53</v>
      </c>
      <c r="U33" s="215">
        <f t="shared" si="0"/>
        <v>4</v>
      </c>
    </row>
    <row r="34" spans="1:21" ht="15.75" thickBot="1" x14ac:dyDescent="0.3">
      <c r="A34" s="493"/>
      <c r="B34" s="501"/>
      <c r="C34" s="502"/>
      <c r="D34" s="502"/>
      <c r="E34" s="502"/>
      <c r="F34" s="502"/>
      <c r="G34" s="502"/>
      <c r="H34" s="502"/>
      <c r="I34" s="502"/>
      <c r="J34" s="502"/>
      <c r="K34" s="502"/>
      <c r="L34" s="502"/>
      <c r="M34" s="503"/>
      <c r="N34" s="210" t="s">
        <v>10</v>
      </c>
      <c r="O34" s="216"/>
      <c r="P34" s="217"/>
      <c r="Q34" s="217"/>
      <c r="R34" s="217"/>
      <c r="S34" s="217"/>
      <c r="T34" s="217"/>
      <c r="U34" s="218"/>
    </row>
    <row r="35" spans="1:21" ht="15.75" thickBot="1" x14ac:dyDescent="0.3">
      <c r="A35" s="493"/>
      <c r="B35" s="219"/>
      <c r="C35" s="206"/>
      <c r="D35" s="220"/>
      <c r="E35" s="221"/>
      <c r="F35" s="221"/>
      <c r="G35" s="221"/>
      <c r="H35" s="221"/>
      <c r="I35" s="221"/>
      <c r="J35" s="221"/>
      <c r="K35" s="222"/>
      <c r="N35" s="223"/>
    </row>
    <row r="36" spans="1:21" ht="15.75" thickBot="1" x14ac:dyDescent="0.3">
      <c r="A36" s="493"/>
      <c r="B36" s="495" t="s">
        <v>13</v>
      </c>
      <c r="C36" s="496"/>
      <c r="D36" s="496"/>
      <c r="E36" s="496"/>
      <c r="F36" s="496"/>
      <c r="G36" s="496"/>
      <c r="H36" s="496"/>
      <c r="I36" s="496"/>
      <c r="J36" s="496"/>
      <c r="K36" s="496"/>
      <c r="L36" s="496"/>
      <c r="M36" s="497"/>
      <c r="N36" s="210" t="s">
        <v>14</v>
      </c>
      <c r="O36" s="189">
        <f>O37*O32</f>
        <v>525</v>
      </c>
      <c r="P36" s="190">
        <f t="shared" ref="P36:U36" si="1">P37*P32</f>
        <v>2200</v>
      </c>
      <c r="Q36" s="190">
        <f t="shared" si="1"/>
        <v>3100</v>
      </c>
      <c r="R36" s="190">
        <f t="shared" si="1"/>
        <v>6716</v>
      </c>
      <c r="S36" s="190">
        <f t="shared" si="1"/>
        <v>4000</v>
      </c>
      <c r="T36" s="190">
        <f t="shared" si="1"/>
        <v>2300</v>
      </c>
      <c r="U36" s="224">
        <f t="shared" si="1"/>
        <v>1875</v>
      </c>
    </row>
    <row r="37" spans="1:21" ht="15.75" thickBot="1" x14ac:dyDescent="0.3">
      <c r="A37" s="493"/>
      <c r="B37" s="498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500"/>
      <c r="N37" s="210" t="s">
        <v>8</v>
      </c>
      <c r="O37" s="195">
        <v>105</v>
      </c>
      <c r="P37" s="196">
        <v>550</v>
      </c>
      <c r="Q37" s="196">
        <v>1550</v>
      </c>
      <c r="R37" s="196">
        <v>6716</v>
      </c>
      <c r="S37" s="196">
        <f>12000/6</f>
        <v>2000</v>
      </c>
      <c r="T37" s="196">
        <v>2300</v>
      </c>
      <c r="U37" s="225">
        <v>7500</v>
      </c>
    </row>
    <row r="38" spans="1:21" ht="15.75" thickBot="1" x14ac:dyDescent="0.3">
      <c r="A38" s="493"/>
      <c r="B38" s="501"/>
      <c r="C38" s="502"/>
      <c r="D38" s="502"/>
      <c r="E38" s="502"/>
      <c r="F38" s="502"/>
      <c r="G38" s="502"/>
      <c r="H38" s="502"/>
      <c r="I38" s="502"/>
      <c r="J38" s="502"/>
      <c r="K38" s="502"/>
      <c r="L38" s="502"/>
      <c r="M38" s="503"/>
      <c r="N38" s="210" t="s">
        <v>15</v>
      </c>
      <c r="O38" s="226">
        <v>3500</v>
      </c>
      <c r="P38" s="227">
        <v>4500</v>
      </c>
      <c r="Q38" s="227">
        <v>4700</v>
      </c>
      <c r="R38" s="227">
        <v>8500</v>
      </c>
      <c r="S38" s="227">
        <v>6000</v>
      </c>
      <c r="T38" s="227">
        <v>4500</v>
      </c>
      <c r="U38" s="228">
        <v>5500</v>
      </c>
    </row>
    <row r="39" spans="1:21" ht="15.75" thickBot="1" x14ac:dyDescent="0.3">
      <c r="A39" s="493"/>
      <c r="B39" s="219"/>
      <c r="C39" s="206"/>
      <c r="D39" s="220"/>
      <c r="E39" s="221"/>
      <c r="F39" s="221"/>
      <c r="G39" s="221"/>
      <c r="H39" s="221"/>
      <c r="I39" s="221"/>
      <c r="J39" s="221"/>
      <c r="K39" s="222"/>
      <c r="N39" s="223"/>
    </row>
    <row r="40" spans="1:21" ht="14.65" customHeight="1" thickBot="1" x14ac:dyDescent="0.3">
      <c r="A40" s="493"/>
      <c r="B40" s="495" t="s">
        <v>16</v>
      </c>
      <c r="C40" s="496"/>
      <c r="D40" s="496"/>
      <c r="E40" s="496"/>
      <c r="F40" s="496"/>
      <c r="G40" s="496"/>
      <c r="H40" s="496"/>
      <c r="I40" s="496"/>
      <c r="J40" s="496"/>
      <c r="K40" s="496"/>
      <c r="L40" s="496"/>
      <c r="M40" s="497"/>
      <c r="N40" s="210" t="s">
        <v>20</v>
      </c>
      <c r="O40" s="229">
        <f>O31*O36</f>
        <v>52500</v>
      </c>
      <c r="P40" s="230">
        <f t="shared" ref="P40:U40" si="2">P31*P36</f>
        <v>138600</v>
      </c>
      <c r="Q40" s="230">
        <f t="shared" si="2"/>
        <v>737800</v>
      </c>
      <c r="R40" s="231">
        <f t="shared" si="2"/>
        <v>342516</v>
      </c>
      <c r="S40" s="231">
        <f t="shared" si="2"/>
        <v>400000</v>
      </c>
      <c r="T40" s="230">
        <f t="shared" si="2"/>
        <v>121900</v>
      </c>
      <c r="U40" s="232">
        <f t="shared" si="2"/>
        <v>30000</v>
      </c>
    </row>
    <row r="41" spans="1:21" ht="15.75" thickBot="1" x14ac:dyDescent="0.3">
      <c r="A41" s="493"/>
      <c r="B41" s="501"/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3"/>
      <c r="N41" s="210" t="s">
        <v>17</v>
      </c>
      <c r="O41" s="504">
        <f>SUM(O40:U40)</f>
        <v>1823316</v>
      </c>
      <c r="P41" s="505"/>
      <c r="Q41" s="505"/>
      <c r="R41" s="505"/>
      <c r="S41" s="505"/>
      <c r="T41" s="505"/>
      <c r="U41" s="506"/>
    </row>
    <row r="42" spans="1:21" ht="15.75" thickBot="1" x14ac:dyDescent="0.3">
      <c r="A42" s="493"/>
      <c r="B42" s="495" t="s">
        <v>18</v>
      </c>
      <c r="C42" s="496"/>
      <c r="D42" s="496"/>
      <c r="E42" s="496"/>
      <c r="F42" s="496"/>
      <c r="G42" s="496"/>
      <c r="H42" s="496"/>
      <c r="I42" s="496"/>
      <c r="J42" s="496"/>
      <c r="K42" s="496"/>
      <c r="L42" s="496"/>
      <c r="M42" s="497"/>
      <c r="N42" s="210" t="s">
        <v>20</v>
      </c>
      <c r="O42" s="201">
        <f t="shared" ref="O42:U42" si="3">O38*O31</f>
        <v>350000</v>
      </c>
      <c r="P42" s="202">
        <f t="shared" si="3"/>
        <v>283500</v>
      </c>
      <c r="Q42" s="202">
        <f t="shared" si="3"/>
        <v>1118600</v>
      </c>
      <c r="R42" s="202">
        <f t="shared" si="3"/>
        <v>433500</v>
      </c>
      <c r="S42" s="202">
        <f t="shared" si="3"/>
        <v>600000</v>
      </c>
      <c r="T42" s="202">
        <f t="shared" si="3"/>
        <v>238500</v>
      </c>
      <c r="U42" s="233">
        <f t="shared" si="3"/>
        <v>88000</v>
      </c>
    </row>
    <row r="43" spans="1:21" ht="15.75" thickBot="1" x14ac:dyDescent="0.3">
      <c r="A43" s="493"/>
      <c r="B43" s="501"/>
      <c r="C43" s="502"/>
      <c r="D43" s="502"/>
      <c r="E43" s="502"/>
      <c r="F43" s="502"/>
      <c r="G43" s="502"/>
      <c r="H43" s="502"/>
      <c r="I43" s="502"/>
      <c r="J43" s="502"/>
      <c r="K43" s="502"/>
      <c r="L43" s="502"/>
      <c r="M43" s="503"/>
      <c r="N43" s="210" t="s">
        <v>17</v>
      </c>
      <c r="O43" s="504">
        <f>SUM(O42:U42)</f>
        <v>3112100</v>
      </c>
      <c r="P43" s="505"/>
      <c r="Q43" s="505"/>
      <c r="R43" s="505"/>
      <c r="S43" s="505"/>
      <c r="T43" s="505"/>
      <c r="U43" s="506"/>
    </row>
    <row r="44" spans="1:21" ht="14.65" customHeight="1" thickBot="1" x14ac:dyDescent="0.3">
      <c r="A44" s="493"/>
      <c r="B44" s="495" t="s">
        <v>19</v>
      </c>
      <c r="C44" s="496"/>
      <c r="D44" s="496"/>
      <c r="E44" s="496"/>
      <c r="F44" s="496"/>
      <c r="G44" s="496"/>
      <c r="H44" s="496"/>
      <c r="I44" s="496"/>
      <c r="J44" s="496"/>
      <c r="K44" s="496"/>
      <c r="L44" s="496"/>
      <c r="M44" s="497"/>
      <c r="N44" s="210" t="s">
        <v>20</v>
      </c>
      <c r="O44" s="234">
        <f>O42-O40</f>
        <v>297500</v>
      </c>
      <c r="P44" s="235">
        <f t="shared" ref="P44:U44" si="4">P42-P40</f>
        <v>144900</v>
      </c>
      <c r="Q44" s="235">
        <f t="shared" si="4"/>
        <v>380800</v>
      </c>
      <c r="R44" s="235">
        <f t="shared" si="4"/>
        <v>90984</v>
      </c>
      <c r="S44" s="235">
        <f t="shared" si="4"/>
        <v>200000</v>
      </c>
      <c r="T44" s="235">
        <f t="shared" si="4"/>
        <v>116600</v>
      </c>
      <c r="U44" s="236">
        <f t="shared" si="4"/>
        <v>58000</v>
      </c>
    </row>
    <row r="45" spans="1:21" ht="29.65" customHeight="1" thickBot="1" x14ac:dyDescent="0.3">
      <c r="A45" s="493"/>
      <c r="B45" s="501"/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3"/>
      <c r="N45" s="210" t="s">
        <v>31</v>
      </c>
      <c r="O45" s="519">
        <f>SUM(O44:U44)</f>
        <v>1288784</v>
      </c>
      <c r="P45" s="520"/>
      <c r="Q45" s="520"/>
      <c r="R45" s="520"/>
      <c r="S45" s="520"/>
      <c r="T45" s="520"/>
      <c r="U45" s="521"/>
    </row>
    <row r="46" spans="1:21" ht="15.75" thickBot="1" x14ac:dyDescent="0.3">
      <c r="A46" s="493"/>
    </row>
    <row r="47" spans="1:21" ht="14.65" customHeight="1" thickBot="1" x14ac:dyDescent="0.3">
      <c r="A47" s="493"/>
      <c r="B47" s="524" t="s">
        <v>27</v>
      </c>
      <c r="C47" s="525"/>
      <c r="D47" s="525"/>
      <c r="E47" s="525"/>
      <c r="F47" s="525"/>
      <c r="G47" s="525"/>
      <c r="H47" s="525"/>
      <c r="I47" s="525"/>
      <c r="J47" s="525"/>
      <c r="K47" s="525"/>
      <c r="L47" s="525"/>
      <c r="M47" s="525"/>
      <c r="N47" s="526"/>
      <c r="O47" s="513" t="s">
        <v>28</v>
      </c>
      <c r="P47" s="514"/>
      <c r="Q47" s="515"/>
      <c r="R47" s="237" t="s">
        <v>29</v>
      </c>
      <c r="S47" s="238"/>
      <c r="T47" s="239"/>
      <c r="U47" s="239"/>
    </row>
    <row r="48" spans="1:21" ht="15" customHeight="1" x14ac:dyDescent="0.25">
      <c r="A48" s="493"/>
      <c r="B48" s="527"/>
      <c r="C48" s="528"/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29"/>
      <c r="O48" s="533" t="s">
        <v>193</v>
      </c>
      <c r="P48" s="534"/>
      <c r="Q48" s="535"/>
      <c r="R48" s="240">
        <v>50000</v>
      </c>
      <c r="S48" s="241"/>
      <c r="T48" s="242"/>
      <c r="U48" s="242"/>
    </row>
    <row r="49" spans="1:21" ht="15" customHeight="1" x14ac:dyDescent="0.25">
      <c r="A49" s="493"/>
      <c r="B49" s="527"/>
      <c r="C49" s="528"/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29"/>
      <c r="O49" s="536" t="s">
        <v>192</v>
      </c>
      <c r="P49" s="537"/>
      <c r="Q49" s="538"/>
      <c r="R49" s="243">
        <v>50000</v>
      </c>
      <c r="S49" s="241"/>
      <c r="T49" s="242"/>
      <c r="U49" s="242"/>
    </row>
    <row r="50" spans="1:21" ht="15" customHeight="1" x14ac:dyDescent="0.25">
      <c r="A50" s="493"/>
      <c r="B50" s="527"/>
      <c r="C50" s="528"/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29"/>
      <c r="O50" s="536" t="s">
        <v>115</v>
      </c>
      <c r="P50" s="537"/>
      <c r="Q50" s="538"/>
      <c r="R50" s="243">
        <v>65000</v>
      </c>
      <c r="S50" s="241"/>
      <c r="T50" s="242"/>
      <c r="U50" s="242"/>
    </row>
    <row r="51" spans="1:21" ht="15" customHeight="1" x14ac:dyDescent="0.25">
      <c r="A51" s="493"/>
      <c r="B51" s="527"/>
      <c r="C51" s="528"/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9"/>
      <c r="O51" s="536" t="s">
        <v>208</v>
      </c>
      <c r="P51" s="537"/>
      <c r="Q51" s="538"/>
      <c r="R51" s="243">
        <v>60000</v>
      </c>
      <c r="S51" s="241"/>
      <c r="T51" s="242"/>
      <c r="U51" s="242"/>
    </row>
    <row r="52" spans="1:21" ht="15" customHeight="1" x14ac:dyDescent="0.25">
      <c r="A52" s="493"/>
      <c r="B52" s="527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9"/>
      <c r="O52" s="536" t="s">
        <v>209</v>
      </c>
      <c r="P52" s="537"/>
      <c r="Q52" s="538"/>
      <c r="R52" s="243">
        <v>20000</v>
      </c>
      <c r="S52" s="241"/>
      <c r="T52" s="242"/>
      <c r="U52" s="242"/>
    </row>
    <row r="53" spans="1:21" ht="15" customHeight="1" x14ac:dyDescent="0.25">
      <c r="A53" s="493"/>
      <c r="B53" s="527"/>
      <c r="C53" s="528"/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9"/>
      <c r="O53" s="536" t="s">
        <v>141</v>
      </c>
      <c r="P53" s="537"/>
      <c r="Q53" s="538"/>
      <c r="R53" s="243">
        <v>20000</v>
      </c>
      <c r="S53" s="241"/>
      <c r="T53" s="242"/>
      <c r="U53" s="242"/>
    </row>
    <row r="54" spans="1:21" ht="15" customHeight="1" thickBot="1" x14ac:dyDescent="0.3">
      <c r="A54" s="493"/>
      <c r="B54" s="527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9"/>
      <c r="O54" s="507" t="s">
        <v>133</v>
      </c>
      <c r="P54" s="508"/>
      <c r="Q54" s="509"/>
      <c r="R54" s="243">
        <v>20000</v>
      </c>
      <c r="S54" s="241"/>
      <c r="T54" s="242"/>
      <c r="U54" s="242"/>
    </row>
    <row r="55" spans="1:21" ht="15.75" customHeight="1" thickBot="1" x14ac:dyDescent="0.3">
      <c r="A55" s="493"/>
      <c r="B55" s="530"/>
      <c r="C55" s="531"/>
      <c r="D55" s="531"/>
      <c r="E55" s="531"/>
      <c r="F55" s="531"/>
      <c r="G55" s="531"/>
      <c r="H55" s="531"/>
      <c r="I55" s="531"/>
      <c r="J55" s="531"/>
      <c r="K55" s="531"/>
      <c r="L55" s="531"/>
      <c r="M55" s="531"/>
      <c r="N55" s="532"/>
      <c r="O55" s="510" t="s">
        <v>17</v>
      </c>
      <c r="P55" s="511"/>
      <c r="Q55" s="512"/>
      <c r="R55" s="244">
        <f>SUM(R48:R54)</f>
        <v>285000</v>
      </c>
      <c r="S55" s="245"/>
      <c r="T55" s="242"/>
      <c r="U55" s="242"/>
    </row>
    <row r="56" spans="1:21" ht="15.75" thickBot="1" x14ac:dyDescent="0.3">
      <c r="A56" s="493"/>
    </row>
    <row r="57" spans="1:21" ht="51.75" customHeight="1" thickBot="1" x14ac:dyDescent="0.3">
      <c r="A57" s="494"/>
      <c r="B57" s="513" t="s">
        <v>19</v>
      </c>
      <c r="C57" s="514"/>
      <c r="D57" s="514"/>
      <c r="E57" s="514"/>
      <c r="F57" s="514"/>
      <c r="G57" s="514"/>
      <c r="H57" s="514"/>
      <c r="I57" s="514"/>
      <c r="J57" s="514"/>
      <c r="K57" s="514"/>
      <c r="L57" s="515"/>
      <c r="M57" s="210"/>
      <c r="N57" s="246" t="s">
        <v>17</v>
      </c>
      <c r="O57" s="516">
        <f>O45-SUM(R48:R54)</f>
        <v>1003784</v>
      </c>
      <c r="P57" s="517"/>
      <c r="Q57" s="517"/>
      <c r="R57" s="517"/>
      <c r="S57" s="517"/>
      <c r="T57" s="517"/>
      <c r="U57" s="518"/>
    </row>
    <row r="58" spans="1:21" ht="15.75" customHeight="1" x14ac:dyDescent="0.25">
      <c r="A58" s="247"/>
      <c r="P58" s="248"/>
      <c r="Q58" s="248"/>
      <c r="R58" s="248"/>
      <c r="S58" s="248"/>
      <c r="U58" s="249"/>
    </row>
    <row r="59" spans="1:21" ht="15" customHeight="1" x14ac:dyDescent="0.25">
      <c r="A59" s="247"/>
      <c r="P59" s="248"/>
      <c r="Q59" s="248"/>
      <c r="R59" s="248"/>
      <c r="S59" s="248"/>
      <c r="U59" s="250"/>
    </row>
    <row r="60" spans="1:21" ht="15" customHeight="1" x14ac:dyDescent="0.25">
      <c r="P60" s="248"/>
      <c r="Q60" s="248"/>
      <c r="R60" s="248"/>
      <c r="S60" s="248"/>
      <c r="U60" s="250"/>
    </row>
    <row r="61" spans="1:21" ht="15" customHeight="1" x14ac:dyDescent="0.25">
      <c r="P61" s="248"/>
      <c r="Q61" s="248"/>
      <c r="R61" s="248"/>
      <c r="S61" s="248"/>
      <c r="U61" s="250"/>
    </row>
    <row r="62" spans="1:21" ht="15" customHeight="1" x14ac:dyDescent="0.25">
      <c r="P62" s="248"/>
      <c r="Q62" s="248"/>
      <c r="R62" s="248"/>
      <c r="S62" s="248"/>
      <c r="U62" s="250"/>
    </row>
    <row r="63" spans="1:21" ht="15" customHeight="1" x14ac:dyDescent="0.25">
      <c r="P63" s="248"/>
      <c r="Q63" s="248"/>
      <c r="R63" s="248"/>
      <c r="S63" s="248"/>
      <c r="U63" s="250"/>
    </row>
    <row r="64" spans="1:21" ht="15" customHeight="1" x14ac:dyDescent="0.25">
      <c r="P64" s="248"/>
      <c r="Q64" s="248"/>
      <c r="R64" s="248"/>
      <c r="S64" s="248"/>
      <c r="U64" s="250"/>
    </row>
    <row r="65" spans="16:21" ht="15" customHeight="1" x14ac:dyDescent="0.25">
      <c r="P65" s="248"/>
      <c r="Q65" s="248"/>
      <c r="R65" s="248"/>
      <c r="S65" s="248"/>
      <c r="U65" s="250"/>
    </row>
    <row r="66" spans="16:21" ht="15.75" customHeight="1" x14ac:dyDescent="0.25">
      <c r="P66" s="248"/>
      <c r="Q66" s="248"/>
      <c r="R66" s="248"/>
      <c r="S66" s="248"/>
      <c r="U66" s="250"/>
    </row>
  </sheetData>
  <mergeCells count="24">
    <mergeCell ref="B47:N55"/>
    <mergeCell ref="O47:Q47"/>
    <mergeCell ref="O48:Q48"/>
    <mergeCell ref="O49:Q49"/>
    <mergeCell ref="O50:Q50"/>
    <mergeCell ref="O51:Q51"/>
    <mergeCell ref="O52:Q52"/>
    <mergeCell ref="O53:Q53"/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2017-10-16T17:46:50Z</dcterms:modified>
</cp:coreProperties>
</file>