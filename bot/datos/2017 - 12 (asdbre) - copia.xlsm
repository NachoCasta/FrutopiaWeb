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535" activeTab="5" xr2:uid="{00000000-000D-0000-FFFF-FFFF00000000}"/>
  </bookViews>
  <sheets>
    <sheet name="Pedido base (copiar esta hoja)" sheetId="3" r:id="rId1"/>
    <sheet name="Sabado 2" sheetId="19" r:id="rId2"/>
    <sheet name="Miercoles 6" sheetId="20" r:id="rId3"/>
    <sheet name="Sabado 9" sheetId="21" r:id="rId4"/>
    <sheet name="Miercoles 13" sheetId="22" r:id="rId5"/>
    <sheet name="Sabado 16" sheetId="23" r:id="rId6"/>
  </sheets>
  <externalReferences>
    <externalReference r:id="rId7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22" l="1"/>
  <c r="Z5" i="21"/>
  <c r="X5" i="21"/>
  <c r="R119" i="23"/>
  <c r="O104" i="23"/>
  <c r="Y101" i="23"/>
  <c r="Y100" i="23" s="1"/>
  <c r="X101" i="23"/>
  <c r="X100" i="23" s="1"/>
  <c r="Z100" i="23"/>
  <c r="W100" i="23"/>
  <c r="V100" i="23"/>
  <c r="U100" i="23"/>
  <c r="T100" i="23"/>
  <c r="S100" i="23"/>
  <c r="T97" i="23"/>
  <c r="Z95" i="23"/>
  <c r="Z97" i="23" s="1"/>
  <c r="Y95" i="23"/>
  <c r="Y106" i="23" s="1"/>
  <c r="X95" i="23"/>
  <c r="X106" i="23" s="1"/>
  <c r="W95" i="23"/>
  <c r="W106" i="23" s="1"/>
  <c r="V95" i="23"/>
  <c r="V106" i="23" s="1"/>
  <c r="U95" i="23"/>
  <c r="U104" i="23" s="1"/>
  <c r="T95" i="23"/>
  <c r="T104" i="23" s="1"/>
  <c r="S95" i="23"/>
  <c r="S97" i="23" s="1"/>
  <c r="R95" i="23"/>
  <c r="R97" i="23" s="1"/>
  <c r="Q95" i="23"/>
  <c r="Q106" i="23" s="1"/>
  <c r="P95" i="23"/>
  <c r="P106" i="23" s="1"/>
  <c r="O95" i="23"/>
  <c r="O106" i="23" s="1"/>
  <c r="AA92" i="23"/>
  <c r="N92" i="23"/>
  <c r="AA91" i="23"/>
  <c r="N91" i="23"/>
  <c r="AA90" i="23"/>
  <c r="N90" i="23"/>
  <c r="AA89" i="23"/>
  <c r="N89" i="23"/>
  <c r="AA88" i="23"/>
  <c r="N88" i="23"/>
  <c r="AA87" i="23"/>
  <c r="N87" i="23"/>
  <c r="AA86" i="23"/>
  <c r="N86" i="23"/>
  <c r="AA85" i="23"/>
  <c r="N85" i="23"/>
  <c r="AA84" i="23"/>
  <c r="N84" i="23"/>
  <c r="AA83" i="23"/>
  <c r="N83" i="23"/>
  <c r="AA82" i="23"/>
  <c r="N82" i="23"/>
  <c r="AA81" i="23"/>
  <c r="N81" i="23"/>
  <c r="AA80" i="23"/>
  <c r="N80" i="23"/>
  <c r="AA79" i="23"/>
  <c r="N79" i="23"/>
  <c r="AA78" i="23"/>
  <c r="N78" i="23"/>
  <c r="AA77" i="23"/>
  <c r="N77" i="23"/>
  <c r="AA76" i="23"/>
  <c r="N76" i="23"/>
  <c r="AA75" i="23"/>
  <c r="N75" i="23"/>
  <c r="AA74" i="23"/>
  <c r="N74" i="23"/>
  <c r="AA73" i="23"/>
  <c r="N73" i="23"/>
  <c r="AA72" i="23"/>
  <c r="N72" i="23"/>
  <c r="AA71" i="23"/>
  <c r="N71" i="23"/>
  <c r="AA70" i="23"/>
  <c r="N70" i="23"/>
  <c r="AA69" i="23"/>
  <c r="N69" i="23"/>
  <c r="AA68" i="23"/>
  <c r="N68" i="23"/>
  <c r="AA67" i="23"/>
  <c r="N67" i="23"/>
  <c r="AA66" i="23"/>
  <c r="N66" i="23"/>
  <c r="AA65" i="23"/>
  <c r="N65" i="23"/>
  <c r="AA64" i="23"/>
  <c r="N64" i="23"/>
  <c r="AA63" i="23"/>
  <c r="N63" i="23"/>
  <c r="AA62" i="23"/>
  <c r="N62" i="23"/>
  <c r="AA61" i="23"/>
  <c r="N61" i="23"/>
  <c r="AA60" i="23"/>
  <c r="N60" i="23"/>
  <c r="AA59" i="23"/>
  <c r="N59" i="23"/>
  <c r="AA58" i="23"/>
  <c r="N58" i="23"/>
  <c r="AA57" i="23"/>
  <c r="N57" i="23"/>
  <c r="AA56" i="23"/>
  <c r="N56" i="23"/>
  <c r="AA55" i="23"/>
  <c r="N55" i="23"/>
  <c r="AA54" i="23"/>
  <c r="N54" i="23"/>
  <c r="AA53" i="23"/>
  <c r="N53" i="23"/>
  <c r="AA52" i="23"/>
  <c r="N52" i="23"/>
  <c r="AA51" i="23"/>
  <c r="N51" i="23"/>
  <c r="AA50" i="23"/>
  <c r="N50" i="23"/>
  <c r="AA49" i="23"/>
  <c r="N49" i="23"/>
  <c r="AA48" i="23"/>
  <c r="N48" i="23"/>
  <c r="AA47" i="23"/>
  <c r="N47" i="23"/>
  <c r="AA46" i="23"/>
  <c r="N46" i="23"/>
  <c r="AA45" i="23"/>
  <c r="N45" i="23"/>
  <c r="AA44" i="23"/>
  <c r="N44" i="23"/>
  <c r="AA43" i="23"/>
  <c r="N43" i="23"/>
  <c r="AA42" i="23"/>
  <c r="N42" i="23"/>
  <c r="AA41" i="23"/>
  <c r="N41" i="23"/>
  <c r="AA40" i="23"/>
  <c r="N40" i="23"/>
  <c r="AA39" i="23"/>
  <c r="N39" i="23"/>
  <c r="AA38" i="23"/>
  <c r="N38" i="23"/>
  <c r="AA37" i="23"/>
  <c r="N37" i="23"/>
  <c r="AA36" i="23"/>
  <c r="N36" i="23"/>
  <c r="AA35" i="23"/>
  <c r="N35" i="23"/>
  <c r="AA34" i="23"/>
  <c r="N34" i="23"/>
  <c r="AA33" i="23"/>
  <c r="N33" i="23"/>
  <c r="AA32" i="23"/>
  <c r="N32" i="23"/>
  <c r="AA31" i="23"/>
  <c r="N31" i="23"/>
  <c r="AA30" i="23"/>
  <c r="N30" i="23"/>
  <c r="AA29" i="23"/>
  <c r="N29" i="23"/>
  <c r="AA28" i="23"/>
  <c r="N28" i="23"/>
  <c r="AA27" i="23"/>
  <c r="N27" i="23"/>
  <c r="AA26" i="23"/>
  <c r="N26" i="23"/>
  <c r="AA25" i="23"/>
  <c r="N25" i="23"/>
  <c r="AA24" i="23"/>
  <c r="N24" i="23"/>
  <c r="AA23" i="23"/>
  <c r="N23" i="23"/>
  <c r="AA22" i="23"/>
  <c r="N22" i="23"/>
  <c r="AA21" i="23"/>
  <c r="N21" i="23"/>
  <c r="AA20" i="23"/>
  <c r="N20" i="23"/>
  <c r="AA19" i="23"/>
  <c r="N19" i="23"/>
  <c r="AA18" i="23"/>
  <c r="N18" i="23"/>
  <c r="AA17" i="23"/>
  <c r="N17" i="23"/>
  <c r="AA16" i="23"/>
  <c r="N16" i="23"/>
  <c r="AA15" i="23"/>
  <c r="N15" i="23"/>
  <c r="AA14" i="23"/>
  <c r="N14" i="23"/>
  <c r="AA13" i="23"/>
  <c r="N13" i="23"/>
  <c r="AA12" i="23"/>
  <c r="N12" i="23"/>
  <c r="AA11" i="23"/>
  <c r="N11" i="23"/>
  <c r="AA10" i="23"/>
  <c r="N10" i="23"/>
  <c r="AA9" i="23"/>
  <c r="N9" i="23"/>
  <c r="AA8" i="23"/>
  <c r="N8" i="23"/>
  <c r="AA7" i="23"/>
  <c r="N7" i="23"/>
  <c r="AA6" i="23"/>
  <c r="N6" i="23"/>
  <c r="AA5" i="23"/>
  <c r="N5" i="23"/>
  <c r="O95" i="3"/>
  <c r="O97" i="3" s="1"/>
  <c r="P95" i="3"/>
  <c r="P97" i="3" s="1"/>
  <c r="N18" i="22"/>
  <c r="AA18" i="22"/>
  <c r="N6" i="22"/>
  <c r="AA6" i="22"/>
  <c r="V108" i="23" l="1"/>
  <c r="V104" i="23"/>
  <c r="W104" i="23"/>
  <c r="W108" i="23" s="1"/>
  <c r="R106" i="23"/>
  <c r="Z106" i="23"/>
  <c r="Z108" i="23" s="1"/>
  <c r="U97" i="23"/>
  <c r="O108" i="23"/>
  <c r="V97" i="23"/>
  <c r="P104" i="23"/>
  <c r="P108" i="23" s="1"/>
  <c r="X104" i="23"/>
  <c r="X108" i="23" s="1"/>
  <c r="S106" i="23"/>
  <c r="S108" i="23" s="1"/>
  <c r="O97" i="23"/>
  <c r="W97" i="23"/>
  <c r="Q104" i="23"/>
  <c r="Q108" i="23" s="1"/>
  <c r="Y104" i="23"/>
  <c r="T106" i="23"/>
  <c r="T108" i="23" s="1"/>
  <c r="P97" i="23"/>
  <c r="X97" i="23"/>
  <c r="R104" i="23"/>
  <c r="R108" i="23" s="1"/>
  <c r="Z104" i="23"/>
  <c r="U106" i="23"/>
  <c r="U108" i="23" s="1"/>
  <c r="Q97" i="23"/>
  <c r="Y97" i="23"/>
  <c r="S104" i="23"/>
  <c r="Z27" i="22"/>
  <c r="Z26" i="22" s="1"/>
  <c r="N16" i="22"/>
  <c r="N17" i="22"/>
  <c r="N13" i="22"/>
  <c r="AA13" i="22"/>
  <c r="AA15" i="22"/>
  <c r="AA11" i="22"/>
  <c r="AA8" i="22"/>
  <c r="AA16" i="22"/>
  <c r="AA10" i="22"/>
  <c r="AA7" i="22"/>
  <c r="AA14" i="22"/>
  <c r="AA17" i="22"/>
  <c r="AA5" i="22"/>
  <c r="AA12" i="22"/>
  <c r="AA9" i="22"/>
  <c r="N15" i="22"/>
  <c r="N11" i="22"/>
  <c r="N8" i="22"/>
  <c r="N10" i="22"/>
  <c r="N7" i="22"/>
  <c r="N14" i="22"/>
  <c r="N5" i="22"/>
  <c r="N12" i="22"/>
  <c r="N9" i="22"/>
  <c r="P45" i="22"/>
  <c r="Y27" i="22"/>
  <c r="Y26" i="22" s="1"/>
  <c r="X27" i="22"/>
  <c r="X26" i="22" s="1"/>
  <c r="W26" i="22"/>
  <c r="V26" i="22"/>
  <c r="U26" i="22"/>
  <c r="T26" i="22"/>
  <c r="S26" i="22"/>
  <c r="R26" i="22"/>
  <c r="Q26" i="22"/>
  <c r="P26" i="22"/>
  <c r="O26" i="22"/>
  <c r="Z21" i="22"/>
  <c r="Y21" i="22"/>
  <c r="Y23" i="22" s="1"/>
  <c r="X21" i="22"/>
  <c r="X23" i="22" s="1"/>
  <c r="W21" i="22"/>
  <c r="W23" i="22" s="1"/>
  <c r="V21" i="22"/>
  <c r="V23" i="22" s="1"/>
  <c r="U21" i="22"/>
  <c r="U23" i="22" s="1"/>
  <c r="T21" i="22"/>
  <c r="T32" i="22" s="1"/>
  <c r="S21" i="22"/>
  <c r="R21" i="22"/>
  <c r="R30" i="22" s="1"/>
  <c r="Q21" i="22"/>
  <c r="Q23" i="22" s="1"/>
  <c r="P21" i="22"/>
  <c r="P23" i="22" s="1"/>
  <c r="O21" i="22"/>
  <c r="O23" i="22" s="1"/>
  <c r="B92" i="3"/>
  <c r="C92" i="3"/>
  <c r="D92" i="3"/>
  <c r="E92" i="3"/>
  <c r="F92" i="3"/>
  <c r="G92" i="3"/>
  <c r="H92" i="3"/>
  <c r="I92" i="3"/>
  <c r="J92" i="3"/>
  <c r="K92" i="3"/>
  <c r="N92" i="3"/>
  <c r="AA92" i="3"/>
  <c r="O105" i="23" l="1"/>
  <c r="Y108" i="23"/>
  <c r="O107" i="23"/>
  <c r="O109" i="23" s="1"/>
  <c r="O121" i="23" s="1"/>
  <c r="Z30" i="22"/>
  <c r="S30" i="22"/>
  <c r="Z23" i="22"/>
  <c r="R23" i="22"/>
  <c r="T30" i="22"/>
  <c r="T34" i="22" s="1"/>
  <c r="U32" i="22"/>
  <c r="S23" i="22"/>
  <c r="U30" i="22"/>
  <c r="V32" i="22"/>
  <c r="T23" i="22"/>
  <c r="V30" i="22"/>
  <c r="O32" i="22"/>
  <c r="W32" i="22"/>
  <c r="O30" i="22"/>
  <c r="W30" i="22"/>
  <c r="P32" i="22"/>
  <c r="X32" i="22"/>
  <c r="P30" i="22"/>
  <c r="X30" i="22"/>
  <c r="Q32" i="22"/>
  <c r="Y32" i="22"/>
  <c r="Q30" i="22"/>
  <c r="Y30" i="22"/>
  <c r="R32" i="22"/>
  <c r="R34" i="22" s="1"/>
  <c r="Z32" i="22"/>
  <c r="Z34" i="22" s="1"/>
  <c r="S32" i="22"/>
  <c r="S34" i="22" s="1"/>
  <c r="O33" i="22" l="1"/>
  <c r="O31" i="22"/>
  <c r="U34" i="22"/>
  <c r="Y34" i="22"/>
  <c r="W34" i="22"/>
  <c r="X34" i="22"/>
  <c r="P34" i="22"/>
  <c r="V34" i="22"/>
  <c r="Q34" i="22"/>
  <c r="O34" i="22"/>
  <c r="O35" i="22" l="1"/>
  <c r="X15" i="20"/>
  <c r="X24" i="20"/>
  <c r="N20" i="20"/>
  <c r="AA20" i="20"/>
  <c r="AA5" i="21"/>
  <c r="N5" i="21"/>
  <c r="AA6" i="21"/>
  <c r="AA13" i="21"/>
  <c r="AA10" i="21"/>
  <c r="AA7" i="21"/>
  <c r="AA14" i="21"/>
  <c r="AA12" i="21"/>
  <c r="AA15" i="21"/>
  <c r="AA11" i="21"/>
  <c r="AA16" i="21"/>
  <c r="AA8" i="21"/>
  <c r="AA9" i="21"/>
  <c r="N6" i="21"/>
  <c r="N13" i="21"/>
  <c r="N10" i="21"/>
  <c r="N7" i="21"/>
  <c r="N14" i="21"/>
  <c r="N12" i="21"/>
  <c r="N15" i="21"/>
  <c r="N11" i="21"/>
  <c r="N16" i="21"/>
  <c r="N8" i="21"/>
  <c r="N9" i="21"/>
  <c r="P43" i="21"/>
  <c r="Y25" i="21"/>
  <c r="Y24" i="21" s="1"/>
  <c r="X25" i="21"/>
  <c r="X24" i="21" s="1"/>
  <c r="Z24" i="21"/>
  <c r="W24" i="21"/>
  <c r="V24" i="21"/>
  <c r="U24" i="21"/>
  <c r="T24" i="21"/>
  <c r="S24" i="21"/>
  <c r="R24" i="21"/>
  <c r="Q24" i="21"/>
  <c r="P24" i="21"/>
  <c r="O24" i="21"/>
  <c r="Z19" i="21"/>
  <c r="Y19" i="21"/>
  <c r="Y21" i="21" s="1"/>
  <c r="X19" i="21"/>
  <c r="X21" i="21" s="1"/>
  <c r="W19" i="21"/>
  <c r="W21" i="21" s="1"/>
  <c r="V19" i="21"/>
  <c r="V21" i="21" s="1"/>
  <c r="U19" i="21"/>
  <c r="U30" i="21" s="1"/>
  <c r="T19" i="21"/>
  <c r="T30" i="21" s="1"/>
  <c r="S19" i="21"/>
  <c r="S28" i="21" s="1"/>
  <c r="R19" i="21"/>
  <c r="Q19" i="21"/>
  <c r="Q21" i="21" s="1"/>
  <c r="P19" i="21"/>
  <c r="P21" i="21" s="1"/>
  <c r="O19" i="21"/>
  <c r="O21" i="21" s="1"/>
  <c r="T28" i="21" l="1"/>
  <c r="T32" i="21" s="1"/>
  <c r="R28" i="21"/>
  <c r="T21" i="21"/>
  <c r="V28" i="21"/>
  <c r="O30" i="21"/>
  <c r="Z28" i="21"/>
  <c r="U28" i="21"/>
  <c r="U32" i="21" s="1"/>
  <c r="U21" i="21"/>
  <c r="P30" i="21"/>
  <c r="O28" i="21"/>
  <c r="W28" i="21"/>
  <c r="V30" i="21"/>
  <c r="W30" i="21"/>
  <c r="X30" i="21"/>
  <c r="R21" i="21"/>
  <c r="Z21" i="21"/>
  <c r="S21" i="21"/>
  <c r="P28" i="21"/>
  <c r="X28" i="21"/>
  <c r="Q30" i="21"/>
  <c r="Y30" i="21"/>
  <c r="Q28" i="21"/>
  <c r="Y28" i="21"/>
  <c r="R30" i="21"/>
  <c r="Z30" i="21"/>
  <c r="S30" i="21"/>
  <c r="S32" i="21" s="1"/>
  <c r="O31" i="21" l="1"/>
  <c r="O29" i="21"/>
  <c r="R32" i="21"/>
  <c r="W32" i="21"/>
  <c r="P32" i="21"/>
  <c r="V32" i="21"/>
  <c r="O32" i="21"/>
  <c r="Z32" i="21"/>
  <c r="Q32" i="21"/>
  <c r="X32" i="21"/>
  <c r="Y32" i="21"/>
  <c r="O33" i="21" l="1"/>
  <c r="X21" i="20"/>
  <c r="N16" i="20"/>
  <c r="AA16" i="20"/>
  <c r="N11" i="19"/>
  <c r="N5" i="19"/>
  <c r="N6" i="19"/>
  <c r="N30" i="19"/>
  <c r="N12" i="19"/>
  <c r="N13" i="19"/>
  <c r="N7" i="19"/>
  <c r="N29" i="19"/>
  <c r="N15" i="19"/>
  <c r="N16" i="19"/>
  <c r="N17" i="19"/>
  <c r="N33" i="19"/>
  <c r="N32" i="19"/>
  <c r="N18" i="19"/>
  <c r="N19" i="19"/>
  <c r="N31" i="19"/>
  <c r="N20" i="19"/>
  <c r="N21" i="19"/>
  <c r="N22" i="19"/>
  <c r="N23" i="19"/>
  <c r="N8" i="19"/>
  <c r="N28" i="19"/>
  <c r="N24" i="19"/>
  <c r="N25" i="19"/>
  <c r="N26" i="19"/>
  <c r="N14" i="19"/>
  <c r="N9" i="19"/>
  <c r="N10" i="19"/>
  <c r="N27" i="19"/>
  <c r="N34" i="19"/>
  <c r="N22" i="20"/>
  <c r="AA22" i="20"/>
  <c r="X23" i="20"/>
  <c r="X14" i="20"/>
  <c r="Y6" i="20"/>
  <c r="Q6" i="20"/>
  <c r="X18" i="20"/>
  <c r="AA18" i="20" s="1"/>
  <c r="O18" i="20"/>
  <c r="X9" i="20"/>
  <c r="Q9" i="20"/>
  <c r="AA15" i="20"/>
  <c r="AA24" i="20"/>
  <c r="AA17" i="20"/>
  <c r="AA7" i="20"/>
  <c r="AA19" i="20"/>
  <c r="AA14" i="20"/>
  <c r="AA11" i="20"/>
  <c r="AA5" i="20"/>
  <c r="AA21" i="20"/>
  <c r="AA8" i="20"/>
  <c r="AA23" i="20"/>
  <c r="AA12" i="20"/>
  <c r="AA13" i="20"/>
  <c r="AA10" i="20"/>
  <c r="N15" i="20"/>
  <c r="N24" i="20"/>
  <c r="N17" i="20"/>
  <c r="N7" i="20"/>
  <c r="N19" i="20"/>
  <c r="N18" i="20"/>
  <c r="N14" i="20"/>
  <c r="N11" i="20"/>
  <c r="N5" i="20"/>
  <c r="N21" i="20"/>
  <c r="N8" i="20"/>
  <c r="N23" i="20"/>
  <c r="N12" i="20"/>
  <c r="N13" i="20"/>
  <c r="N10" i="20"/>
  <c r="P51" i="20"/>
  <c r="Y33" i="20"/>
  <c r="Y32" i="20" s="1"/>
  <c r="X33" i="20"/>
  <c r="X32" i="20" s="1"/>
  <c r="Z32" i="20"/>
  <c r="W32" i="20"/>
  <c r="V32" i="20"/>
  <c r="U32" i="20"/>
  <c r="T32" i="20"/>
  <c r="S32" i="20"/>
  <c r="R32" i="20"/>
  <c r="Q32" i="20"/>
  <c r="P32" i="20"/>
  <c r="O32" i="20"/>
  <c r="Z27" i="20"/>
  <c r="Z36" i="20" s="1"/>
  <c r="Y27" i="20"/>
  <c r="Y29" i="20" s="1"/>
  <c r="W27" i="20"/>
  <c r="W29" i="20" s="1"/>
  <c r="V27" i="20"/>
  <c r="V29" i="20" s="1"/>
  <c r="U27" i="20"/>
  <c r="U29" i="20" s="1"/>
  <c r="T27" i="20"/>
  <c r="T38" i="20" s="1"/>
  <c r="S27" i="20"/>
  <c r="R27" i="20"/>
  <c r="R36" i="20" s="1"/>
  <c r="Q27" i="20"/>
  <c r="Q29" i="20" s="1"/>
  <c r="P27" i="20"/>
  <c r="P29" i="20" s="1"/>
  <c r="O27" i="20"/>
  <c r="O29" i="20" s="1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Z100" i="3"/>
  <c r="Z95" i="3"/>
  <c r="Z97" i="3" s="1"/>
  <c r="B90" i="3"/>
  <c r="B91" i="3"/>
  <c r="C90" i="3"/>
  <c r="C91" i="3"/>
  <c r="D90" i="3"/>
  <c r="D91" i="3"/>
  <c r="E90" i="3"/>
  <c r="E91" i="3"/>
  <c r="F90" i="3"/>
  <c r="F91" i="3"/>
  <c r="G90" i="3"/>
  <c r="G91" i="3"/>
  <c r="H90" i="3"/>
  <c r="H91" i="3"/>
  <c r="I90" i="3"/>
  <c r="I91" i="3"/>
  <c r="J90" i="3"/>
  <c r="J91" i="3"/>
  <c r="K90" i="3"/>
  <c r="K91" i="3"/>
  <c r="B88" i="3"/>
  <c r="B89" i="3"/>
  <c r="C88" i="3"/>
  <c r="C89" i="3"/>
  <c r="D88" i="3"/>
  <c r="D89" i="3"/>
  <c r="E88" i="3"/>
  <c r="E89" i="3"/>
  <c r="F88" i="3"/>
  <c r="F89" i="3"/>
  <c r="G88" i="3"/>
  <c r="G89" i="3"/>
  <c r="H88" i="3"/>
  <c r="H89" i="3"/>
  <c r="I88" i="3"/>
  <c r="I89" i="3"/>
  <c r="J88" i="3"/>
  <c r="J89" i="3"/>
  <c r="K88" i="3"/>
  <c r="K89" i="3"/>
  <c r="S36" i="20" l="1"/>
  <c r="N6" i="20"/>
  <c r="AA6" i="20"/>
  <c r="X27" i="20"/>
  <c r="X29" i="20" s="1"/>
  <c r="N9" i="20"/>
  <c r="AA9" i="20"/>
  <c r="V36" i="20"/>
  <c r="O38" i="20"/>
  <c r="T29" i="20"/>
  <c r="W38" i="20"/>
  <c r="R29" i="20"/>
  <c r="Z29" i="20"/>
  <c r="T36" i="20"/>
  <c r="T40" i="20" s="1"/>
  <c r="U38" i="20"/>
  <c r="S29" i="20"/>
  <c r="U36" i="20"/>
  <c r="V38" i="20"/>
  <c r="O36" i="20"/>
  <c r="W36" i="20"/>
  <c r="P38" i="20"/>
  <c r="P36" i="20"/>
  <c r="Q38" i="20"/>
  <c r="Y38" i="20"/>
  <c r="Q36" i="20"/>
  <c r="Y36" i="20"/>
  <c r="R38" i="20"/>
  <c r="R40" i="20" s="1"/>
  <c r="Z38" i="20"/>
  <c r="Z40" i="20" s="1"/>
  <c r="S38" i="20"/>
  <c r="Z104" i="3"/>
  <c r="Z106" i="3"/>
  <c r="S40" i="20" l="1"/>
  <c r="X36" i="20"/>
  <c r="O37" i="20" s="1"/>
  <c r="X38" i="20"/>
  <c r="O39" i="20" s="1"/>
  <c r="W40" i="20"/>
  <c r="U40" i="20"/>
  <c r="P40" i="20"/>
  <c r="V40" i="20"/>
  <c r="O40" i="20"/>
  <c r="Y40" i="20"/>
  <c r="Q40" i="20"/>
  <c r="Z108" i="3"/>
  <c r="AB26" i="19"/>
  <c r="AB8" i="19"/>
  <c r="AB28" i="19"/>
  <c r="AB21" i="19"/>
  <c r="R61" i="19"/>
  <c r="AA43" i="19"/>
  <c r="AA42" i="19" s="1"/>
  <c r="Z43" i="19"/>
  <c r="Z42" i="19"/>
  <c r="Y42" i="19"/>
  <c r="X42" i="19"/>
  <c r="W42" i="19"/>
  <c r="V42" i="19"/>
  <c r="U42" i="19"/>
  <c r="T42" i="19"/>
  <c r="S42" i="19"/>
  <c r="R42" i="19"/>
  <c r="Q42" i="19"/>
  <c r="P42" i="19"/>
  <c r="O42" i="19"/>
  <c r="AA37" i="19"/>
  <c r="AA48" i="19" s="1"/>
  <c r="Z37" i="19"/>
  <c r="Z46" i="19" s="1"/>
  <c r="Y37" i="19"/>
  <c r="Y46" i="19" s="1"/>
  <c r="X37" i="19"/>
  <c r="X46" i="19" s="1"/>
  <c r="W37" i="19"/>
  <c r="W46" i="19" s="1"/>
  <c r="V37" i="19"/>
  <c r="V39" i="19" s="1"/>
  <c r="U37" i="19"/>
  <c r="U39" i="19" s="1"/>
  <c r="T37" i="19"/>
  <c r="T48" i="19" s="1"/>
  <c r="S37" i="19"/>
  <c r="S48" i="19" s="1"/>
  <c r="R37" i="19"/>
  <c r="R46" i="19" s="1"/>
  <c r="Q37" i="19"/>
  <c r="Q46" i="19" s="1"/>
  <c r="P37" i="19"/>
  <c r="P46" i="19" s="1"/>
  <c r="O37" i="19"/>
  <c r="O46" i="19" s="1"/>
  <c r="AB32" i="19"/>
  <c r="AB13" i="19"/>
  <c r="AB25" i="19"/>
  <c r="AB9" i="19"/>
  <c r="AB14" i="19"/>
  <c r="AB5" i="19"/>
  <c r="AB15" i="19"/>
  <c r="AB11" i="19"/>
  <c r="AB34" i="19"/>
  <c r="AB27" i="19"/>
  <c r="AB10" i="19"/>
  <c r="AB24" i="19"/>
  <c r="AB23" i="19"/>
  <c r="AB22" i="19"/>
  <c r="AB20" i="19"/>
  <c r="AB31" i="19"/>
  <c r="AB19" i="19"/>
  <c r="AB18" i="19"/>
  <c r="AB17" i="19"/>
  <c r="AB33" i="19"/>
  <c r="AB16" i="19"/>
  <c r="AB29" i="19"/>
  <c r="AB7" i="19"/>
  <c r="AB12" i="19"/>
  <c r="AB6" i="19"/>
  <c r="AB30" i="19"/>
  <c r="O41" i="20" l="1"/>
  <c r="X40" i="20"/>
  <c r="W39" i="19"/>
  <c r="S46" i="19"/>
  <c r="S50" i="19" s="1"/>
  <c r="AA46" i="19"/>
  <c r="AA50" i="19" s="1"/>
  <c r="U48" i="19"/>
  <c r="O39" i="19"/>
  <c r="P39" i="19"/>
  <c r="X39" i="19"/>
  <c r="T46" i="19"/>
  <c r="T50" i="19" s="1"/>
  <c r="V48" i="19"/>
  <c r="Q39" i="19"/>
  <c r="Y39" i="19"/>
  <c r="U46" i="19"/>
  <c r="O48" i="19"/>
  <c r="W48" i="19"/>
  <c r="W50" i="19" s="1"/>
  <c r="R39" i="19"/>
  <c r="Z39" i="19"/>
  <c r="V46" i="19"/>
  <c r="P48" i="19"/>
  <c r="P50" i="19" s="1"/>
  <c r="X48" i="19"/>
  <c r="X50" i="19" s="1"/>
  <c r="S39" i="19"/>
  <c r="AA39" i="19"/>
  <c r="Q48" i="19"/>
  <c r="Q50" i="19" s="1"/>
  <c r="Y48" i="19"/>
  <c r="Y50" i="19" s="1"/>
  <c r="T39" i="19"/>
  <c r="R48" i="19"/>
  <c r="R50" i="19" s="1"/>
  <c r="Z48" i="19"/>
  <c r="Z50" i="19" s="1"/>
  <c r="O47" i="19" l="1"/>
  <c r="V50" i="19"/>
  <c r="O49" i="19"/>
  <c r="O50" i="19"/>
  <c r="U50" i="19"/>
  <c r="O104" i="3"/>
  <c r="P106" i="3"/>
  <c r="Q95" i="3"/>
  <c r="Q106" i="3" s="1"/>
  <c r="R95" i="3"/>
  <c r="R106" i="3" s="1"/>
  <c r="S95" i="3"/>
  <c r="S106" i="3" s="1"/>
  <c r="T95" i="3"/>
  <c r="T106" i="3" s="1"/>
  <c r="U95" i="3"/>
  <c r="U106" i="3" s="1"/>
  <c r="V95" i="3"/>
  <c r="V106" i="3" s="1"/>
  <c r="W95" i="3"/>
  <c r="W106" i="3" s="1"/>
  <c r="X95" i="3"/>
  <c r="X106" i="3" s="1"/>
  <c r="Y95" i="3"/>
  <c r="Y106" i="3" s="1"/>
  <c r="S100" i="3"/>
  <c r="T100" i="3"/>
  <c r="U100" i="3"/>
  <c r="V100" i="3"/>
  <c r="W100" i="3"/>
  <c r="X101" i="3"/>
  <c r="X100" i="3" s="1"/>
  <c r="Y101" i="3"/>
  <c r="Y100" i="3" s="1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R119" i="3"/>
  <c r="T97" i="3"/>
  <c r="R97" i="3"/>
  <c r="V97" i="3" l="1"/>
  <c r="Y97" i="3"/>
  <c r="Y104" i="3"/>
  <c r="U97" i="3"/>
  <c r="W104" i="3"/>
  <c r="W108" i="3" s="1"/>
  <c r="Q97" i="3"/>
  <c r="W97" i="3"/>
  <c r="S97" i="3"/>
  <c r="U104" i="3"/>
  <c r="U108" i="3" s="1"/>
  <c r="O106" i="3"/>
  <c r="Q104" i="3"/>
  <c r="Q108" i="3" s="1"/>
  <c r="S104" i="3"/>
  <c r="S108" i="3" s="1"/>
  <c r="P104" i="3"/>
  <c r="P108" i="3" s="1"/>
  <c r="V104" i="3"/>
  <c r="V108" i="3" s="1"/>
  <c r="O51" i="19"/>
  <c r="O63" i="19" s="1"/>
  <c r="Y108" i="3"/>
  <c r="X104" i="3"/>
  <c r="X108" i="3" s="1"/>
  <c r="T104" i="3"/>
  <c r="T108" i="3" s="1"/>
  <c r="R104" i="3"/>
  <c r="R108" i="3" s="1"/>
  <c r="X97" i="3"/>
  <c r="O105" i="3" l="1"/>
  <c r="O108" i="3"/>
  <c r="O107" i="3"/>
  <c r="O109" i="3" l="1"/>
  <c r="O121" i="3" s="1"/>
</calcChain>
</file>

<file path=xl/sharedStrings.xml><?xml version="1.0" encoding="utf-8"?>
<sst xmlns="http://schemas.openxmlformats.org/spreadsheetml/2006/main" count="1961" uniqueCount="414">
  <si>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</si>
  <si>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</si>
  <si>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</si>
  <si>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</si>
  <si>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</si>
  <si>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</si>
  <si>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</si>
  <si>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</si>
  <si>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</si>
  <si>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</si>
  <si>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</si>
  <si>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</si>
  <si>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</si>
  <si>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</si>
  <si>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</si>
  <si>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</si>
  <si>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</si>
  <si>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</si>
  <si>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</si>
  <si>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</si>
  <si>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</si>
  <si>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</si>
  <si>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</si>
  <si>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</si>
  <si>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</si>
  <si>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</si>
  <si>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</si>
  <si>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</si>
  <si>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</si>
  <si>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</si>
  <si>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</si>
  <si>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</si>
  <si>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</si>
  <si>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</si>
  <si>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</si>
  <si>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</si>
  <si>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</si>
  <si>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</si>
  <si>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</si>
  <si>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</si>
  <si>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</si>
  <si>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</si>
  <si>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</si>
  <si>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Vitacura</t>
  </si>
  <si>
    <t>Vespucio</t>
  </si>
  <si>
    <t>UC</t>
  </si>
  <si>
    <t>Las Condes</t>
  </si>
  <si>
    <t>Santa Maria</t>
  </si>
  <si>
    <t>Lukas Quense</t>
  </si>
  <si>
    <t>Los Trapenses</t>
  </si>
  <si>
    <t>Vial</t>
  </si>
  <si>
    <t>Monte Tabor</t>
  </si>
  <si>
    <t>Fernandez</t>
  </si>
  <si>
    <t>UDD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</si>
  <si>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</si>
  <si>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</si>
  <si>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</si>
  <si>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</si>
  <si>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</si>
  <si>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</si>
  <si>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</si>
  <si>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</si>
  <si>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</si>
  <si>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</si>
  <si>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</si>
  <si>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</si>
  <si>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</si>
  <si>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</si>
  <si>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</si>
  <si>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</si>
  <si>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</si>
  <si>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Deuda</t>
  </si>
  <si>
    <t>Morales</t>
  </si>
  <si>
    <t>Los Trapenses 3230</t>
  </si>
  <si>
    <t>morales.villar25@gmail.com</t>
  </si>
  <si>
    <t>La Dehesa</t>
  </si>
  <si>
    <t>UAndes</t>
  </si>
  <si>
    <t>Mani</t>
  </si>
  <si>
    <t>Pistachos</t>
  </si>
  <si>
    <t>Caju</t>
  </si>
  <si>
    <t>Almendras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</si>
  <si>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</si>
  <si>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</si>
  <si>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</si>
  <si>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</si>
  <si>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</si>
  <si>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</si>
  <si>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</si>
  <si>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</si>
  <si>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</si>
  <si>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</si>
  <si>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</si>
  <si>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</si>
  <si>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Newland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</si>
  <si>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</si>
  <si>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</si>
  <si>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</si>
  <si>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</si>
  <si>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</si>
  <si>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</si>
  <si>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</si>
  <si>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</si>
  <si>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</si>
  <si>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</si>
  <si>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</si>
  <si>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</si>
  <si>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</si>
  <si>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</si>
  <si>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</si>
  <si>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</si>
  <si>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</si>
  <si>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</si>
  <si>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</si>
  <si>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</si>
  <si>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</si>
  <si>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</si>
  <si>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</si>
  <si>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</si>
  <si>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</si>
  <si>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</si>
  <si>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</si>
  <si>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</si>
  <si>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</si>
  <si>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</si>
  <si>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</si>
  <si>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</si>
  <si>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</si>
  <si>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</si>
  <si>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</si>
  <si>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</si>
  <si>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</si>
  <si>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</si>
  <si>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</si>
  <si>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</si>
  <si>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</si>
  <si>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Chicureo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</si>
  <si>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</si>
  <si>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</si>
  <si>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</si>
  <si>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</si>
  <si>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</si>
  <si>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</si>
  <si>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</si>
  <si>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</si>
  <si>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</si>
  <si>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</si>
  <si>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</si>
  <si>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</si>
  <si>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</si>
  <si>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</si>
  <si>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</si>
  <si>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</si>
  <si>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</si>
  <si>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</si>
  <si>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</si>
  <si>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</si>
  <si>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</si>
  <si>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</si>
  <si>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</si>
  <si>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</si>
  <si>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</si>
  <si>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</si>
  <si>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</si>
  <si>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</si>
  <si>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</si>
  <si>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</si>
  <si>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</si>
  <si>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</si>
  <si>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</si>
  <si>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</si>
  <si>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</si>
  <si>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</si>
  <si>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Av La Dehesa 4510 Casa 10</t>
  </si>
  <si>
    <t>exequielswinburn@gmail.com</t>
  </si>
  <si>
    <t>Santa Veronica 1035</t>
  </si>
  <si>
    <t>jpgermain17@gmail.com</t>
  </si>
  <si>
    <t>Florencia</t>
  </si>
  <si>
    <t>Croxatto</t>
  </si>
  <si>
    <t>Los Olivos 12179</t>
  </si>
  <si>
    <t>fcroxatto@uc.cl</t>
  </si>
  <si>
    <t>Cristobal</t>
  </si>
  <si>
    <t>Valdes</t>
  </si>
  <si>
    <t>Los Queltehues 11524</t>
  </si>
  <si>
    <t>Cordillera</t>
  </si>
  <si>
    <t>cristobalvaldes99@gmail.com</t>
  </si>
  <si>
    <t>Muschen</t>
  </si>
  <si>
    <t>Pia</t>
  </si>
  <si>
    <t>Camino Mirasol 2569</t>
  </si>
  <si>
    <t>Empanadas</t>
  </si>
  <si>
    <t>Piedra Roja</t>
  </si>
  <si>
    <t>Paul</t>
  </si>
  <si>
    <t>Brenner</t>
  </si>
  <si>
    <t>San Jose De La Sierra 1105</t>
  </si>
  <si>
    <t>Quinchamali</t>
  </si>
  <si>
    <t>paulmartinbrenner@hotmail.com</t>
  </si>
  <si>
    <t>Joaquin</t>
  </si>
  <si>
    <t>Daly</t>
  </si>
  <si>
    <t>Polo 1 de Manquehue Casa 112</t>
  </si>
  <si>
    <t>CSA</t>
  </si>
  <si>
    <t>dalyjoaquin@gmail.com</t>
  </si>
  <si>
    <t>Parque Antonio Rabbat 6333</t>
  </si>
  <si>
    <t>Gino</t>
  </si>
  <si>
    <t>Genova</t>
  </si>
  <si>
    <t>Badia</t>
  </si>
  <si>
    <t>Av Golf Lomas de La Dehesa 11755</t>
  </si>
  <si>
    <t>isidorabadiaw@gmail.com</t>
  </si>
  <si>
    <t>Las Condesas 2035</t>
  </si>
  <si>
    <t>SI</t>
  </si>
  <si>
    <t>NO</t>
  </si>
  <si>
    <t>Ric</t>
  </si>
  <si>
    <t>Jungk</t>
  </si>
  <si>
    <t>Pasaje Pie Andino 4209A</t>
  </si>
  <si>
    <t>rtjungk@miuandes.cl</t>
  </si>
  <si>
    <t>matimuschen@gmail.com</t>
  </si>
  <si>
    <t>Si</t>
  </si>
  <si>
    <t>Tati</t>
  </si>
  <si>
    <t>Von Storch</t>
  </si>
  <si>
    <t>tevonstorch@uc.cl</t>
  </si>
  <si>
    <t>Carlos Pena Otaegui 11472</t>
  </si>
  <si>
    <t>Amalia</t>
  </si>
  <si>
    <t>Abogabir</t>
  </si>
  <si>
    <t>Condominio El Algarrobal 2 Casa Z-95</t>
  </si>
  <si>
    <t>CLSA</t>
  </si>
  <si>
    <t>amalia.abr@gmail.com</t>
  </si>
  <si>
    <t>Maida</t>
  </si>
  <si>
    <t>Andrews</t>
  </si>
  <si>
    <t>Martin De Zamora 5245, Torre 2, Dpto 52</t>
  </si>
  <si>
    <t>VMA</t>
  </si>
  <si>
    <t>maidaandrews25@gmail.com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</si>
  <si>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</si>
  <si>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</si>
  <si>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</si>
  <si>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</si>
  <si>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</si>
  <si>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</si>
  <si>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</si>
  <si>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</si>
  <si>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</si>
  <si>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</si>
  <si>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Bernaus</t>
  </si>
  <si>
    <t>Cerro La Campana 2311 Casa 2</t>
  </si>
  <si>
    <t>jbernaus@alumnos.uai.cl</t>
  </si>
  <si>
    <t>Samuel</t>
  </si>
  <si>
    <t>Billikopf</t>
  </si>
  <si>
    <t>samuelbillikopfmujica@gmail.com</t>
  </si>
  <si>
    <t>SOCIO</t>
  </si>
  <si>
    <t>icastanedaw@gmail.com</t>
  </si>
  <si>
    <t>Vicky</t>
  </si>
  <si>
    <t>Chaparro</t>
  </si>
  <si>
    <t>Carolina Rabat 780 Casa 8</t>
  </si>
  <si>
    <t>mchaparroh@udd.cl</t>
  </si>
  <si>
    <t>Antonia</t>
  </si>
  <si>
    <t>Cisternas</t>
  </si>
  <si>
    <t>Calle Parque 12700 Casa 38</t>
  </si>
  <si>
    <t>antocisternas@hotmail.com</t>
  </si>
  <si>
    <t>Josefa</t>
  </si>
  <si>
    <t>Covarrubias</t>
  </si>
  <si>
    <t>Camino Las Flores 12163</t>
  </si>
  <si>
    <t>Saint George</t>
  </si>
  <si>
    <t>josefacovarrubias@gmail.com</t>
  </si>
  <si>
    <t>Dominique</t>
  </si>
  <si>
    <t>Daroch</t>
  </si>
  <si>
    <t>El Algarrobal 2 Casa U2</t>
  </si>
  <si>
    <t>Highlands</t>
  </si>
  <si>
    <t>dominique_daroch@hotmail.com</t>
  </si>
  <si>
    <t>Amelia</t>
  </si>
  <si>
    <t>Candelaria Goyenechea 5765</t>
  </si>
  <si>
    <t>adelrioa@fen.uchile.cl</t>
  </si>
  <si>
    <t>Constanza</t>
  </si>
  <si>
    <t>Delfau</t>
  </si>
  <si>
    <t>Calle Parque 12700 Casa 1</t>
  </si>
  <si>
    <t>conidelfau@gmail.com</t>
  </si>
  <si>
    <t>Pilar</t>
  </si>
  <si>
    <t>Edwards</t>
  </si>
  <si>
    <t>El Roquerio 2028</t>
  </si>
  <si>
    <t>piliedwards@gmail.com</t>
  </si>
  <si>
    <t>Eichholz</t>
  </si>
  <si>
    <t>Estrella Del Norte 980 Dpto 154</t>
  </si>
  <si>
    <t>Alto Las Condes</t>
  </si>
  <si>
    <t>joaquin.eichholz@gmail.com</t>
  </si>
  <si>
    <t>Maria Jesus</t>
  </si>
  <si>
    <t>Elias</t>
  </si>
  <si>
    <t>Manquehue Norte 555</t>
  </si>
  <si>
    <t>meliasm@udd.cl</t>
  </si>
  <si>
    <t>Rafael</t>
  </si>
  <si>
    <t>Errazuriz</t>
  </si>
  <si>
    <t>Pasaje La Aurora 1883</t>
  </si>
  <si>
    <t>rerrazurizf@udd.cl</t>
  </si>
  <si>
    <t>Casa De Piedra 2628</t>
  </si>
  <si>
    <t>ifernandez1@miuandes.cl</t>
  </si>
  <si>
    <t>Tere</t>
  </si>
  <si>
    <t>Las Torcazas 3080</t>
  </si>
  <si>
    <t>terefernandez99@yahoo.com</t>
  </si>
  <si>
    <t>Diego</t>
  </si>
  <si>
    <t>Figueroa</t>
  </si>
  <si>
    <t>Las Lavandulas 10006</t>
  </si>
  <si>
    <t>diegofiba2@gmail.com</t>
  </si>
  <si>
    <t>Flores</t>
  </si>
  <si>
    <t>Condominio Sta Teresita P14 Sta Ester De Liray</t>
  </si>
  <si>
    <t>Lo Pinto</t>
  </si>
  <si>
    <t>matifloresdonetch@hotmail.com</t>
  </si>
  <si>
    <t>Benjamin</t>
  </si>
  <si>
    <t>Hartmann</t>
  </si>
  <si>
    <t>Camino Otonal 1368 Casa 6</t>
  </si>
  <si>
    <t>hartmann12@gmail.com</t>
  </si>
  <si>
    <t>Mauricio</t>
  </si>
  <si>
    <t>Hernandez</t>
  </si>
  <si>
    <t>Julia Bernstein 607 Casa G-40</t>
  </si>
  <si>
    <t>La Reina</t>
  </si>
  <si>
    <t>mauhernand@fen.uchile.cl</t>
  </si>
  <si>
    <t>Cata</t>
  </si>
  <si>
    <t>Izcue</t>
  </si>
  <si>
    <t>Los Pumas 11996</t>
  </si>
  <si>
    <t>Los Andes</t>
  </si>
  <si>
    <t>cataizcue@gmail.com</t>
  </si>
  <si>
    <t>Margarita</t>
  </si>
  <si>
    <t>Joglar</t>
  </si>
  <si>
    <t>Camino Los Trapenses 4860 Casa 9</t>
  </si>
  <si>
    <t>magui.joglar22@gmail.com</t>
  </si>
  <si>
    <t>Juan Diego</t>
  </si>
  <si>
    <t>Lyon</t>
  </si>
  <si>
    <t>Las Hualtatas 10725</t>
  </si>
  <si>
    <t>juandiegolyon@gmail.com</t>
  </si>
  <si>
    <t>Bernardita</t>
  </si>
  <si>
    <t>Mackenney</t>
  </si>
  <si>
    <t>La Fontana 11221</t>
  </si>
  <si>
    <t>bmackenney@uc.cl</t>
  </si>
  <si>
    <t>Michella</t>
  </si>
  <si>
    <t>Mascarello</t>
  </si>
  <si>
    <t>Quinchamali 14336</t>
  </si>
  <si>
    <t>miki.mascarello@gmail.com</t>
  </si>
  <si>
    <t>Vicente</t>
  </si>
  <si>
    <t>Mayol</t>
  </si>
  <si>
    <t>Paseo Pie Andino 6500 Casa O</t>
  </si>
  <si>
    <t>vmayol@live.cl</t>
  </si>
  <si>
    <t>Jesu</t>
  </si>
  <si>
    <t>Mckay</t>
  </si>
  <si>
    <t>Blvd Jardin De Los Pajaros 4700 Casa 5</t>
  </si>
  <si>
    <t>CLA</t>
  </si>
  <si>
    <t>jesumckayg@hotmail.com</t>
  </si>
  <si>
    <t>Cristobal Colon 4696 Dpto 1403</t>
  </si>
  <si>
    <t>Colon</t>
  </si>
  <si>
    <t>ibmorales@uc.cl</t>
  </si>
  <si>
    <t>Josefina</t>
  </si>
  <si>
    <t>Nazer</t>
  </si>
  <si>
    <t>Camino del ayuntamiento 2087</t>
  </si>
  <si>
    <t>cotenazer@hotmail.com</t>
  </si>
  <si>
    <t>vicente.opazo2005@gmail.com</t>
  </si>
  <si>
    <t>Ossa</t>
  </si>
  <si>
    <t>Escribano Diego Rutal 2471</t>
  </si>
  <si>
    <t>trinidadossag@gmail.com</t>
  </si>
  <si>
    <t>Francesco</t>
  </si>
  <si>
    <t>Pamparana</t>
  </si>
  <si>
    <t>Parque Las Garzas 16, Condominio Las Banadadas</t>
  </si>
  <si>
    <t>pancho.pamparana@gmail.com</t>
  </si>
  <si>
    <t>Agustina</t>
  </si>
  <si>
    <t>Pineda</t>
  </si>
  <si>
    <t>Artigas 643</t>
  </si>
  <si>
    <t>Pacifico</t>
  </si>
  <si>
    <t>agustina-pineda@hotmail.com</t>
  </si>
  <si>
    <t>Piña</t>
  </si>
  <si>
    <t>La Cienaga 12184</t>
  </si>
  <si>
    <t>Uandes</t>
  </si>
  <si>
    <t>pina.benjamin@gmail.com</t>
  </si>
  <si>
    <t>Lukas</t>
  </si>
  <si>
    <t>Quense</t>
  </si>
  <si>
    <t>Cerro Cortadera 9897</t>
  </si>
  <si>
    <t>lukas.quense@gmail.com</t>
  </si>
  <si>
    <t>Quiroga</t>
  </si>
  <si>
    <t>Santa Rita 1017</t>
  </si>
  <si>
    <t>josefinaquiroga7@hotmail.com</t>
  </si>
  <si>
    <t>Rafa</t>
  </si>
  <si>
    <t>CPH</t>
  </si>
  <si>
    <t>rafaquiroga7@gmail.com</t>
  </si>
  <si>
    <t>Fede</t>
  </si>
  <si>
    <t>Schilling</t>
  </si>
  <si>
    <t>Laura Tromben 5754</t>
  </si>
  <si>
    <t>federico.schilling@gmail.com</t>
  </si>
  <si>
    <t>Carola</t>
  </si>
  <si>
    <t>Schumann</t>
  </si>
  <si>
    <t>Pedro Canisio 1103 Dpto 142</t>
  </si>
  <si>
    <t>cschumann@alumnos.uai.cl</t>
  </si>
  <si>
    <t>Tondreau</t>
  </si>
  <si>
    <t>Francisco de Aguirre 4155</t>
  </si>
  <si>
    <t>catalinatp_97@hotmail.com</t>
  </si>
  <si>
    <t>Iñaki</t>
  </si>
  <si>
    <t>Tramontana</t>
  </si>
  <si>
    <t>Los Algarrobos 3 Casa 28</t>
  </si>
  <si>
    <t>Itramontanae@udd.cl</t>
  </si>
  <si>
    <t>Valencia</t>
  </si>
  <si>
    <t>Las Campanas 681, Hacienda Chicureo</t>
  </si>
  <si>
    <t>antovalencia@mac.com</t>
  </si>
  <si>
    <t>Valenzuela</t>
  </si>
  <si>
    <t>Bombay 8825</t>
  </si>
  <si>
    <t>mjvalenzuela3@uc.cl</t>
  </si>
  <si>
    <t>Pablo</t>
  </si>
  <si>
    <t>Pachica 8279</t>
  </si>
  <si>
    <t>pabcontrerasm@udd.cl</t>
  </si>
  <si>
    <t>Villela</t>
  </si>
  <si>
    <t>Las Estrellas 14043</t>
  </si>
  <si>
    <t>TIPS</t>
  </si>
  <si>
    <t>gk.alaluf@icloud.com</t>
  </si>
  <si>
    <t>Paula</t>
  </si>
  <si>
    <t>Camino La Fuente 2174</t>
  </si>
  <si>
    <t>pvillelacaerols@gmail.com</t>
  </si>
  <si>
    <t>Roberto</t>
  </si>
  <si>
    <t>Salinas</t>
  </si>
  <si>
    <t>Calle Parque 12701</t>
  </si>
  <si>
    <t>robertosalinas10200@gmail.com</t>
  </si>
  <si>
    <t>Santamaria</t>
  </si>
  <si>
    <t>Arquitecto Sulivan 5949</t>
  </si>
  <si>
    <t>asantamariaw@gmail.com</t>
  </si>
  <si>
    <t>piarodriguez24@gmail.com</t>
  </si>
  <si>
    <t>Carlos Peña Otaegui 11472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</si>
</sst>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8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233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37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left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2" xfId="0" quotePrefix="1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43" xfId="0" applyFont="1" applyBorder="1" applyAlignment="1">
      <alignment horizontal="center" vertical="center"/>
    </xf>
    <xf numFmtId="164" fontId="0" fillId="0" borderId="42" xfId="0" applyFont="1" applyBorder="1" applyAlignment="1">
      <alignment horizontal="center" vertical="center"/>
    </xf>
    <xf numFmtId="164" fontId="0" fillId="0" borderId="41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45" xfId="0" applyNumberFormat="1" applyBorder="1"/>
    <xf numFmtId="164" fontId="0" fillId="0" borderId="44" xfId="0" applyNumberFormat="1" applyBorder="1"/>
    <xf numFmtId="164" fontId="0" fillId="0" borderId="44" xfId="0" applyBorder="1"/>
    <xf numFmtId="164" fontId="0" fillId="0" borderId="46" xfId="0" applyNumberFormat="1" applyBorder="1"/>
    <xf numFmtId="164" fontId="0" fillId="0" borderId="45" xfId="0" applyBorder="1"/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7" fillId="0" borderId="25" xfId="0" applyFont="1" applyBorder="1" applyAlignment="1">
      <alignment horizontal="center" vertical="center" textRotation="90"/>
    </xf>
    <xf numFmtId="164" fontId="7" fillId="0" borderId="1" xfId="0" applyFont="1" applyBorder="1" applyAlignment="1">
      <alignment horizontal="center" vertical="center" textRotation="90"/>
    </xf>
    <xf numFmtId="164" fontId="7" fillId="0" borderId="47" xfId="0" applyFont="1" applyBorder="1" applyAlignment="1">
      <alignment horizontal="center" vertical="center" textRotation="90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3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5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9" fillId="0" borderId="33" xfId="0" applyFont="1" applyBorder="1" applyAlignment="1">
      <alignment horizontal="centerContinuous" vertical="center"/>
    </xf>
    <xf numFmtId="164" fontId="9" fillId="0" borderId="34" xfId="0" applyFont="1" applyBorder="1" applyAlignment="1">
      <alignment horizontal="centerContinuous" vertical="center"/>
    </xf>
    <xf numFmtId="164" fontId="9" fillId="0" borderId="39" xfId="0" applyFont="1" applyBorder="1" applyAlignment="1">
      <alignment horizontal="centerContinuous" vertical="center"/>
    </xf>
    <xf numFmtId="164" fontId="0" fillId="0" borderId="0" xfId="0" applyAlignment="1">
      <alignment horizontal="centerContinuous"/>
    </xf>
    <xf numFmtId="164" fontId="6" fillId="0" borderId="29" xfId="0" applyFont="1" applyBorder="1" applyAlignment="1">
      <alignment horizontal="centerContinuous"/>
    </xf>
    <xf numFmtId="164" fontId="6" fillId="0" borderId="30" xfId="0" applyFont="1" applyBorder="1" applyAlignment="1">
      <alignment horizontal="centerContinuous"/>
    </xf>
    <xf numFmtId="164" fontId="6" fillId="0" borderId="31" xfId="0" applyFont="1" applyBorder="1" applyAlignment="1">
      <alignment horizontal="centerContinuous"/>
    </xf>
    <xf numFmtId="164" fontId="4" fillId="0" borderId="17" xfId="0" applyFont="1" applyBorder="1" applyAlignment="1">
      <alignment horizontal="centerContinuous"/>
    </xf>
    <xf numFmtId="164" fontId="4" fillId="0" borderId="18" xfId="0" applyFont="1" applyBorder="1" applyAlignment="1">
      <alignment horizontal="centerContinuous"/>
    </xf>
    <xf numFmtId="164" fontId="4" fillId="0" borderId="19" xfId="0" applyFont="1" applyBorder="1" applyAlignment="1">
      <alignment horizontal="centerContinuous"/>
    </xf>
    <xf numFmtId="164" fontId="4" fillId="0" borderId="20" xfId="0" applyFont="1" applyBorder="1" applyAlignment="1">
      <alignment horizontal="centerContinuous"/>
    </xf>
    <xf numFmtId="164" fontId="4" fillId="0" borderId="0" xfId="0" applyFont="1" applyBorder="1" applyAlignment="1">
      <alignment horizontal="centerContinuous"/>
    </xf>
    <xf numFmtId="164" fontId="4" fillId="0" borderId="21" xfId="0" applyFont="1" applyBorder="1" applyAlignment="1">
      <alignment horizontal="centerContinuous"/>
    </xf>
    <xf numFmtId="164" fontId="4" fillId="0" borderId="22" xfId="0" applyFont="1" applyBorder="1" applyAlignment="1">
      <alignment horizontal="centerContinuous"/>
    </xf>
    <xf numFmtId="164" fontId="4" fillId="0" borderId="23" xfId="0" applyFont="1" applyBorder="1" applyAlignment="1">
      <alignment horizontal="centerContinuous"/>
    </xf>
    <xf numFmtId="164" fontId="4" fillId="0" borderId="24" xfId="0" applyFont="1" applyBorder="1" applyAlignment="1">
      <alignment horizontal="centerContinuous"/>
    </xf>
    <xf numFmtId="164" fontId="5" fillId="0" borderId="17" xfId="0" applyFont="1" applyBorder="1" applyAlignment="1">
      <alignment horizontal="centerContinuous"/>
    </xf>
    <xf numFmtId="164" fontId="5" fillId="0" borderId="18" xfId="0" applyFont="1" applyBorder="1" applyAlignment="1">
      <alignment horizontal="centerContinuous"/>
    </xf>
    <xf numFmtId="164" fontId="5" fillId="0" borderId="19" xfId="0" applyFont="1" applyBorder="1" applyAlignment="1">
      <alignment horizontal="centerContinuous"/>
    </xf>
    <xf numFmtId="164" fontId="5" fillId="0" borderId="20" xfId="0" applyFont="1" applyBorder="1" applyAlignment="1">
      <alignment horizontal="centerContinuous"/>
    </xf>
    <xf numFmtId="164" fontId="5" fillId="0" borderId="0" xfId="0" applyFont="1" applyBorder="1" applyAlignment="1">
      <alignment horizontal="centerContinuous"/>
    </xf>
    <xf numFmtId="164" fontId="5" fillId="0" borderId="21" xfId="0" applyFont="1" applyBorder="1" applyAlignment="1">
      <alignment horizontal="centerContinuous"/>
    </xf>
    <xf numFmtId="164" fontId="5" fillId="0" borderId="22" xfId="0" applyFont="1" applyBorder="1" applyAlignment="1">
      <alignment horizontal="centerContinuous"/>
    </xf>
    <xf numFmtId="164" fontId="5" fillId="0" borderId="23" xfId="0" applyFont="1" applyBorder="1" applyAlignment="1">
      <alignment horizontal="centerContinuous"/>
    </xf>
    <xf numFmtId="164" fontId="5" fillId="0" borderId="24" xfId="0" applyFont="1" applyBorder="1" applyAlignment="1">
      <alignment horizontal="centerContinuous"/>
    </xf>
    <xf numFmtId="164" fontId="14" fillId="0" borderId="17" xfId="0" applyFont="1" applyBorder="1" applyAlignment="1">
      <alignment horizontal="centerContinuous" vertical="distributed"/>
    </xf>
    <xf numFmtId="164" fontId="0" fillId="0" borderId="18" xfId="0" applyBorder="1" applyAlignment="1">
      <alignment horizontal="centerContinuous" vertical="distributed"/>
    </xf>
    <xf numFmtId="164" fontId="0" fillId="0" borderId="19" xfId="0" applyBorder="1" applyAlignment="1">
      <alignment horizontal="centerContinuous" vertical="distributed"/>
    </xf>
    <xf numFmtId="164" fontId="0" fillId="0" borderId="20" xfId="0" applyBorder="1" applyAlignment="1">
      <alignment horizontal="centerContinuous" vertical="distributed"/>
    </xf>
    <xf numFmtId="164" fontId="0" fillId="0" borderId="0" xfId="0" applyAlignment="1">
      <alignment horizontal="centerContinuous" vertical="distributed"/>
    </xf>
    <xf numFmtId="164" fontId="0" fillId="0" borderId="21" xfId="0" applyBorder="1" applyAlignment="1">
      <alignment horizontal="centerContinuous" vertical="distributed"/>
    </xf>
    <xf numFmtId="164" fontId="0" fillId="0" borderId="22" xfId="0" applyBorder="1" applyAlignment="1">
      <alignment horizontal="centerContinuous" vertical="distributed"/>
    </xf>
    <xf numFmtId="164" fontId="0" fillId="0" borderId="23" xfId="0" applyBorder="1" applyAlignment="1">
      <alignment horizontal="centerContinuous" vertical="distributed"/>
    </xf>
    <xf numFmtId="164" fontId="0" fillId="0" borderId="24" xfId="0" applyBorder="1" applyAlignment="1">
      <alignment horizontal="centerContinuous" vertical="distributed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35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Joaquin Eichholz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  <row r="85">
          <cell r="A85" t="str">
            <v>Matias</v>
          </cell>
          <cell r="B85" t="str">
            <v>Muschen</v>
          </cell>
          <cell r="C85" t="str">
            <v>Las Condesas 2035</v>
          </cell>
          <cell r="D85" t="str">
            <v>Las Condes</v>
          </cell>
          <cell r="E85" t="str">
            <v>San Carlos</v>
          </cell>
          <cell r="F85" t="str">
            <v>Aleman</v>
          </cell>
          <cell r="G85" t="str">
            <v>JEFE</v>
          </cell>
          <cell r="H85">
            <v>56990163951</v>
          </cell>
          <cell r="I85" t="str">
            <v>matimuschen@gmail.com</v>
          </cell>
          <cell r="J85" t="str">
            <v>Lukas Quense</v>
          </cell>
        </row>
        <row r="86">
          <cell r="A86" t="str">
            <v>Pia</v>
          </cell>
          <cell r="B86" t="str">
            <v>Rodriguez</v>
          </cell>
          <cell r="C86" t="str">
            <v>Camino Mirasol 2569</v>
          </cell>
          <cell r="D86" t="str">
            <v>Las Condes</v>
          </cell>
          <cell r="E86" t="str">
            <v>San Carlos</v>
          </cell>
          <cell r="G86" t="str">
            <v>JEFE</v>
          </cell>
          <cell r="H86">
            <v>56978945335</v>
          </cell>
          <cell r="I86" t="str">
            <v>piarodriguez24@gmail.com</v>
          </cell>
          <cell r="J86" t="str">
            <v>Lukas Quense</v>
          </cell>
        </row>
        <row r="87">
          <cell r="A87" t="str">
            <v>Gino</v>
          </cell>
          <cell r="B87" t="str">
            <v>Genova</v>
          </cell>
          <cell r="H87"/>
          <cell r="I87"/>
          <cell r="J87" t="str">
            <v>Joaquin Eichholz</v>
          </cell>
        </row>
        <row r="88">
          <cell r="A88" t="str">
            <v>Isidora</v>
          </cell>
          <cell r="B88" t="str">
            <v>Badia</v>
          </cell>
          <cell r="C88" t="str">
            <v>Av Golf Lomas de La Dehesa 11755</v>
          </cell>
          <cell r="D88" t="str">
            <v>Lo Barnechea</v>
          </cell>
          <cell r="E88" t="str">
            <v>Los Trapenses</v>
          </cell>
          <cell r="F88" t="str">
            <v>UAI</v>
          </cell>
          <cell r="G88" t="str">
            <v>JEFE</v>
          </cell>
          <cell r="H88">
            <v>56976994719</v>
          </cell>
          <cell r="I88" t="str">
            <v>isidorabadiaw@gmail.com</v>
          </cell>
          <cell r="J88" t="str">
            <v>Lukas Quense</v>
          </cell>
        </row>
        <row r="89">
          <cell r="A89" t="str">
            <v>Tati</v>
          </cell>
          <cell r="B89" t="str">
            <v>Von Storch</v>
          </cell>
          <cell r="C89" t="str">
            <v>Carlos Peña Otaegui 11472</v>
          </cell>
          <cell r="D89" t="str">
            <v>Las Condes</v>
          </cell>
          <cell r="G89" t="str">
            <v>JEFE</v>
          </cell>
          <cell r="H89">
            <v>56977895588</v>
          </cell>
          <cell r="I89" t="str">
            <v>tevonstorch@uc.cl</v>
          </cell>
          <cell r="J89" t="str">
            <v>Lukas Quense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B92" totalsRowShown="0" headerRowDxfId="355" headerRowBorderDxfId="354" tableBorderDxfId="353" totalsRowBorderDxfId="352">
  <autoFilter ref="B4:AB92" xr:uid="{00000000-0009-0000-0100-000002000000}"/>
  <sortState ref="B5:AB87">
    <sortCondition ref="C4:C72"/>
  </sortState>
  <tableColumns count="27">
    <tableColumn id="1" xr3:uid="{00000000-0010-0000-0000-000001000000}" name="Nombre" dataDxfId="351">
      <calculatedColumnFormula>[1]Personas!A2</calculatedColumnFormula>
    </tableColumn>
    <tableColumn id="2" xr3:uid="{00000000-0010-0000-0000-000002000000}" name="Apellido" dataDxfId="350" totalsRowDxfId="349">
      <calculatedColumnFormula>[1]Personas!B2</calculatedColumnFormula>
    </tableColumn>
    <tableColumn id="3" xr3:uid="{00000000-0010-0000-0000-000003000000}" name="Direccion" dataDxfId="348" totalsRowDxfId="347">
      <calculatedColumnFormula>[1]Personas!C2</calculatedColumnFormula>
    </tableColumn>
    <tableColumn id="4" xr3:uid="{00000000-0010-0000-0000-000004000000}" name="Comuna" dataDxfId="346" totalsRowDxfId="345">
      <calculatedColumnFormula>[1]Personas!D2</calculatedColumnFormula>
    </tableColumn>
    <tableColumn id="20" xr3:uid="{00000000-0010-0000-0000-000014000000}" name="Sector" dataDxfId="344" totalsRowDxfId="343">
      <calculatedColumnFormula>[1]Personas!E2</calculatedColumnFormula>
    </tableColumn>
    <tableColumn id="21" xr3:uid="{00000000-0010-0000-0000-000015000000}" name="Universidad" dataDxfId="342" totalsRowDxfId="341">
      <calculatedColumnFormula>[1]Personas!F2</calculatedColumnFormula>
    </tableColumn>
    <tableColumn id="22" xr3:uid="{00000000-0010-0000-0000-000016000000}" name="Cargo" dataDxfId="340" totalsRowDxfId="339">
      <calculatedColumnFormula>[1]Personas!G2</calculatedColumnFormula>
    </tableColumn>
    <tableColumn id="19" xr3:uid="{00000000-0010-0000-0000-000013000000}" name="Telefono" dataDxfId="338" totalsRowDxfId="337">
      <calculatedColumnFormula>[1]Personas!H2</calculatedColumnFormula>
    </tableColumn>
    <tableColumn id="12" xr3:uid="{00000000-0010-0000-0000-00000C000000}" name="Mail" dataDxfId="336" totalsRowDxfId="335" dataCellStyle="Millares">
      <calculatedColumnFormula>[1]Personas!I2</calculatedColumnFormula>
    </tableColumn>
    <tableColumn id="29" xr3:uid="{00000000-0010-0000-0000-00001D000000}" name="Encargado" dataDxfId="334" totalsRowDxfId="333" dataCellStyle="Millares">
      <calculatedColumnFormula>[1]Personas!J2</calculatedColumnFormula>
    </tableColumn>
    <tableColumn id="28" xr3:uid="{00000000-0010-0000-0000-00001C000000}" name="Entregado" dataDxfId="332" totalsRowDxfId="331"/>
    <tableColumn id="11" xr3:uid="{EA03B5A3-0D22-4235-8B84-5BCED3FE14DE}" name="Pagado" dataDxfId="330" totalsRowDxfId="329"/>
    <tableColumn id="5" xr3:uid="{00000000-0010-0000-0000-000005000000}" name="Deuda" dataDxfId="328" totalsRowDxfId="327">
      <calculatedColumnFormula>SUMPRODUCT(Tabla523[[#This Row],[Paltas]:[Empanadas]],O$102:Z$102)</calculatedColumnFormula>
    </tableColumn>
    <tableColumn id="7" xr3:uid="{00000000-0010-0000-0000-000007000000}" name="Paltas" dataDxfId="326" totalsRowDxfId="325"/>
    <tableColumn id="8" xr3:uid="{00000000-0010-0000-0000-000008000000}" name="Quesos" dataDxfId="324" totalsRowDxfId="323"/>
    <tableColumn id="9" xr3:uid="{00000000-0010-0000-0000-000009000000}" name="Frutillas" dataDxfId="322" totalsRowDxfId="321"/>
    <tableColumn id="10" xr3:uid="{00000000-0010-0000-0000-00000A000000}" name="Tomate Cherry" dataDxfId="320" totalsRowDxfId="319"/>
    <tableColumn id="14" xr3:uid="{00000000-0010-0000-0000-00000E000000}" name="Nueces" dataDxfId="318" totalsRowDxfId="317"/>
    <tableColumn id="15" xr3:uid="{521ADC59-7BBF-4276-8FA1-9D5F3652F653}" name="Mani" dataDxfId="316" totalsRowDxfId="315"/>
    <tableColumn id="16" xr3:uid="{A0273DDC-1B43-44D2-9218-45E0A5D88391}" name="Pistachos" dataDxfId="314" totalsRowDxfId="313"/>
    <tableColumn id="17" xr3:uid="{C5A1A2FF-4286-42A7-8DEE-9A684DFF7AC0}" name="Caju" dataDxfId="312" totalsRowDxfId="311"/>
    <tableColumn id="18" xr3:uid="{C6D5E838-31A0-4EAD-849A-FAC4EC0A9B82}" name="Almendras" dataDxfId="310" totalsRowDxfId="309"/>
    <tableColumn id="24" xr3:uid="{27EB8D53-46B1-4BC2-BFB6-B8CE36C95103}" name="Cerezas" dataDxfId="308" totalsRowDxfId="307"/>
    <tableColumn id="25" xr3:uid="{39A7B418-A22B-4561-896D-DE159452AE13}" name="Arandanos" dataDxfId="306" totalsRowDxfId="305"/>
    <tableColumn id="26" xr3:uid="{71B74DBE-6416-4D1B-88FD-C4514F95BA6A}" name="Empanadas" dataDxfId="304" totalsRowDxfId="303"/>
    <tableColumn id="23" xr3:uid="{00000000-0010-0000-0000-000017000000}" name="Total" dataDxfId="302">
      <calculatedColumnFormula>SUM(Tabla523[[#This Row],[Paltas]:[Empanadas]])</calculatedColumnFormula>
    </tableColumn>
    <tableColumn id="30" xr3:uid="{00000000-0010-0000-0000-00001E000000}" name="Comentario" dataDxfId="301" totalsRowDxfId="30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59EEF5-AB8B-4180-8244-F7E5B70DA91C}" name="Tabla5232" displayName="Tabla5232" ref="B4:AC34" totalsRowShown="0" headerRowDxfId="299" headerRowBorderDxfId="298" tableBorderDxfId="297" totalsRowBorderDxfId="296">
  <autoFilter ref="B4:AC34" xr:uid="{00000000-0009-0000-0100-000002000000}"/>
  <sortState ref="B5:AC34">
    <sortCondition ref="M4:M34"/>
  </sortState>
  <tableColumns count="28">
    <tableColumn id="1" xr3:uid="{71B4C92C-9C64-41E8-A798-4510DC81DF4A}" name="Nombre" dataDxfId="295"/>
    <tableColumn id="2" xr3:uid="{58E5AB42-96EA-40B4-B703-94FA8092DC4E}" name="Apellido" dataDxfId="294" totalsRowDxfId="293"/>
    <tableColumn id="3" xr3:uid="{C9AC297E-4DAA-496B-91B7-3E3B53BC637C}" name="Direccion" dataDxfId="292" totalsRowDxfId="291"/>
    <tableColumn id="4" xr3:uid="{0D2A2296-A23C-497C-A510-1B1BA009174C}" name="Comuna" dataDxfId="290" totalsRowDxfId="289"/>
    <tableColumn id="20" xr3:uid="{456400BD-3F02-42A6-810F-B46A8184E6D5}" name="Sector" dataDxfId="288" totalsRowDxfId="287"/>
    <tableColumn id="21" xr3:uid="{5A1F73F5-E7EA-4C10-8CF6-D9AD98725AC2}" name="Universidad" dataDxfId="286" totalsRowDxfId="285"/>
    <tableColumn id="22" xr3:uid="{09AA1EAF-A9E4-4DED-81BA-F1985931A1D2}" name="Cargo" dataDxfId="284" totalsRowDxfId="283"/>
    <tableColumn id="19" xr3:uid="{3E8E2A3D-A163-4D20-A5CF-23AB49B4B9A2}" name="Telefono" dataDxfId="282" totalsRowDxfId="281"/>
    <tableColumn id="12" xr3:uid="{632A6781-39DA-4F7A-B4D3-967429AC58C3}" name="Mail" dataDxfId="280" totalsRowDxfId="279" dataCellStyle="Millares"/>
    <tableColumn id="29" xr3:uid="{5058808B-1DDC-4693-9828-F5F08034D128}" name="Encargado" dataDxfId="278" totalsRowDxfId="277" dataCellStyle="Millares"/>
    <tableColumn id="28" xr3:uid="{44AE51D1-5510-4C54-A6FF-FCF243FBA379}" name="Entregado" dataDxfId="276" totalsRowDxfId="275"/>
    <tableColumn id="11" xr3:uid="{E56BFFCB-4649-43A5-AC87-2D5182B21DC5}" name="Pagado" dataDxfId="274" totalsRowDxfId="273"/>
    <tableColumn id="5" xr3:uid="{30960046-F2A4-4D1E-85CB-7E24D59297A3}" name="Deuda" dataDxfId="272" totalsRowDxfId="271">
      <calculatedColumnFormula>SUMPRODUCT(Tabla5232[[#This Row],[Naranjas]:[Arandanos]],O$99:AA$99)</calculatedColumnFormula>
    </tableColumn>
    <tableColumn id="7" xr3:uid="{829F5950-A077-48F7-B019-4A5B7B1ACD3C}" name="Naranjas" dataDxfId="270" totalsRowDxfId="269"/>
    <tableColumn id="8" xr3:uid="{73E8CFA6-B4FD-4A91-87F1-16596133B9C1}" name="Mandarinas" dataDxfId="268" totalsRowDxfId="267"/>
    <tableColumn id="9" xr3:uid="{A5F735DE-F64D-484E-A26F-B84B2FBAC03C}" name="Paltas" dataDxfId="266" totalsRowDxfId="265"/>
    <tableColumn id="10" xr3:uid="{2789C415-CB5E-4B24-A2F9-224AAEB821CE}" name="Quesos" dataDxfId="264" totalsRowDxfId="263"/>
    <tableColumn id="6" xr3:uid="{8B14CFF4-4C69-480B-AD97-A2B8513DD53B}" name="Frutillas" dataDxfId="262" totalsRowDxfId="261"/>
    <tableColumn id="13" xr3:uid="{1FB2ED45-888A-4E81-880C-975BA7331F19}" name="Tomate Cherry" dataDxfId="260" totalsRowDxfId="259"/>
    <tableColumn id="14" xr3:uid="{6459A08D-275F-46AA-9A07-EFD30893355D}" name="Nueces" dataDxfId="258" totalsRowDxfId="257"/>
    <tableColumn id="15" xr3:uid="{963A48D3-52E6-413A-86E5-96E6E3F452C3}" name="Mani" dataDxfId="256" totalsRowDxfId="255"/>
    <tableColumn id="16" xr3:uid="{BFD03669-23EA-4121-8A67-47B859296D30}" name="Pistachos" dataDxfId="254" totalsRowDxfId="253"/>
    <tableColumn id="17" xr3:uid="{168D9731-715E-457C-B56A-7DA67280ED14}" name="Caju" dataDxfId="252" totalsRowDxfId="251"/>
    <tableColumn id="18" xr3:uid="{D81D2DF2-0D65-4DC0-B8D4-AD6CA8DE80F7}" name="Almendras" dataDxfId="250" totalsRowDxfId="249"/>
    <tableColumn id="24" xr3:uid="{48AE6144-4171-4249-9C00-064ACA9EF49F}" name="Cerezas" dataDxfId="248" totalsRowDxfId="247"/>
    <tableColumn id="25" xr3:uid="{F01808BB-3E1C-492A-A5E6-89174DFEBED7}" name="Arandanos" dataDxfId="246" totalsRowDxfId="245"/>
    <tableColumn id="23" xr3:uid="{1B2DE2B9-F48F-4545-B84F-8441640915AA}" name="Total" dataDxfId="244">
      <calculatedColumnFormula>SUM(Tabla5232[[#This Row],[Naranjas]:[Arandanos]])</calculatedColumnFormula>
    </tableColumn>
    <tableColumn id="30" xr3:uid="{9C95A16C-119E-4C8F-AA98-4BE9847DE85D}" name="Comentario" dataDxfId="243" totalsRowDxfId="24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5939B1-6E3E-47BB-80A0-EC0289829611}" name="Tabla5234" displayName="Tabla5234" ref="B4:AB24" totalsRowShown="0" headerRowDxfId="241" headerRowBorderDxfId="240" tableBorderDxfId="239" totalsRowBorderDxfId="238">
  <autoFilter ref="B4:AB24" xr:uid="{00000000-0009-0000-0100-000002000000}"/>
  <sortState ref="B5:AB24">
    <sortCondition ref="M4:M24"/>
  </sortState>
  <tableColumns count="27">
    <tableColumn id="1" xr3:uid="{437D22FA-39C6-4DDE-B240-1CE6B15C5592}" name="Nombre" dataDxfId="237"/>
    <tableColumn id="2" xr3:uid="{284B03E7-45BB-4638-A663-9DB60F2FD435}" name="Apellido" dataDxfId="236" totalsRowDxfId="235"/>
    <tableColumn id="3" xr3:uid="{38309E86-1285-490B-BA81-DCA9D8160C32}" name="Direccion" dataDxfId="234" totalsRowDxfId="233"/>
    <tableColumn id="4" xr3:uid="{224D1D55-73AF-4E72-B8D0-9A1CE053818C}" name="Comuna" dataDxfId="232" totalsRowDxfId="231"/>
    <tableColumn id="20" xr3:uid="{88A29F3C-15A3-4E6D-91AF-930A03B0257D}" name="Sector" dataDxfId="230" totalsRowDxfId="229"/>
    <tableColumn id="21" xr3:uid="{2414206A-CC71-4708-8AA1-DEF707F4F083}" name="Universidad" dataDxfId="228" totalsRowDxfId="227"/>
    <tableColumn id="22" xr3:uid="{38F5FBD2-2DE1-4F7C-844B-077A76594499}" name="Cargo" dataDxfId="226" totalsRowDxfId="225"/>
    <tableColumn id="19" xr3:uid="{FF7B4033-A94F-436C-8891-D8088BDDA3E7}" name="Telefono" dataDxfId="224" totalsRowDxfId="223"/>
    <tableColumn id="12" xr3:uid="{72404270-8AC6-4312-AD82-DB59720C469C}" name="Mail" dataDxfId="222" totalsRowDxfId="221" dataCellStyle="Millares"/>
    <tableColumn id="29" xr3:uid="{AEE1CA8F-0C31-4A59-AA93-8D920355DE77}" name="Encargado" dataDxfId="220" totalsRowDxfId="219" dataCellStyle="Millares"/>
    <tableColumn id="28" xr3:uid="{D140BA68-4EA1-42C2-A1C4-58E1F3E3E06F}" name="Entregado" dataDxfId="218" totalsRowDxfId="217"/>
    <tableColumn id="11" xr3:uid="{CECE6857-FB57-4313-BEED-C8B33CD66B24}" name="Pagado" dataDxfId="216" totalsRowDxfId="215"/>
    <tableColumn id="5" xr3:uid="{FA12459A-27EB-4631-9DA8-B0466F187D13}" name="Deuda" dataDxfId="214" totalsRowDxfId="213">
      <calculatedColumnFormula>SUMPRODUCT(Tabla5234[[#This Row],[Paltas]:[Empanadas]],O$34:Z$34)</calculatedColumnFormula>
    </tableColumn>
    <tableColumn id="9" xr3:uid="{89C1ADA4-E7ED-4155-8B63-CC06927D2EFC}" name="Paltas" dataDxfId="212" totalsRowDxfId="211"/>
    <tableColumn id="10" xr3:uid="{2C8352FD-8421-4448-954E-8D01E13795EF}" name="Quesos" dataDxfId="210" totalsRowDxfId="209"/>
    <tableColumn id="6" xr3:uid="{2302DABD-F433-43F7-8116-2A36678B5675}" name="Frutillas" dataDxfId="208" totalsRowDxfId="207"/>
    <tableColumn id="13" xr3:uid="{AA08DF1B-AD16-43DE-A7CE-B2528C6CA9CF}" name="Tomate Cherry" dataDxfId="206" totalsRowDxfId="205"/>
    <tableColumn id="14" xr3:uid="{9B8517BE-D356-4D20-B71A-4802596E752D}" name="Nueces" dataDxfId="204" totalsRowDxfId="203"/>
    <tableColumn id="15" xr3:uid="{81B5433F-70A2-401F-8B51-2A18CF33F44F}" name="Mani" dataDxfId="202" totalsRowDxfId="201"/>
    <tableColumn id="16" xr3:uid="{43914BE7-7674-43B4-9364-8EEAF1D666CF}" name="Pistachos" dataDxfId="200" totalsRowDxfId="199"/>
    <tableColumn id="17" xr3:uid="{6D632EA4-0F8D-4F06-A8D7-F7035481A6AA}" name="Caju" dataDxfId="198" totalsRowDxfId="197"/>
    <tableColumn id="18" xr3:uid="{CBB591BD-ADA6-40BD-B519-B58F4B0A6C25}" name="Almendras" dataDxfId="196" totalsRowDxfId="195"/>
    <tableColumn id="24" xr3:uid="{6BDE7958-FFFE-4712-B8BB-18155FD3B9C5}" name="Cerezas" dataDxfId="194" totalsRowDxfId="193"/>
    <tableColumn id="25" xr3:uid="{E7BCC900-CA0A-433B-8186-ED55A0C57F43}" name="Arandanos" dataDxfId="192" totalsRowDxfId="191"/>
    <tableColumn id="26" xr3:uid="{617484A2-BDB1-482F-94EA-3B75346446A9}" name="Empanadas" dataDxfId="190" totalsRowDxfId="189"/>
    <tableColumn id="23" xr3:uid="{CEAD1779-2EA6-404A-9EB1-9796E49F75E2}" name="Total" dataDxfId="188">
      <calculatedColumnFormula>SUM(Tabla5234[[#This Row],[Paltas]:[Empanadas]])</calculatedColumnFormula>
    </tableColumn>
    <tableColumn id="30" xr3:uid="{118F6D56-F6CB-4EF2-A098-B2D7390074E4}" name="Comentario" dataDxfId="187" totalsRowDxfId="18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802BF6-8260-4BDB-8872-AFB478704937}" name="Tabla5235" displayName="Tabla5235" ref="B4:AB16" totalsRowShown="0" headerRowDxfId="185" headerRowBorderDxfId="184" tableBorderDxfId="183" totalsRowBorderDxfId="182">
  <autoFilter ref="B4:AB16" xr:uid="{00000000-0009-0000-0100-000002000000}"/>
  <sortState ref="B5:AB16">
    <sortCondition descending="1" ref="AA4:AA16"/>
  </sortState>
  <tableColumns count="27">
    <tableColumn id="1" xr3:uid="{41B9BF0E-85BC-49A9-A3F5-3A11316A01C3}" name="Nombre" dataDxfId="181"/>
    <tableColumn id="2" xr3:uid="{8D87DF75-BF92-455A-9F92-036C6D8EDDE7}" name="Apellido" dataDxfId="180" totalsRowDxfId="179"/>
    <tableColumn id="3" xr3:uid="{5130C07B-E72B-4D5A-A31B-594F57550069}" name="Direccion" dataDxfId="178" totalsRowDxfId="177"/>
    <tableColumn id="4" xr3:uid="{80C879C7-F321-4036-BE17-C91290ECD484}" name="Comuna" dataDxfId="176" totalsRowDxfId="175"/>
    <tableColumn id="20" xr3:uid="{696BC841-75D3-4A22-85E6-B81951449A1E}" name="Sector" dataDxfId="174" totalsRowDxfId="173"/>
    <tableColumn id="21" xr3:uid="{B28E13BD-4C67-436C-9AC4-D3BEC6EB7652}" name="Universidad" dataDxfId="172" totalsRowDxfId="171"/>
    <tableColumn id="22" xr3:uid="{24F0AC50-F8CE-43FD-907C-F270D6CD530B}" name="Cargo" dataDxfId="170" totalsRowDxfId="169"/>
    <tableColumn id="19" xr3:uid="{2BACE5BA-9DB3-40D2-B204-E946DAED5B31}" name="Telefono" dataDxfId="168" totalsRowDxfId="167"/>
    <tableColumn id="12" xr3:uid="{7313BB68-42BD-4D4D-B1C1-032BCEA516E3}" name="Mail" dataDxfId="166" totalsRowDxfId="165" dataCellStyle="Millares"/>
    <tableColumn id="29" xr3:uid="{811E65A7-0395-4438-829F-5BE7D61A12FF}" name="Encargado" dataDxfId="164" totalsRowDxfId="163" dataCellStyle="Millares"/>
    <tableColumn id="28" xr3:uid="{2323EA86-F25F-4644-990F-2DF236EEEE04}" name="Entregado" dataDxfId="162" totalsRowDxfId="161"/>
    <tableColumn id="11" xr3:uid="{A165A6DF-C0BA-4346-921A-6270BF1E1A5F}" name="Pagado" dataDxfId="160" totalsRowDxfId="159"/>
    <tableColumn id="5" xr3:uid="{3A5783D3-5977-4170-BE2F-5CE34E9BA4EA}" name="Deuda" dataDxfId="158" totalsRowDxfId="157">
      <calculatedColumnFormula>SUMPRODUCT(Tabla5235[[#This Row],[Paltas]:[Empanadas]],O$26:Z$26)</calculatedColumnFormula>
    </tableColumn>
    <tableColumn id="9" xr3:uid="{AC14671B-6455-44B4-ABE0-3CA02460529A}" name="Paltas" dataDxfId="156" totalsRowDxfId="155"/>
    <tableColumn id="10" xr3:uid="{BB384E7C-B4E1-4C18-AAAA-6C3062A3C46C}" name="Quesos" dataDxfId="154" totalsRowDxfId="153"/>
    <tableColumn id="6" xr3:uid="{E4429D1A-C56B-4E89-81C8-1DE3DF85F3FA}" name="Frutillas" dataDxfId="152" totalsRowDxfId="151"/>
    <tableColumn id="13" xr3:uid="{275A32BB-65BC-4EB0-9763-52E87FA46BE3}" name="Tomate Cherry" dataDxfId="150" totalsRowDxfId="149"/>
    <tableColumn id="14" xr3:uid="{4CBE5654-D69B-4BDF-817B-6013EA4596D0}" name="Nueces" dataDxfId="148" totalsRowDxfId="147"/>
    <tableColumn id="15" xr3:uid="{7DA77927-C8BB-4AD0-A704-B179A246FC36}" name="Mani" dataDxfId="146" totalsRowDxfId="145"/>
    <tableColumn id="16" xr3:uid="{2316A142-25D1-47AB-B3DC-4FE43CB8BEB9}" name="Pistachos" dataDxfId="144" totalsRowDxfId="143"/>
    <tableColumn id="17" xr3:uid="{A0B0A165-07A8-4012-8F7C-76CEE44B2E71}" name="Caju" dataDxfId="142" totalsRowDxfId="141"/>
    <tableColumn id="18" xr3:uid="{1221E917-C97B-4FD0-A9BE-287B074A8872}" name="Almendras" dataDxfId="140" totalsRowDxfId="139"/>
    <tableColumn id="24" xr3:uid="{10FE7E4D-F547-4627-A863-70CCD5D4E66A}" name="Cerezas" dataDxfId="138" totalsRowDxfId="137"/>
    <tableColumn id="25" xr3:uid="{94FAB3A5-2F21-49B7-AB8E-94C2B7A35347}" name="Arandanos" dataDxfId="136" totalsRowDxfId="135"/>
    <tableColumn id="26" xr3:uid="{0598D9BA-3E84-4F80-AE72-36380E2058AD}" name="Empanadas" dataDxfId="134" totalsRowDxfId="133"/>
    <tableColumn id="23" xr3:uid="{CAFF7D89-01D8-4824-B68F-F82C00DB52D5}" name="Total" dataDxfId="132">
      <calculatedColumnFormula>SUM(Tabla5235[[#This Row],[Paltas]:[Empanadas]])</calculatedColumnFormula>
    </tableColumn>
    <tableColumn id="30" xr3:uid="{28FEE42E-47B6-43EE-8BBE-C37DE0294047}" name="Comentario" dataDxfId="131" totalsRowDxfId="13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201E75-AFCC-4C65-8E57-246E81E6C02A}" name="Tabla5236" displayName="Tabla5236" ref="B4:AB18" totalsRowShown="0" headerRowDxfId="129" headerRowBorderDxfId="128" tableBorderDxfId="127" totalsRowBorderDxfId="126">
  <autoFilter ref="B4:AB18" xr:uid="{00000000-0009-0000-0100-000002000000}"/>
  <sortState ref="B5:AB17">
    <sortCondition descending="1" ref="AA4:AA17"/>
  </sortState>
  <tableColumns count="27">
    <tableColumn id="1" xr3:uid="{7D0734A9-DE6F-4D93-864B-478B144BF7D2}" name="Nombre" dataDxfId="125"/>
    <tableColumn id="2" xr3:uid="{6450D466-32F1-4C47-9ABF-3E3FD29194C3}" name="Apellido" dataDxfId="124" totalsRowDxfId="123"/>
    <tableColumn id="3" xr3:uid="{D2EFBDAD-8B1B-46D9-B1B5-4CB5BE69AF4A}" name="Direccion" dataDxfId="122" totalsRowDxfId="121"/>
    <tableColumn id="4" xr3:uid="{F2032674-9AEB-48C4-918F-0E5BC27B86E5}" name="Comuna" dataDxfId="120" totalsRowDxfId="119"/>
    <tableColumn id="20" xr3:uid="{99A5D1D7-8629-4098-BADA-9C3A6C1CBFEC}" name="Sector" dataDxfId="118" totalsRowDxfId="117"/>
    <tableColumn id="21" xr3:uid="{8F14438F-9D7D-4920-836A-60451254366C}" name="Universidad" dataDxfId="116" totalsRowDxfId="115"/>
    <tableColumn id="22" xr3:uid="{BA90F7EF-C0E5-438A-8699-4635698BAC9E}" name="Cargo" dataDxfId="114" totalsRowDxfId="113"/>
    <tableColumn id="19" xr3:uid="{EF470B0A-2469-480D-B7E1-5E6A89B44D47}" name="Telefono" dataDxfId="112" totalsRowDxfId="111"/>
    <tableColumn id="12" xr3:uid="{E9357B79-63F7-4BA0-AB0D-8043C87E3E46}" name="Mail" dataDxfId="110" totalsRowDxfId="109" dataCellStyle="Millares"/>
    <tableColumn id="29" xr3:uid="{AEE80D9F-BFEE-4115-B221-7ED5598A9024}" name="Encargado" dataDxfId="108" totalsRowDxfId="107" dataCellStyle="Millares"/>
    <tableColumn id="28" xr3:uid="{5FFA4C9F-C227-4665-B5C2-077814BCC653}" name="Entregado" dataDxfId="106" totalsRowDxfId="105"/>
    <tableColumn id="11" xr3:uid="{D8CD11EA-2A9C-42F9-B4B8-A2D410504505}" name="Pagado" dataDxfId="104" totalsRowDxfId="103"/>
    <tableColumn id="5" xr3:uid="{0BC71DBD-DF7F-4BB7-943F-55DCBE10A7C7}" name="Deuda" dataDxfId="102" totalsRowDxfId="101">
      <calculatedColumnFormula>SUMPRODUCT(Tabla5236[[#This Row],[Paltas]:[Empanadas]],O$105:Z$105)</calculatedColumnFormula>
    </tableColumn>
    <tableColumn id="9" xr3:uid="{CD5508E1-6F4F-4488-B22F-68782C9151DC}" name="Paltas" dataDxfId="100" totalsRowDxfId="99"/>
    <tableColumn id="10" xr3:uid="{71F9BCC7-B208-4936-ABCE-EF0D6A780C98}" name="Quesos" dataDxfId="98" totalsRowDxfId="97"/>
    <tableColumn id="6" xr3:uid="{F37AB2BA-AFF1-4F12-B560-E93F95C9E8DB}" name="Frutillas" dataDxfId="96" totalsRowDxfId="95"/>
    <tableColumn id="13" xr3:uid="{700DCC9A-EEC2-40D1-9254-6FEC2FFE01D5}" name="Tomate Cherry" dataDxfId="94" totalsRowDxfId="93"/>
    <tableColumn id="14" xr3:uid="{6F7E1FA7-17F8-437A-BA41-255EF08998D7}" name="Nueces" dataDxfId="92" totalsRowDxfId="91"/>
    <tableColumn id="15" xr3:uid="{ADF8AFC5-C311-4778-9664-61CAD06601CD}" name="Mani" dataDxfId="90" totalsRowDxfId="89"/>
    <tableColumn id="16" xr3:uid="{1EEED54A-48F5-450B-82F4-51F703B5C09D}" name="Pistachos" dataDxfId="88" totalsRowDxfId="87"/>
    <tableColumn id="17" xr3:uid="{AEA64FC9-67C5-4747-8F4E-E45856DA5C42}" name="Caju" dataDxfId="86" totalsRowDxfId="85"/>
    <tableColumn id="18" xr3:uid="{6EDF7824-4490-4586-BC27-CBAFA7A90170}" name="Almendras" dataDxfId="84" totalsRowDxfId="83"/>
    <tableColumn id="24" xr3:uid="{76A6FE7F-DC75-41C7-9FD0-7D4E91943CAD}" name="Cerezas" dataDxfId="82" totalsRowDxfId="81"/>
    <tableColumn id="25" xr3:uid="{780783AB-24C0-4D57-9066-8A3578CA91A4}" name="Arandanos" dataDxfId="80" totalsRowDxfId="79"/>
    <tableColumn id="26" xr3:uid="{580F999F-E50D-4316-8D79-BAD613505C06}" name="Empanadas" dataDxfId="78" totalsRowDxfId="77"/>
    <tableColumn id="23" xr3:uid="{7DECA98B-D28E-4F88-A125-BD32881B3391}" name="Total" dataDxfId="76">
      <calculatedColumnFormula>SUM(Tabla5236[[#This Row],[Paltas]:[Empanadas]])</calculatedColumnFormula>
    </tableColumn>
    <tableColumn id="30" xr3:uid="{09FE2D9A-BFC1-43FD-845F-3145FA2A93EC}" name="Comentario" dataDxfId="75" totalsRowDxfId="7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5DBA79-33E8-48C9-B336-1AEB34FFDBBD}" name="Tabla5237" displayName="Tabla5237" ref="B4:AB92" totalsRowShown="0" headerRowDxfId="73" headerRowBorderDxfId="72" tableBorderDxfId="71" totalsRowBorderDxfId="70">
  <autoFilter ref="B4:AB92" xr:uid="{00000000-0009-0000-0100-000002000000}"/>
  <sortState ref="B5:AB87">
    <sortCondition ref="C4:C72"/>
  </sortState>
  <tableColumns count="27">
    <tableColumn id="1" xr3:uid="{306A9AD7-65D9-48FD-B59C-B2ADFC88081D}" name="Nombre" dataDxfId="69"/>
    <tableColumn id="2" xr3:uid="{A6ECFA4D-00EB-4B8B-9BF5-8535AC76C894}" name="Apellido" dataDxfId="68" totalsRowDxfId="67"/>
    <tableColumn id="3" xr3:uid="{CF1D64FB-8935-4691-AD5C-690BD8318461}" name="Direccion" dataDxfId="66" totalsRowDxfId="65"/>
    <tableColumn id="4" xr3:uid="{EBB600BF-49EF-4480-8943-973117DE1A47}" name="Comuna" dataDxfId="64" totalsRowDxfId="63"/>
    <tableColumn id="20" xr3:uid="{830A2E03-77D4-4FE2-A3E2-6BF5C898C247}" name="Sector" dataDxfId="62" totalsRowDxfId="61"/>
    <tableColumn id="21" xr3:uid="{AA3E579C-AA89-4841-BDDC-C7AA9855A19D}" name="Universidad" dataDxfId="60" totalsRowDxfId="59"/>
    <tableColumn id="22" xr3:uid="{D9DFA35B-616E-4D5A-9967-164D2FB6DAED}" name="Cargo" dataDxfId="58" totalsRowDxfId="57"/>
    <tableColumn id="19" xr3:uid="{B4530629-0C28-4BB5-8E34-67EE76A0EC15}" name="Telefono" dataDxfId="56" totalsRowDxfId="55"/>
    <tableColumn id="12" xr3:uid="{DAFB0AC9-D8F0-46FB-AD60-5A5533F8438F}" name="Mail" dataDxfId="54" totalsRowDxfId="53" dataCellStyle="Millares"/>
    <tableColumn id="29" xr3:uid="{D4C32346-6FE4-423A-A602-F58C25C1D12D}" name="Encargado" dataDxfId="52" totalsRowDxfId="51" dataCellStyle="Millares"/>
    <tableColumn id="28" xr3:uid="{73B28382-D3C1-4A39-A037-3EC807D311C6}" name="Entregado" dataDxfId="50" totalsRowDxfId="49"/>
    <tableColumn id="11" xr3:uid="{9897B0CF-A967-40D3-B96A-44CEA85648FE}" name="Pagado" dataDxfId="48" totalsRowDxfId="47"/>
    <tableColumn id="5" xr3:uid="{CE954500-0881-4043-8708-768C05C1DEBA}" name="Deuda" dataDxfId="46" totalsRowDxfId="45">
      <calculatedColumnFormula>SUMPRODUCT(Tabla5237[[#This Row],[Paltas]:[Empanadas]],O$102:Z$102)</calculatedColumnFormula>
    </tableColumn>
    <tableColumn id="7" xr3:uid="{C744D1AA-25FF-493B-9C84-EA8485C39AE5}" name="Paltas" dataDxfId="44" totalsRowDxfId="43"/>
    <tableColumn id="8" xr3:uid="{061ACEA6-C2DA-4900-9785-8FE73B4A1BFC}" name="Quesos" dataDxfId="42" totalsRowDxfId="41"/>
    <tableColumn id="9" xr3:uid="{AE5864A6-BC26-4167-8E67-6174F65B1D23}" name="Frutillas" dataDxfId="40" totalsRowDxfId="39"/>
    <tableColumn id="10" xr3:uid="{A2573EBC-C829-4405-9F50-1FA6711CD28C}" name="Tomate Cherry" dataDxfId="38" totalsRowDxfId="37"/>
    <tableColumn id="14" xr3:uid="{66C9DBBD-9A9C-421F-A8A4-581AF4AD7433}" name="Nueces" dataDxfId="36" totalsRowDxfId="35"/>
    <tableColumn id="15" xr3:uid="{FDB122AA-035E-4DE2-80E9-6A23B3C192FE}" name="Mani" dataDxfId="34" totalsRowDxfId="33"/>
    <tableColumn id="16" xr3:uid="{D3757D0B-B7EB-45BE-8360-453BC43AB105}" name="Pistachos" dataDxfId="32" totalsRowDxfId="31"/>
    <tableColumn id="17" xr3:uid="{4152190C-204A-4396-ACA5-A9F04B1AE27C}" name="Caju" dataDxfId="30" totalsRowDxfId="29"/>
    <tableColumn id="18" xr3:uid="{50B31D58-7AF5-4D9F-A88A-12EC952CBB6F}" name="Almendras" dataDxfId="28" totalsRowDxfId="27"/>
    <tableColumn id="24" xr3:uid="{650D33E6-E163-4307-B7D6-22CA209B24CB}" name="Cerezas" dataDxfId="26" totalsRowDxfId="25"/>
    <tableColumn id="25" xr3:uid="{E08FC3CE-2A6D-433F-A83A-48A150D75E83}" name="Arandanos" dataDxfId="24" totalsRowDxfId="23"/>
    <tableColumn id="26" xr3:uid="{37AE5A1C-CFD6-4EA8-B900-A8F711887B02}" name="Empanadas" dataDxfId="22" totalsRowDxfId="21"/>
    <tableColumn id="23" xr3:uid="{326F0341-CE22-486E-95C9-53B3CE9EBC6F}" name="Total" dataDxfId="20">
      <calculatedColumnFormula>SUM(Tabla5237[[#This Row],[Paltas]:[Empanadas]])</calculatedColumnFormula>
    </tableColumn>
    <tableColumn id="30" xr3:uid="{3DAEDE3E-4E64-4FA6-BF57-5CFE97398E97}" name="Comentario" dataDxfId="19" totalsRowDxfId="1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timuschen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timuschen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B130"/>
  <sheetViews>
    <sheetView zoomScale="85" zoomScaleNormal="85" zoomScalePageLayoutView="85" workbookViewId="0">
      <pane xSplit="3" ySplit="4" topLeftCell="L59" activePane="bottomRight" state="frozen"/>
      <selection pane="topRight" activeCell="D1" sqref="D1"/>
      <selection pane="bottomLeft" activeCell="A5" sqref="A5"/>
      <selection pane="bottomRight" activeCell="O83" sqref="O83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9" t="s">
        <v>38</v>
      </c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4" t="s">
        <v>11</v>
      </c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6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51" t="s">
        <v>39</v>
      </c>
      <c r="B5" s="138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Row],[Paltas]:[Empanadas]],O$102:Z$102)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>
        <f>SUM(Tabla523[[#This Row],[Paltas]:[Empanadas]])</f>
        <v>0</v>
      </c>
      <c r="AB5" s="57"/>
    </row>
    <row r="6" spans="1:28" outlineLevel="1" x14ac:dyDescent="0.25">
      <c r="A6" s="152"/>
      <c r="B6" s="13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Row],[Paltas]:[Empanadas]],O$102:Z$102)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>
        <f>SUM(Tabla523[[#This Row],[Paltas]:[Empanadas]])</f>
        <v>0</v>
      </c>
      <c r="AB6" s="58"/>
    </row>
    <row r="7" spans="1:28" outlineLevel="1" x14ac:dyDescent="0.25">
      <c r="A7" s="152"/>
      <c r="B7" s="13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Row],[Paltas]:[Empanadas]],O$102:Z$102)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>
        <f>SUM(Tabla523[[#This Row],[Paltas]:[Empanadas]])</f>
        <v>0</v>
      </c>
      <c r="AB7" s="58"/>
    </row>
    <row r="8" spans="1:28" outlineLevel="1" x14ac:dyDescent="0.25">
      <c r="A8" s="152"/>
      <c r="B8" s="13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Row],[Paltas]:[Empanadas]],O$102:Z$102)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>
        <f>SUM(Tabla523[[#This Row],[Paltas]:[Empanadas]])</f>
        <v>0</v>
      </c>
      <c r="AB8" s="58"/>
    </row>
    <row r="9" spans="1:28" outlineLevel="1" x14ac:dyDescent="0.25">
      <c r="A9" s="152"/>
      <c r="B9" s="13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Row],[Paltas]:[Empanadas]],O$102:Z$102)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>
        <f>SUM(Tabla523[[#This Row],[Paltas]:[Empanadas]])</f>
        <v>0</v>
      </c>
      <c r="AB9" s="58"/>
    </row>
    <row r="10" spans="1:28" outlineLevel="1" x14ac:dyDescent="0.25">
      <c r="A10" s="152"/>
      <c r="B10" s="13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Row],[Paltas]:[Empanadas]],O$102:Z$102)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>
        <f>SUM(Tabla523[[#This Row],[Paltas]:[Empanadas]])</f>
        <v>0</v>
      </c>
      <c r="AB10" s="58"/>
    </row>
    <row r="11" spans="1:28" outlineLevel="1" x14ac:dyDescent="0.25">
      <c r="A11" s="152"/>
      <c r="B11" s="13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Row],[Paltas]:[Empanadas]],O$102:Z$102)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>
        <f>SUM(Tabla523[[#This Row],[Paltas]:[Empanadas]])</f>
        <v>0</v>
      </c>
      <c r="AB11" s="58"/>
    </row>
    <row r="12" spans="1:28" outlineLevel="1" x14ac:dyDescent="0.25">
      <c r="A12" s="152"/>
      <c r="B12" s="13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Row],[Paltas]:[Empanadas]],O$102:Z$102)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>
        <f>SUM(Tabla523[[#This Row],[Paltas]:[Empanadas]])</f>
        <v>0</v>
      </c>
      <c r="AB12" s="58"/>
    </row>
    <row r="13" spans="1:28" outlineLevel="1" x14ac:dyDescent="0.25">
      <c r="A13" s="152"/>
      <c r="B13" s="13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Row],[Paltas]:[Empanadas]],O$102:Z$102)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>
        <f>SUM(Tabla523[[#This Row],[Paltas]:[Empanadas]])</f>
        <v>0</v>
      </c>
      <c r="AB13" s="58"/>
    </row>
    <row r="14" spans="1:28" outlineLevel="1" x14ac:dyDescent="0.25">
      <c r="A14" s="152"/>
      <c r="B14" s="13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Row],[Paltas]:[Empanadas]],O$102:Z$102)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>
        <f>SUM(Tabla523[[#This Row],[Paltas]:[Empanadas]])</f>
        <v>0</v>
      </c>
      <c r="AB14" s="58"/>
    </row>
    <row r="15" spans="1:28" outlineLevel="1" x14ac:dyDescent="0.25">
      <c r="A15" s="152"/>
      <c r="B15" s="13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Row],[Paltas]:[Empanadas]],O$102:Z$102)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>
        <f>SUM(Tabla523[[#This Row],[Paltas]:[Empanadas]])</f>
        <v>0</v>
      </c>
      <c r="AB15" s="58"/>
    </row>
    <row r="16" spans="1:28" outlineLevel="1" x14ac:dyDescent="0.25">
      <c r="A16" s="152"/>
      <c r="B16" s="13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Row],[Paltas]:[Empanadas]],O$102:Z$102)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>
        <f>SUM(Tabla523[[#This Row],[Paltas]:[Empanadas]])</f>
        <v>0</v>
      </c>
      <c r="AB16" s="58"/>
    </row>
    <row r="17" spans="1:28" outlineLevel="1" x14ac:dyDescent="0.25">
      <c r="A17" s="152"/>
      <c r="B17" s="13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Row],[Paltas]:[Empanadas]],O$102:Z$102)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>
        <f>SUM(Tabla523[[#This Row],[Paltas]:[Empanadas]])</f>
        <v>0</v>
      </c>
      <c r="AB17" s="58"/>
    </row>
    <row r="18" spans="1:28" outlineLevel="1" x14ac:dyDescent="0.25">
      <c r="A18" s="152"/>
      <c r="B18" s="13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Row],[Paltas]:[Empanadas]],O$102:Z$102)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>
        <f>SUM(Tabla523[[#This Row],[Paltas]:[Empanadas]])</f>
        <v>0</v>
      </c>
      <c r="AB18" s="58"/>
    </row>
    <row r="19" spans="1:28" outlineLevel="1" x14ac:dyDescent="0.25">
      <c r="A19" s="152"/>
      <c r="B19" s="13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Row],[Paltas]:[Empanadas]],O$102:Z$102)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>
        <f>SUM(Tabla523[[#This Row],[Paltas]:[Empanadas]])</f>
        <v>0</v>
      </c>
      <c r="AB19" s="58"/>
    </row>
    <row r="20" spans="1:28" outlineLevel="1" x14ac:dyDescent="0.25">
      <c r="A20" s="152"/>
      <c r="B20" s="13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Row],[Paltas]:[Empanadas]],O$102:Z$102)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>
        <f>SUM(Tabla523[[#This Row],[Paltas]:[Empanadas]])</f>
        <v>0</v>
      </c>
      <c r="AB20" s="58"/>
    </row>
    <row r="21" spans="1:28" outlineLevel="1" x14ac:dyDescent="0.25">
      <c r="A21" s="152"/>
      <c r="B21" s="13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Row],[Paltas]:[Empanadas]],O$102:Z$102)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>
        <f>SUM(Tabla523[[#This Row],[Paltas]:[Empanadas]])</f>
        <v>0</v>
      </c>
      <c r="AB21" s="58"/>
    </row>
    <row r="22" spans="1:28" outlineLevel="1" x14ac:dyDescent="0.25">
      <c r="A22" s="152"/>
      <c r="B22" s="13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Row],[Paltas]:[Empanadas]],O$102:Z$102)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>
        <f>SUM(Tabla523[[#This Row],[Paltas]:[Empanadas]])</f>
        <v>0</v>
      </c>
      <c r="AB22" s="58"/>
    </row>
    <row r="23" spans="1:28" outlineLevel="1" x14ac:dyDescent="0.25">
      <c r="A23" s="152"/>
      <c r="B23" s="13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Row],[Paltas]:[Empanadas]],O$102:Z$102)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>
        <f>SUM(Tabla523[[#This Row],[Paltas]:[Empanadas]])</f>
        <v>0</v>
      </c>
      <c r="AB23" s="58"/>
    </row>
    <row r="24" spans="1:28" outlineLevel="1" x14ac:dyDescent="0.25">
      <c r="A24" s="152"/>
      <c r="B24" s="13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Row],[Paltas]:[Empanadas]],O$102:Z$102)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>
        <f>SUM(Tabla523[[#This Row],[Paltas]:[Empanadas]])</f>
        <v>0</v>
      </c>
      <c r="AB24" s="58"/>
    </row>
    <row r="25" spans="1:28" outlineLevel="1" x14ac:dyDescent="0.25">
      <c r="A25" s="152"/>
      <c r="B25" s="13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Row],[Paltas]:[Empanadas]],O$102:Z$102)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>
        <f>SUM(Tabla523[[#This Row],[Paltas]:[Empanadas]])</f>
        <v>0</v>
      </c>
      <c r="AB25" s="58"/>
    </row>
    <row r="26" spans="1:28" outlineLevel="1" x14ac:dyDescent="0.25">
      <c r="A26" s="152"/>
      <c r="B26" s="13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Row],[Paltas]:[Empanadas]],O$102:Z$102)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>
        <f>SUM(Tabla523[[#This Row],[Paltas]:[Empanadas]])</f>
        <v>0</v>
      </c>
      <c r="AB26" s="58"/>
    </row>
    <row r="27" spans="1:28" outlineLevel="1" x14ac:dyDescent="0.25">
      <c r="A27" s="152"/>
      <c r="B27" s="13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Row],[Paltas]:[Empanadas]],O$102:Z$102)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>
        <f>SUM(Tabla523[[#This Row],[Paltas]:[Empanadas]])</f>
        <v>0</v>
      </c>
      <c r="AB27" s="58"/>
    </row>
    <row r="28" spans="1:28" outlineLevel="1" x14ac:dyDescent="0.25">
      <c r="A28" s="152"/>
      <c r="B28" s="13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Row],[Paltas]:[Empanadas]],O$102:Z$102)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>
        <f>SUM(Tabla523[[#This Row],[Paltas]:[Empanadas]])</f>
        <v>0</v>
      </c>
      <c r="AB28" s="58"/>
    </row>
    <row r="29" spans="1:28" outlineLevel="1" x14ac:dyDescent="0.25">
      <c r="A29" s="152"/>
      <c r="B29" s="13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Row],[Paltas]:[Empanadas]],O$102:Z$102)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>
        <f>SUM(Tabla523[[#This Row],[Paltas]:[Empanadas]])</f>
        <v>0</v>
      </c>
      <c r="AB29" s="58"/>
    </row>
    <row r="30" spans="1:28" outlineLevel="1" x14ac:dyDescent="0.25">
      <c r="A30" s="152"/>
      <c r="B30" s="13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Row],[Paltas]:[Empanadas]],O$102:Z$102)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>
        <f>SUM(Tabla523[[#This Row],[Paltas]:[Empanadas]])</f>
        <v>0</v>
      </c>
      <c r="AB30" s="58"/>
    </row>
    <row r="31" spans="1:28" outlineLevel="1" x14ac:dyDescent="0.25">
      <c r="A31" s="152"/>
      <c r="B31" s="13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Row],[Paltas]:[Empanadas]],O$102:Z$102)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>
        <f>SUM(Tabla523[[#This Row],[Paltas]:[Empanadas]])</f>
        <v>0</v>
      </c>
      <c r="AB31" s="58"/>
    </row>
    <row r="32" spans="1:28" outlineLevel="1" x14ac:dyDescent="0.25">
      <c r="A32" s="152"/>
      <c r="B32" s="13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Row],[Paltas]:[Empanadas]],O$102:Z$102)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>
        <f>SUM(Tabla523[[#This Row],[Paltas]:[Empanadas]])</f>
        <v>0</v>
      </c>
      <c r="AB32" s="58"/>
    </row>
    <row r="33" spans="1:28" outlineLevel="1" x14ac:dyDescent="0.25">
      <c r="A33" s="152"/>
      <c r="B33" s="13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Row],[Paltas]:[Empanadas]],O$102:Z$102)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>
        <f>SUM(Tabla523[[#This Row],[Paltas]:[Empanadas]])</f>
        <v>0</v>
      </c>
      <c r="AB33" s="58"/>
    </row>
    <row r="34" spans="1:28" outlineLevel="1" x14ac:dyDescent="0.25">
      <c r="A34" s="152"/>
      <c r="B34" s="13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Row],[Paltas]:[Empanadas]],O$102:Z$102)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>
        <f>SUM(Tabla523[[#This Row],[Paltas]:[Empanadas]])</f>
        <v>0</v>
      </c>
      <c r="AB34" s="58"/>
    </row>
    <row r="35" spans="1:28" outlineLevel="1" x14ac:dyDescent="0.25">
      <c r="A35" s="152"/>
      <c r="B35" s="13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Row],[Paltas]:[Empanadas]],O$102:Z$102)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>
        <f>SUM(Tabla523[[#This Row],[Paltas]:[Empanadas]])</f>
        <v>0</v>
      </c>
      <c r="AB35" s="58"/>
    </row>
    <row r="36" spans="1:28" outlineLevel="1" x14ac:dyDescent="0.25">
      <c r="A36" s="152"/>
      <c r="B36" s="13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Row],[Paltas]:[Empanadas]],O$102:Z$102)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>
        <f>SUM(Tabla523[[#This Row],[Paltas]:[Empanadas]])</f>
        <v>0</v>
      </c>
      <c r="AB36" s="58"/>
    </row>
    <row r="37" spans="1:28" outlineLevel="1" x14ac:dyDescent="0.25">
      <c r="A37" s="152"/>
      <c r="B37" s="13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Row],[Paltas]:[Empanadas]],O$102:Z$102)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>
        <f>SUM(Tabla523[[#This Row],[Paltas]:[Empanadas]])</f>
        <v>0</v>
      </c>
      <c r="AB37" s="58"/>
    </row>
    <row r="38" spans="1:28" outlineLevel="1" x14ac:dyDescent="0.25">
      <c r="A38" s="152"/>
      <c r="B38" s="13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Row],[Paltas]:[Empanadas]],O$102:Z$102)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>
        <f>SUM(Tabla523[[#This Row],[Paltas]:[Empanadas]])</f>
        <v>0</v>
      </c>
      <c r="AB38" s="58"/>
    </row>
    <row r="39" spans="1:28" outlineLevel="1" x14ac:dyDescent="0.25">
      <c r="A39" s="152"/>
      <c r="B39" s="13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Row],[Paltas]:[Empanadas]],O$102:Z$102)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>
        <f>SUM(Tabla523[[#This Row],[Paltas]:[Empanadas]])</f>
        <v>0</v>
      </c>
      <c r="AB39" s="58"/>
    </row>
    <row r="40" spans="1:28" outlineLevel="1" x14ac:dyDescent="0.25">
      <c r="A40" s="152"/>
      <c r="B40" s="13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Row],[Paltas]:[Empanadas]],O$102:Z$102)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>
        <f>SUM(Tabla523[[#This Row],[Paltas]:[Empanadas]])</f>
        <v>0</v>
      </c>
      <c r="AB40" s="58"/>
    </row>
    <row r="41" spans="1:28" outlineLevel="1" x14ac:dyDescent="0.25">
      <c r="A41" s="152"/>
      <c r="B41" s="13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Row],[Paltas]:[Empanadas]],O$102:Z$102)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>
        <f>SUM(Tabla523[[#This Row],[Paltas]:[Empanadas]])</f>
        <v>0</v>
      </c>
      <c r="AB41" s="58"/>
    </row>
    <row r="42" spans="1:28" outlineLevel="1" x14ac:dyDescent="0.25">
      <c r="A42" s="152"/>
      <c r="B42" s="13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Row],[Paltas]:[Empanadas]],O$102:Z$102)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>
        <f>SUM(Tabla523[[#This Row],[Paltas]:[Empanadas]])</f>
        <v>0</v>
      </c>
      <c r="AB42" s="58"/>
    </row>
    <row r="43" spans="1:28" outlineLevel="1" x14ac:dyDescent="0.25">
      <c r="A43" s="152"/>
      <c r="B43" s="13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Row],[Paltas]:[Empanadas]],O$102:Z$102)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>
        <f>SUM(Tabla523[[#This Row],[Paltas]:[Empanadas]])</f>
        <v>0</v>
      </c>
      <c r="AB43" s="58"/>
    </row>
    <row r="44" spans="1:28" outlineLevel="1" x14ac:dyDescent="0.25">
      <c r="A44" s="152"/>
      <c r="B44" s="13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Row],[Paltas]:[Empanadas]],O$102:Z$102)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>
        <f>SUM(Tabla523[[#This Row],[Paltas]:[Empanadas]])</f>
        <v>0</v>
      </c>
      <c r="AB44" s="58"/>
    </row>
    <row r="45" spans="1:28" outlineLevel="1" x14ac:dyDescent="0.25">
      <c r="A45" s="152"/>
      <c r="B45" s="13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Row],[Paltas]:[Empanadas]],O$102:Z$102)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>
        <f>SUM(Tabla523[[#This Row],[Paltas]:[Empanadas]])</f>
        <v>0</v>
      </c>
      <c r="AB45" s="58"/>
    </row>
    <row r="46" spans="1:28" outlineLevel="1" x14ac:dyDescent="0.25">
      <c r="A46" s="152"/>
      <c r="B46" s="13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Row],[Paltas]:[Empanadas]],O$102:Z$102)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>
        <f>SUM(Tabla523[[#This Row],[Paltas]:[Empanadas]])</f>
        <v>0</v>
      </c>
      <c r="AB46" s="58"/>
    </row>
    <row r="47" spans="1:28" outlineLevel="1" x14ac:dyDescent="0.25">
      <c r="A47" s="152"/>
      <c r="B47" s="13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Row],[Paltas]:[Empanadas]],O$102:Z$102)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>
        <f>SUM(Tabla523[[#This Row],[Paltas]:[Empanadas]])</f>
        <v>0</v>
      </c>
      <c r="AB47" s="58"/>
    </row>
    <row r="48" spans="1:28" outlineLevel="1" x14ac:dyDescent="0.25">
      <c r="A48" s="152"/>
      <c r="B48" s="13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Row],[Paltas]:[Empanadas]],O$102:Z$102)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>
        <f>SUM(Tabla523[[#This Row],[Paltas]:[Empanadas]])</f>
        <v>0</v>
      </c>
      <c r="AB48" s="58"/>
    </row>
    <row r="49" spans="1:28" outlineLevel="1" x14ac:dyDescent="0.25">
      <c r="A49" s="152"/>
      <c r="B49" s="13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Row],[Paltas]:[Empanadas]],O$102:Z$102)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>
        <f>SUM(Tabla523[[#This Row],[Paltas]:[Empanadas]])</f>
        <v>0</v>
      </c>
      <c r="AB49" s="58"/>
    </row>
    <row r="50" spans="1:28" outlineLevel="1" x14ac:dyDescent="0.25">
      <c r="A50" s="152"/>
      <c r="B50" s="13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Row],[Paltas]:[Empanadas]],O$102:Z$102)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>
        <f>SUM(Tabla523[[#This Row],[Paltas]:[Empanadas]])</f>
        <v>0</v>
      </c>
      <c r="AB50" s="58"/>
    </row>
    <row r="51" spans="1:28" outlineLevel="1" x14ac:dyDescent="0.25">
      <c r="A51" s="152"/>
      <c r="B51" s="13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Lukas Quense</v>
      </c>
      <c r="L51" s="52"/>
      <c r="M51" s="52"/>
      <c r="N51" s="47">
        <f>SUMPRODUCT(Tabla523[[#This Row],[Paltas]:[Empanadas]],O$102:Z$102)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>
        <f>SUM(Tabla523[[#This Row],[Paltas]:[Empanadas]])</f>
        <v>0</v>
      </c>
      <c r="AB51" s="58"/>
    </row>
    <row r="52" spans="1:28" outlineLevel="1" x14ac:dyDescent="0.25">
      <c r="A52" s="152"/>
      <c r="B52" s="13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Row],[Paltas]:[Empanadas]],O$102:Z$102)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>
        <f>SUM(Tabla523[[#This Row],[Paltas]:[Empanadas]])</f>
        <v>0</v>
      </c>
      <c r="AB52" s="58"/>
    </row>
    <row r="53" spans="1:28" outlineLevel="1" x14ac:dyDescent="0.25">
      <c r="A53" s="152"/>
      <c r="B53" s="13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Row],[Paltas]:[Empanadas]],O$102:Z$102)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>
        <f>SUM(Tabla523[[#This Row],[Paltas]:[Empanadas]])</f>
        <v>0</v>
      </c>
      <c r="AB53" s="58"/>
    </row>
    <row r="54" spans="1:28" outlineLevel="1" x14ac:dyDescent="0.25">
      <c r="A54" s="152"/>
      <c r="B54" s="13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Row],[Paltas]:[Empanadas]],O$102:Z$102)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>
        <f>SUM(Tabla523[[#This Row],[Paltas]:[Empanadas]])</f>
        <v>0</v>
      </c>
      <c r="AB54" s="58"/>
    </row>
    <row r="55" spans="1:28" outlineLevel="1" x14ac:dyDescent="0.25">
      <c r="A55" s="152"/>
      <c r="B55" s="13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Row],[Paltas]:[Empanadas]],O$102:Z$102)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>
        <f>SUM(Tabla523[[#This Row],[Paltas]:[Empanadas]])</f>
        <v>0</v>
      </c>
      <c r="AB55" s="58"/>
    </row>
    <row r="56" spans="1:28" outlineLevel="1" x14ac:dyDescent="0.25">
      <c r="A56" s="152"/>
      <c r="B56" s="13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Row],[Paltas]:[Empanadas]],O$102:Z$102)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>
        <f>SUM(Tabla523[[#This Row],[Paltas]:[Empanadas]])</f>
        <v>0</v>
      </c>
      <c r="AB56" s="58"/>
    </row>
    <row r="57" spans="1:28" outlineLevel="1" x14ac:dyDescent="0.25">
      <c r="A57" s="152"/>
      <c r="B57" s="13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Row],[Paltas]:[Empanadas]],O$102:Z$102)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>
        <f>SUM(Tabla523[[#This Row],[Paltas]:[Empanadas]])</f>
        <v>0</v>
      </c>
      <c r="AB57" s="58"/>
    </row>
    <row r="58" spans="1:28" outlineLevel="1" x14ac:dyDescent="0.25">
      <c r="A58" s="152"/>
      <c r="B58" s="13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Row],[Paltas]:[Empanadas]],O$102:Z$102)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>
        <f>SUM(Tabla523[[#This Row],[Paltas]:[Empanadas]])</f>
        <v>0</v>
      </c>
      <c r="AB58" s="58"/>
    </row>
    <row r="59" spans="1:28" outlineLevel="1" x14ac:dyDescent="0.25">
      <c r="A59" s="152"/>
      <c r="B59" s="13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Row],[Paltas]:[Empanadas]],O$102:Z$102)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>
        <f>SUM(Tabla523[[#This Row],[Paltas]:[Empanadas]])</f>
        <v>0</v>
      </c>
      <c r="AB59" s="58"/>
    </row>
    <row r="60" spans="1:28" outlineLevel="1" x14ac:dyDescent="0.25">
      <c r="A60" s="152"/>
      <c r="B60" s="13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Row],[Paltas]:[Empanadas]],O$102:Z$102)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>
        <f>SUM(Tabla523[[#This Row],[Paltas]:[Empanadas]])</f>
        <v>0</v>
      </c>
      <c r="AB60" s="58"/>
    </row>
    <row r="61" spans="1:28" outlineLevel="1" x14ac:dyDescent="0.25">
      <c r="A61" s="152"/>
      <c r="B61" s="13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Row],[Paltas]:[Empanadas]],O$102:Z$102)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>
        <f>SUM(Tabla523[[#This Row],[Paltas]:[Empanadas]])</f>
        <v>0</v>
      </c>
      <c r="AB61" s="58"/>
    </row>
    <row r="62" spans="1:28" outlineLevel="1" x14ac:dyDescent="0.25">
      <c r="A62" s="152"/>
      <c r="B62" s="13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Row],[Paltas]:[Empanadas]],O$102:Z$102)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>
        <f>SUM(Tabla523[[#This Row],[Paltas]:[Empanadas]])</f>
        <v>0</v>
      </c>
      <c r="AB62" s="58"/>
    </row>
    <row r="63" spans="1:28" outlineLevel="1" x14ac:dyDescent="0.25">
      <c r="A63" s="152"/>
      <c r="B63" s="13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Row],[Paltas]:[Empanadas]],O$102:Z$102)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>
        <f>SUM(Tabla523[[#This Row],[Paltas]:[Empanadas]])</f>
        <v>0</v>
      </c>
      <c r="AB63" s="58"/>
    </row>
    <row r="64" spans="1:28" outlineLevel="1" x14ac:dyDescent="0.25">
      <c r="A64" s="152"/>
      <c r="B64" s="13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Row],[Paltas]:[Empanadas]],O$102:Z$102)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>
        <f>SUM(Tabla523[[#This Row],[Paltas]:[Empanadas]])</f>
        <v>0</v>
      </c>
      <c r="AB64" s="58"/>
    </row>
    <row r="65" spans="1:28" outlineLevel="1" x14ac:dyDescent="0.25">
      <c r="A65" s="152"/>
      <c r="B65" s="13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Row],[Paltas]:[Empanadas]],O$102:Z$102)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>
        <f>SUM(Tabla523[[#This Row],[Paltas]:[Empanadas]])</f>
        <v>0</v>
      </c>
      <c r="AB65" s="58"/>
    </row>
    <row r="66" spans="1:28" outlineLevel="1" x14ac:dyDescent="0.25">
      <c r="A66" s="152"/>
      <c r="B66" s="13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Row],[Paltas]:[Empanadas]],O$102:Z$102)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>
        <f>SUM(Tabla523[[#This Row],[Paltas]:[Empanadas]])</f>
        <v>0</v>
      </c>
      <c r="AB66" s="58"/>
    </row>
    <row r="67" spans="1:28" outlineLevel="1" x14ac:dyDescent="0.25">
      <c r="A67" s="152"/>
      <c r="B67" s="13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Row],[Paltas]:[Empanadas]],O$102:Z$102)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>
        <f>SUM(Tabla523[[#This Row],[Paltas]:[Empanadas]])</f>
        <v>0</v>
      </c>
      <c r="AB67" s="58"/>
    </row>
    <row r="68" spans="1:28" outlineLevel="1" x14ac:dyDescent="0.25">
      <c r="A68" s="152"/>
      <c r="B68" s="135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Row],[Paltas]:[Empanadas]],O$102:Z$102)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>
        <f>SUM(Tabla523[[#This Row],[Paltas]:[Empanadas]])</f>
        <v>0</v>
      </c>
      <c r="AB68" s="58"/>
    </row>
    <row r="69" spans="1:28" outlineLevel="1" x14ac:dyDescent="0.25">
      <c r="A69" s="152"/>
      <c r="B69" s="135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Row],[Paltas]:[Empanadas]],O$102:Z$102)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>
        <f>SUM(Tabla523[[#This Row],[Paltas]:[Empanadas]])</f>
        <v>0</v>
      </c>
      <c r="AB69" s="58"/>
    </row>
    <row r="70" spans="1:28" outlineLevel="1" x14ac:dyDescent="0.25">
      <c r="A70" s="152"/>
      <c r="B70" s="135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Row],[Paltas]:[Empanadas]],O$102:Z$102)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>
        <f>SUM(Tabla523[[#This Row],[Paltas]:[Empanadas]])</f>
        <v>0</v>
      </c>
      <c r="AB70" s="58"/>
    </row>
    <row r="71" spans="1:28" outlineLevel="1" x14ac:dyDescent="0.25">
      <c r="A71" s="152"/>
      <c r="B71" s="135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Row],[Paltas]:[Empanadas]],O$102:Z$102)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>
        <f>SUM(Tabla523[[#This Row],[Paltas]:[Empanadas]])</f>
        <v>0</v>
      </c>
      <c r="AB71" s="58"/>
    </row>
    <row r="72" spans="1:28" outlineLevel="1" x14ac:dyDescent="0.25">
      <c r="A72" s="152"/>
      <c r="B72" s="135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Row],[Paltas]:[Empanadas]],O$102:Z$102)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>
        <f>SUM(Tabla523[[#This Row],[Paltas]:[Empanadas]])</f>
        <v>0</v>
      </c>
      <c r="AB72" s="58"/>
    </row>
    <row r="73" spans="1:28" outlineLevel="1" x14ac:dyDescent="0.25">
      <c r="A73" s="152"/>
      <c r="B73" s="135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Row],[Paltas]:[Empanadas]],O$102:Z$102)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>
        <f>SUM(Tabla523[[#This Row],[Paltas]:[Empanadas]])</f>
        <v>0</v>
      </c>
      <c r="AB73" s="58"/>
    </row>
    <row r="74" spans="1:28" outlineLevel="1" x14ac:dyDescent="0.25">
      <c r="A74" s="152"/>
      <c r="B74" s="135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Row],[Paltas]:[Empanadas]],O$102:Z$102)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>
        <f>SUM(Tabla523[[#This Row],[Paltas]:[Empanadas]])</f>
        <v>0</v>
      </c>
      <c r="AB74" s="58"/>
    </row>
    <row r="75" spans="1:28" outlineLevel="1" x14ac:dyDescent="0.25">
      <c r="A75" s="152"/>
      <c r="B75" s="135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Row],[Paltas]:[Empanadas]],O$102:Z$102)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>
        <f>SUM(Tabla523[[#This Row],[Paltas]:[Empanadas]])</f>
        <v>0</v>
      </c>
      <c r="AB75" s="58"/>
    </row>
    <row r="76" spans="1:28" outlineLevel="1" x14ac:dyDescent="0.25">
      <c r="A76" s="152"/>
      <c r="B76" s="135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Row],[Paltas]:[Empanadas]],O$102:Z$102)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>
        <f>SUM(Tabla523[[#This Row],[Paltas]:[Empanadas]])</f>
        <v>0</v>
      </c>
      <c r="AB76" s="58"/>
    </row>
    <row r="77" spans="1:28" outlineLevel="1" x14ac:dyDescent="0.25">
      <c r="A77" s="152"/>
      <c r="B77" s="135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Row],[Paltas]:[Empanadas]],O$102:Z$102)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>
        <f>SUM(Tabla523[[#This Row],[Paltas]:[Empanadas]])</f>
        <v>0</v>
      </c>
      <c r="AB77" s="58"/>
    </row>
    <row r="78" spans="1:28" outlineLevel="1" x14ac:dyDescent="0.25">
      <c r="A78" s="152"/>
      <c r="B78" s="135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Joaquin Eichholz</v>
      </c>
      <c r="L78" s="52"/>
      <c r="M78" s="52"/>
      <c r="N78" s="70">
        <f>SUMPRODUCT(Tabla523[[#This Row],[Paltas]:[Empanadas]],O$102:Z$102)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>
        <f>SUM(Tabla523[[#This Row],[Paltas]:[Empanadas]])</f>
        <v>0</v>
      </c>
      <c r="AB78" s="58"/>
    </row>
    <row r="79" spans="1:28" outlineLevel="1" x14ac:dyDescent="0.25">
      <c r="A79" s="152"/>
      <c r="B79" s="135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Row],[Paltas]:[Empanadas]],O$102:Z$102)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>
        <f>SUM(Tabla523[[#This Row],[Paltas]:[Empanadas]])</f>
        <v>0</v>
      </c>
      <c r="AB79" s="58"/>
    </row>
    <row r="80" spans="1:28" outlineLevel="1" x14ac:dyDescent="0.25">
      <c r="A80" s="152"/>
      <c r="B80" s="135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Row],[Paltas]:[Empanadas]],O$102:Z$102)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>
        <f>SUM(Tabla523[[#This Row],[Paltas]:[Empanadas]])</f>
        <v>0</v>
      </c>
      <c r="AB80" s="58"/>
    </row>
    <row r="81" spans="1:28" outlineLevel="1" x14ac:dyDescent="0.25">
      <c r="A81" s="152"/>
      <c r="B81" s="135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Row],[Paltas]:[Empanadas]],O$102:Z$102)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>
        <f>SUM(Tabla523[[#This Row],[Paltas]:[Empanadas]])</f>
        <v>0</v>
      </c>
      <c r="AB81" s="58"/>
    </row>
    <row r="82" spans="1:28" outlineLevel="1" x14ac:dyDescent="0.25">
      <c r="A82" s="152"/>
      <c r="B82" s="135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Row],[Paltas]:[Empanadas]],O$102:Z$102)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>
        <f>SUM(Tabla523[[#This Row],[Paltas]:[Empanadas]])</f>
        <v>0</v>
      </c>
      <c r="AB82" s="58"/>
    </row>
    <row r="83" spans="1:28" outlineLevel="1" x14ac:dyDescent="0.25">
      <c r="A83" s="152"/>
      <c r="B83" s="135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Row],[Paltas]:[Empanadas]],O$102:Z$102)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>
        <f>SUM(Tabla523[[#This Row],[Paltas]:[Empanadas]])</f>
        <v>0</v>
      </c>
      <c r="AB83" s="58"/>
    </row>
    <row r="84" spans="1:28" outlineLevel="1" x14ac:dyDescent="0.25">
      <c r="A84" s="152"/>
      <c r="B84" s="135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Row],[Paltas]:[Empanadas]],O$102:Z$102)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>
        <f>SUM(Tabla523[[#This Row],[Paltas]:[Empanadas]])</f>
        <v>0</v>
      </c>
      <c r="AB84" s="58"/>
    </row>
    <row r="85" spans="1:28" outlineLevel="1" x14ac:dyDescent="0.25">
      <c r="A85" s="152"/>
      <c r="B85" s="135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Row],[Paltas]:[Empanadas]],O$102:Z$102)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>
        <f>SUM(Tabla523[[#This Row],[Paltas]:[Empanadas]])</f>
        <v>0</v>
      </c>
      <c r="AB85" s="58"/>
    </row>
    <row r="86" spans="1:28" outlineLevel="1" x14ac:dyDescent="0.25">
      <c r="A86" s="152"/>
      <c r="B86" s="135" t="str">
        <f>[1]Personas!A83</f>
        <v>Isidora</v>
      </c>
      <c r="C86" s="48" t="str">
        <f>[1]Personas!B83</f>
        <v>De La Barra</v>
      </c>
      <c r="D86" s="59" t="str">
        <f>[1]Personas!C83</f>
        <v>Parque Antonio Rabbat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Row],[Paltas]:[Empanadas]],O$102:Z$102)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>
        <f>SUM(Tabla523[[#This Row],[Paltas]:[Empanadas]])</f>
        <v>0</v>
      </c>
      <c r="AB86" s="58"/>
    </row>
    <row r="87" spans="1:28" outlineLevel="1" x14ac:dyDescent="0.25">
      <c r="A87" s="152"/>
      <c r="B87" s="135" t="str">
        <f>[1]Personas!A84</f>
        <v>Juan Pablo</v>
      </c>
      <c r="C87" s="48" t="str">
        <f>[1]Personas!B84</f>
        <v>Germain</v>
      </c>
      <c r="D87" s="59" t="str">
        <f>[1]Personas!C84</f>
        <v>Santa Veronica 1035</v>
      </c>
      <c r="E87" s="59" t="str">
        <f>[1]Personas!D84</f>
        <v>Las Condes</v>
      </c>
      <c r="F87" s="59" t="str">
        <f>[1]Personas!E84</f>
        <v>San Carlos</v>
      </c>
      <c r="G87" s="59" t="str">
        <f>[1]Personas!F84</f>
        <v>UC</v>
      </c>
      <c r="H87" s="59" t="str">
        <f>[1]Personas!G84</f>
        <v>JEFE</v>
      </c>
      <c r="I87" s="60">
        <f>[1]Personas!H84</f>
        <v>56966685970</v>
      </c>
      <c r="J87" s="27" t="str">
        <f>[1]Personas!I84</f>
        <v>jpgermain17@gmail.com</v>
      </c>
      <c r="K87" s="27" t="str">
        <f>[1]Personas!J84</f>
        <v>Joaquin Eichholz</v>
      </c>
      <c r="L87" s="52"/>
      <c r="M87" s="52"/>
      <c r="N87" s="70">
        <f>SUMPRODUCT(Tabla523[[#This Row],[Paltas]:[Empanadas]],O$102:Z$102)</f>
        <v>0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>
        <f>SUM(Tabla523[[#This Row],[Paltas]:[Empanadas]])</f>
        <v>0</v>
      </c>
      <c r="AB87" s="58"/>
    </row>
    <row r="88" spans="1:28" outlineLevel="1" x14ac:dyDescent="0.25">
      <c r="A88" s="152"/>
      <c r="B88" s="135" t="str">
        <f>[1]Personas!A85</f>
        <v>Matias</v>
      </c>
      <c r="C88" s="48" t="str">
        <f>[1]Personas!B85</f>
        <v>Muschen</v>
      </c>
      <c r="D88" s="59" t="str">
        <f>[1]Personas!C85</f>
        <v>Las Condesas 2035</v>
      </c>
      <c r="E88" s="59" t="str">
        <f>[1]Personas!D85</f>
        <v>Las Condes</v>
      </c>
      <c r="F88" s="59" t="str">
        <f>[1]Personas!E85</f>
        <v>San Carlos</v>
      </c>
      <c r="G88" s="59" t="str">
        <f>[1]Personas!F85</f>
        <v>Aleman</v>
      </c>
      <c r="H88" s="59" t="str">
        <f>[1]Personas!G85</f>
        <v>JEFE</v>
      </c>
      <c r="I88" s="60">
        <f>[1]Personas!H85</f>
        <v>56990163951</v>
      </c>
      <c r="J88" s="27" t="str">
        <f>[1]Personas!I85</f>
        <v>matimuschen@gmail.com</v>
      </c>
      <c r="K88" s="27" t="str">
        <f>[1]Personas!J85</f>
        <v>Lukas Quense</v>
      </c>
      <c r="L88" s="52"/>
      <c r="M88" s="52"/>
      <c r="N88" s="70">
        <f>SUMPRODUCT(Tabla523[[#This Row],[Paltas]:[Empanadas]],O$102:Z$102)</f>
        <v>0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>
        <f>SUM(Tabla523[[#This Row],[Paltas]:[Empanadas]])</f>
        <v>0</v>
      </c>
      <c r="AB88" s="58"/>
    </row>
    <row r="89" spans="1:28" outlineLevel="1" x14ac:dyDescent="0.25">
      <c r="A89" s="152"/>
      <c r="B89" s="135" t="str">
        <f>[1]Personas!A86</f>
        <v>Pia</v>
      </c>
      <c r="C89" s="48" t="str">
        <f>[1]Personas!B86</f>
        <v>Rodriguez</v>
      </c>
      <c r="D89" s="59" t="str">
        <f>[1]Personas!C86</f>
        <v>Camino Mirasol 2569</v>
      </c>
      <c r="E89" s="59" t="str">
        <f>[1]Personas!D86</f>
        <v>Las Condes</v>
      </c>
      <c r="F89" s="59" t="str">
        <f>[1]Personas!E86</f>
        <v>San Carlos</v>
      </c>
      <c r="G89" s="59">
        <f>[1]Personas!F86</f>
        <v>0</v>
      </c>
      <c r="H89" s="59" t="str">
        <f>[1]Personas!G86</f>
        <v>JEFE</v>
      </c>
      <c r="I89" s="60">
        <f>[1]Personas!H86</f>
        <v>56978945335</v>
      </c>
      <c r="J89" s="27" t="str">
        <f>[1]Personas!I86</f>
        <v>piarodriguez24@gmail.com</v>
      </c>
      <c r="K89" s="27" t="str">
        <f>[1]Personas!J86</f>
        <v>Lukas Quense</v>
      </c>
      <c r="L89" s="52"/>
      <c r="M89" s="52"/>
      <c r="N89" s="70">
        <f>SUMPRODUCT(Tabla523[[#This Row],[Paltas]:[Empanadas]],O$102:Z$102)</f>
        <v>0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>
        <f>SUM(Tabla523[[#This Row],[Paltas]:[Empanadas]])</f>
        <v>0</v>
      </c>
      <c r="AB89" s="58"/>
    </row>
    <row r="90" spans="1:28" outlineLevel="1" x14ac:dyDescent="0.25">
      <c r="A90" s="152"/>
      <c r="B90" s="135" t="str">
        <f>[1]Personas!A87</f>
        <v>Gino</v>
      </c>
      <c r="C90" s="48" t="str">
        <f>[1]Personas!B87</f>
        <v>Genova</v>
      </c>
      <c r="D90" s="59">
        <f>[1]Personas!C87</f>
        <v>0</v>
      </c>
      <c r="E90" s="59">
        <f>[1]Personas!D87</f>
        <v>0</v>
      </c>
      <c r="F90" s="59">
        <f>[1]Personas!E87</f>
        <v>0</v>
      </c>
      <c r="G90" s="59">
        <f>[1]Personas!F87</f>
        <v>0</v>
      </c>
      <c r="H90" s="59">
        <f>[1]Personas!G87</f>
        <v>0</v>
      </c>
      <c r="I90" s="60">
        <f>[1]Personas!H87</f>
        <v>0</v>
      </c>
      <c r="J90" s="27">
        <f>[1]Personas!I87</f>
        <v>0</v>
      </c>
      <c r="K90" s="27" t="str">
        <f>[1]Personas!J87</f>
        <v>Joaquin Eichholz</v>
      </c>
      <c r="L90" s="52"/>
      <c r="M90" s="52"/>
      <c r="N90" s="70">
        <f>SUMPRODUCT(Tabla523[[#This Row],[Paltas]:[Empanadas]],O$102:Z$102)</f>
        <v>0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>
        <f>SUM(Tabla523[[#This Row],[Paltas]:[Empanadas]])</f>
        <v>0</v>
      </c>
      <c r="AB90" s="58"/>
    </row>
    <row r="91" spans="1:28" outlineLevel="1" x14ac:dyDescent="0.25">
      <c r="A91" s="152"/>
      <c r="B91" s="135" t="str">
        <f>[1]Personas!A88</f>
        <v>Isidora</v>
      </c>
      <c r="C91" s="48" t="str">
        <f>[1]Personas!B88</f>
        <v>Badia</v>
      </c>
      <c r="D91" s="59" t="str">
        <f>[1]Personas!C88</f>
        <v>Av Golf Lomas de La Dehesa 11755</v>
      </c>
      <c r="E91" s="59" t="str">
        <f>[1]Personas!D88</f>
        <v>Lo Barnechea</v>
      </c>
      <c r="F91" s="59" t="str">
        <f>[1]Personas!E88</f>
        <v>Los Trapenses</v>
      </c>
      <c r="G91" s="59" t="str">
        <f>[1]Personas!F88</f>
        <v>UAI</v>
      </c>
      <c r="H91" s="59" t="str">
        <f>[1]Personas!G88</f>
        <v>JEFE</v>
      </c>
      <c r="I91" s="60">
        <f>[1]Personas!H88</f>
        <v>56976994719</v>
      </c>
      <c r="J91" s="27" t="str">
        <f>[1]Personas!I88</f>
        <v>isidorabadiaw@gmail.com</v>
      </c>
      <c r="K91" s="27" t="str">
        <f>[1]Personas!J88</f>
        <v>Lukas Quense</v>
      </c>
      <c r="L91" s="52"/>
      <c r="M91" s="52"/>
      <c r="N91" s="70">
        <f>SUMPRODUCT(Tabla523[[#This Row],[Paltas]:[Empanadas]],O$102:Z$102)</f>
        <v>0</v>
      </c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>
        <f>SUM(Tabla523[[#This Row],[Paltas]:[Empanadas]])</f>
        <v>0</v>
      </c>
      <c r="AB91" s="58"/>
    </row>
    <row r="92" spans="1:28" ht="15.75" outlineLevel="1" thickBot="1" x14ac:dyDescent="0.3">
      <c r="A92" s="153"/>
      <c r="B92" s="137" t="str">
        <f>[1]Personas!A89</f>
        <v>Tati</v>
      </c>
      <c r="C92" s="14" t="str">
        <f>[1]Personas!B89</f>
        <v>Von Storch</v>
      </c>
      <c r="D92" s="65" t="str">
        <f>[1]Personas!C89</f>
        <v>Carlos Peña Otaegui 11472</v>
      </c>
      <c r="E92" s="65" t="str">
        <f>[1]Personas!D89</f>
        <v>Las Condes</v>
      </c>
      <c r="F92" s="65">
        <f>[1]Personas!E89</f>
        <v>0</v>
      </c>
      <c r="G92" s="65">
        <f>[1]Personas!F89</f>
        <v>0</v>
      </c>
      <c r="H92" s="65" t="str">
        <f>[1]Personas!G89</f>
        <v>JEFE</v>
      </c>
      <c r="I92" s="66">
        <f>[1]Personas!H89</f>
        <v>56977895588</v>
      </c>
      <c r="J92" s="46" t="str">
        <f>[1]Personas!I89</f>
        <v>tevonstorch@uc.cl</v>
      </c>
      <c r="K92" s="46" t="str">
        <f>[1]Personas!J89</f>
        <v>Lukas Quense</v>
      </c>
      <c r="L92" s="16"/>
      <c r="M92" s="16"/>
      <c r="N92" s="71">
        <f>SUMPRODUCT(Tabla523[[#This Row],[Paltas]:[Empanadas]],O$102:Z$102)</f>
        <v>0</v>
      </c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>
        <f>SUM(Tabla523[[#This Row],[Paltas]:[Empanadas]])</f>
        <v>0</v>
      </c>
      <c r="AB92" s="45"/>
    </row>
    <row r="93" spans="1:28" outlineLevel="1" x14ac:dyDescent="0.25">
      <c r="A93" s="18"/>
      <c r="B93" s="19"/>
      <c r="C93" s="19"/>
      <c r="D93" s="19"/>
      <c r="E93" s="19"/>
      <c r="F93" s="19"/>
      <c r="G93" s="19"/>
      <c r="H93" s="19"/>
      <c r="I93" s="32"/>
      <c r="J93" s="31"/>
      <c r="K93" s="31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</row>
    <row r="94" spans="1:28" ht="15.75" thickBot="1" x14ac:dyDescent="0.3"/>
    <row r="95" spans="1:28" ht="14.65" customHeight="1" thickBot="1" x14ac:dyDescent="0.3">
      <c r="A95" s="172" t="s">
        <v>20</v>
      </c>
      <c r="B95" s="163" t="s">
        <v>7</v>
      </c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5"/>
      <c r="N95" s="41" t="s">
        <v>9</v>
      </c>
      <c r="O95" s="8">
        <f>SUM(Tabla523[Paltas])</f>
        <v>0</v>
      </c>
      <c r="P95" s="49">
        <f>SUM(Tabla523[Quesos])</f>
        <v>0</v>
      </c>
      <c r="Q95" s="49">
        <f>SUM(Tabla523[Frutillas])</f>
        <v>0</v>
      </c>
      <c r="R95" s="49">
        <f>SUM(Tabla523[Tomate Cherry])</f>
        <v>0</v>
      </c>
      <c r="S95" s="49">
        <f>SUM(Tabla523[Nueces])</f>
        <v>0</v>
      </c>
      <c r="T95" s="49">
        <f>SUM(Tabla523[Mani])</f>
        <v>0</v>
      </c>
      <c r="U95" s="49">
        <f>SUM(Tabla523[Pistachos])</f>
        <v>0</v>
      </c>
      <c r="V95" s="49">
        <f>SUM(Tabla523[Caju])</f>
        <v>0</v>
      </c>
      <c r="W95" s="49">
        <f>SUM(Tabla523[Almendras])</f>
        <v>0</v>
      </c>
      <c r="X95" s="49">
        <f>SUM(Tabla523[Cerezas])</f>
        <v>0</v>
      </c>
      <c r="Y95" s="49">
        <f>SUM(Tabla523[Arandanos])</f>
        <v>0</v>
      </c>
      <c r="Z95" s="4">
        <f>SUM(Tabla523[Empanadas])</f>
        <v>0</v>
      </c>
    </row>
    <row r="96" spans="1:28" ht="14.65" customHeight="1" thickBot="1" x14ac:dyDescent="0.3">
      <c r="A96" s="173"/>
      <c r="B96" s="181"/>
      <c r="C96" s="182"/>
      <c r="D96" s="182"/>
      <c r="E96" s="182"/>
      <c r="F96" s="182"/>
      <c r="G96" s="182"/>
      <c r="H96" s="182"/>
      <c r="I96" s="182"/>
      <c r="J96" s="182"/>
      <c r="K96" s="182"/>
      <c r="L96" s="182"/>
      <c r="M96" s="183"/>
      <c r="N96" s="41" t="s">
        <v>28</v>
      </c>
      <c r="O96" s="9">
        <v>5</v>
      </c>
      <c r="P96" s="52">
        <v>4</v>
      </c>
      <c r="Q96" s="52">
        <v>2</v>
      </c>
      <c r="R96" s="37">
        <v>1</v>
      </c>
      <c r="S96" s="73">
        <v>0.5</v>
      </c>
      <c r="T96" s="73">
        <v>1</v>
      </c>
      <c r="U96" s="73">
        <v>0.5</v>
      </c>
      <c r="V96" s="73">
        <v>0.4</v>
      </c>
      <c r="W96" s="73">
        <v>0.5</v>
      </c>
      <c r="X96" s="73">
        <v>5</v>
      </c>
      <c r="Y96" s="73">
        <v>0.5</v>
      </c>
      <c r="Z96" s="38">
        <v>12</v>
      </c>
    </row>
    <row r="97" spans="1:26" ht="14.65" customHeight="1" thickBot="1" x14ac:dyDescent="0.3">
      <c r="A97" s="173"/>
      <c r="B97" s="181"/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3"/>
      <c r="N97" s="41" t="s">
        <v>8</v>
      </c>
      <c r="O97" s="9">
        <f>O96*O95</f>
        <v>0</v>
      </c>
      <c r="P97" s="52">
        <f t="shared" ref="P97:S97" si="0">P96*P95</f>
        <v>0</v>
      </c>
      <c r="Q97" s="52">
        <f t="shared" si="0"/>
        <v>0</v>
      </c>
      <c r="R97" s="52">
        <f t="shared" si="0"/>
        <v>0</v>
      </c>
      <c r="S97" s="52">
        <f t="shared" si="0"/>
        <v>0</v>
      </c>
      <c r="T97" s="52">
        <f t="shared" ref="T97:Y97" si="1">T96*T95</f>
        <v>0</v>
      </c>
      <c r="U97" s="52">
        <f t="shared" si="1"/>
        <v>0</v>
      </c>
      <c r="V97" s="52">
        <f t="shared" si="1"/>
        <v>0</v>
      </c>
      <c r="W97" s="52">
        <f t="shared" si="1"/>
        <v>0</v>
      </c>
      <c r="X97" s="52">
        <f t="shared" si="1"/>
        <v>0</v>
      </c>
      <c r="Y97" s="52">
        <f t="shared" si="1"/>
        <v>0</v>
      </c>
      <c r="Z97" s="11">
        <f t="shared" ref="Z97" si="2">Z96*Z95</f>
        <v>0</v>
      </c>
    </row>
    <row r="98" spans="1:26" ht="15.75" thickBot="1" x14ac:dyDescent="0.3">
      <c r="A98" s="173"/>
      <c r="B98" s="166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8"/>
      <c r="N98" s="41" t="s">
        <v>10</v>
      </c>
      <c r="O98" s="10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2"/>
    </row>
    <row r="99" spans="1:26" ht="15.75" thickBot="1" x14ac:dyDescent="0.3">
      <c r="A99" s="173"/>
      <c r="B99" s="42"/>
      <c r="C99" s="19"/>
      <c r="D99" s="23"/>
      <c r="E99" s="24"/>
      <c r="F99" s="24"/>
      <c r="G99" s="24"/>
      <c r="H99" s="24"/>
      <c r="I99" s="24"/>
      <c r="J99" s="24"/>
      <c r="K99" s="25"/>
      <c r="N99" s="3"/>
    </row>
    <row r="100" spans="1:26" ht="15.75" thickBot="1" x14ac:dyDescent="0.3">
      <c r="A100" s="173"/>
      <c r="B100" s="163" t="s">
        <v>12</v>
      </c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5"/>
      <c r="N100" s="41" t="s">
        <v>13</v>
      </c>
      <c r="O100" s="54">
        <v>3100</v>
      </c>
      <c r="P100" s="51">
        <v>6716</v>
      </c>
      <c r="Q100" s="51">
        <v>2600</v>
      </c>
      <c r="R100" s="51">
        <v>2300</v>
      </c>
      <c r="S100" s="51">
        <f t="shared" ref="S100" si="3">S101*S96</f>
        <v>3750</v>
      </c>
      <c r="T100" s="51">
        <f t="shared" ref="T100:Y100" si="4">T101*T96</f>
        <v>3500</v>
      </c>
      <c r="U100" s="51">
        <f t="shared" si="4"/>
        <v>7050</v>
      </c>
      <c r="V100" s="51">
        <f t="shared" si="4"/>
        <v>5320</v>
      </c>
      <c r="W100" s="51">
        <f t="shared" si="4"/>
        <v>5350</v>
      </c>
      <c r="X100" s="51">
        <f t="shared" si="4"/>
        <v>6000</v>
      </c>
      <c r="Y100" s="51">
        <f t="shared" si="4"/>
        <v>600</v>
      </c>
      <c r="Z100" s="15">
        <f t="shared" ref="Z100" si="5">Z101*Z96</f>
        <v>12000</v>
      </c>
    </row>
    <row r="101" spans="1:26" ht="15.75" thickBot="1" x14ac:dyDescent="0.3">
      <c r="A101" s="173"/>
      <c r="B101" s="181"/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3"/>
      <c r="N101" s="41" t="s">
        <v>8</v>
      </c>
      <c r="O101" s="77">
        <v>1550</v>
      </c>
      <c r="P101" s="76">
        <v>6716</v>
      </c>
      <c r="Q101" s="76">
        <v>1300</v>
      </c>
      <c r="R101" s="76">
        <v>2300</v>
      </c>
      <c r="S101" s="76">
        <v>7500</v>
      </c>
      <c r="T101" s="76">
        <v>3500</v>
      </c>
      <c r="U101" s="76">
        <v>14100</v>
      </c>
      <c r="V101" s="76">
        <v>13300</v>
      </c>
      <c r="W101" s="76">
        <v>10700</v>
      </c>
      <c r="X101" s="76">
        <f>6000/5</f>
        <v>1200</v>
      </c>
      <c r="Y101" s="76">
        <f>6000/5</f>
        <v>1200</v>
      </c>
      <c r="Z101" s="80">
        <v>1000</v>
      </c>
    </row>
    <row r="102" spans="1:26" ht="15.75" thickBot="1" x14ac:dyDescent="0.3">
      <c r="A102" s="173"/>
      <c r="B102" s="166"/>
      <c r="C102" s="167"/>
      <c r="D102" s="167"/>
      <c r="E102" s="167"/>
      <c r="F102" s="167"/>
      <c r="G102" s="167"/>
      <c r="H102" s="167"/>
      <c r="I102" s="167"/>
      <c r="J102" s="167"/>
      <c r="K102" s="167"/>
      <c r="L102" s="167"/>
      <c r="M102" s="168"/>
      <c r="N102" s="41" t="s">
        <v>14</v>
      </c>
      <c r="O102" s="78">
        <v>4500</v>
      </c>
      <c r="P102" s="79">
        <v>7500</v>
      </c>
      <c r="Q102" s="79">
        <v>4500</v>
      </c>
      <c r="R102" s="79">
        <v>4500</v>
      </c>
      <c r="S102" s="79">
        <v>5500</v>
      </c>
      <c r="T102" s="79">
        <v>4500</v>
      </c>
      <c r="U102" s="79">
        <v>8500</v>
      </c>
      <c r="V102" s="79">
        <v>7500</v>
      </c>
      <c r="W102" s="79">
        <v>7500</v>
      </c>
      <c r="X102" s="79">
        <v>9500</v>
      </c>
      <c r="Y102" s="79">
        <v>4500</v>
      </c>
      <c r="Z102" s="81">
        <v>17500</v>
      </c>
    </row>
    <row r="103" spans="1:26" ht="15.75" thickBot="1" x14ac:dyDescent="0.3">
      <c r="A103" s="173"/>
      <c r="B103" s="42"/>
      <c r="C103" s="19"/>
      <c r="D103" s="23"/>
      <c r="E103" s="24"/>
      <c r="F103" s="24"/>
      <c r="G103" s="24"/>
      <c r="H103" s="24"/>
      <c r="I103" s="24"/>
      <c r="J103" s="24"/>
      <c r="K103" s="25"/>
      <c r="N103" s="3"/>
    </row>
    <row r="104" spans="1:26" ht="14.65" customHeight="1" thickBot="1" x14ac:dyDescent="0.3">
      <c r="A104" s="173"/>
      <c r="B104" s="163" t="s">
        <v>15</v>
      </c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5"/>
      <c r="N104" s="41" t="s">
        <v>19</v>
      </c>
      <c r="O104" s="87">
        <f>O95*O100</f>
        <v>0</v>
      </c>
      <c r="P104" s="88">
        <f t="shared" ref="P104:S104" si="6">P95*P100</f>
        <v>0</v>
      </c>
      <c r="Q104" s="88">
        <f t="shared" si="6"/>
        <v>0</v>
      </c>
      <c r="R104" s="89">
        <f t="shared" si="6"/>
        <v>0</v>
      </c>
      <c r="S104" s="88">
        <f t="shared" si="6"/>
        <v>0</v>
      </c>
      <c r="T104" s="88">
        <f t="shared" ref="T104:Z104" si="7">T95*T100</f>
        <v>0</v>
      </c>
      <c r="U104" s="88">
        <f t="shared" si="7"/>
        <v>0</v>
      </c>
      <c r="V104" s="88">
        <f t="shared" si="7"/>
        <v>0</v>
      </c>
      <c r="W104" s="88">
        <f t="shared" si="7"/>
        <v>0</v>
      </c>
      <c r="X104" s="88">
        <f t="shared" si="7"/>
        <v>0</v>
      </c>
      <c r="Y104" s="88">
        <f t="shared" si="7"/>
        <v>0</v>
      </c>
      <c r="Z104" s="90">
        <f t="shared" si="7"/>
        <v>0</v>
      </c>
    </row>
    <row r="105" spans="1:26" ht="15.75" thickBot="1" x14ac:dyDescent="0.3">
      <c r="A105" s="173"/>
      <c r="B105" s="166"/>
      <c r="C105" s="167"/>
      <c r="D105" s="167"/>
      <c r="E105" s="167"/>
      <c r="F105" s="167"/>
      <c r="G105" s="167"/>
      <c r="H105" s="167"/>
      <c r="I105" s="167"/>
      <c r="J105" s="167"/>
      <c r="K105" s="167"/>
      <c r="L105" s="167"/>
      <c r="M105" s="168"/>
      <c r="N105" s="41" t="s">
        <v>16</v>
      </c>
      <c r="O105" s="160">
        <f>SUM(O104:Z104)</f>
        <v>0</v>
      </c>
      <c r="P105" s="161"/>
      <c r="Q105" s="161"/>
      <c r="R105" s="161"/>
      <c r="S105" s="161"/>
      <c r="T105" s="161"/>
      <c r="U105" s="161"/>
      <c r="V105" s="161"/>
      <c r="W105" s="161"/>
      <c r="X105" s="161"/>
      <c r="Y105" s="161"/>
      <c r="Z105" s="162"/>
    </row>
    <row r="106" spans="1:26" ht="15.75" thickBot="1" x14ac:dyDescent="0.3">
      <c r="A106" s="173"/>
      <c r="B106" s="163" t="s">
        <v>17</v>
      </c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5"/>
      <c r="N106" s="41" t="s">
        <v>19</v>
      </c>
      <c r="O106" s="50">
        <f t="shared" ref="O106:Z106" si="8">O102*O95</f>
        <v>0</v>
      </c>
      <c r="P106" s="48">
        <f t="shared" si="8"/>
        <v>0</v>
      </c>
      <c r="Q106" s="48">
        <f t="shared" si="8"/>
        <v>0</v>
      </c>
      <c r="R106" s="48">
        <f t="shared" si="8"/>
        <v>0</v>
      </c>
      <c r="S106" s="48">
        <f t="shared" si="8"/>
        <v>0</v>
      </c>
      <c r="T106" s="48">
        <f t="shared" si="8"/>
        <v>0</v>
      </c>
      <c r="U106" s="48">
        <f t="shared" si="8"/>
        <v>0</v>
      </c>
      <c r="V106" s="48">
        <f t="shared" si="8"/>
        <v>0</v>
      </c>
      <c r="W106" s="48">
        <f t="shared" si="8"/>
        <v>0</v>
      </c>
      <c r="X106" s="48">
        <f t="shared" si="8"/>
        <v>0</v>
      </c>
      <c r="Y106" s="48">
        <f t="shared" si="8"/>
        <v>0</v>
      </c>
      <c r="Z106" s="91">
        <f t="shared" si="8"/>
        <v>0</v>
      </c>
    </row>
    <row r="107" spans="1:26" ht="15.75" thickBot="1" x14ac:dyDescent="0.3">
      <c r="A107" s="173"/>
      <c r="B107" s="166"/>
      <c r="C107" s="167"/>
      <c r="D107" s="167"/>
      <c r="E107" s="167"/>
      <c r="F107" s="167"/>
      <c r="G107" s="167"/>
      <c r="H107" s="167"/>
      <c r="I107" s="167"/>
      <c r="J107" s="167"/>
      <c r="K107" s="167"/>
      <c r="L107" s="167"/>
      <c r="M107" s="168"/>
      <c r="N107" s="41" t="s">
        <v>16</v>
      </c>
      <c r="O107" s="160">
        <f>SUM(O106:Z106)</f>
        <v>0</v>
      </c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2"/>
    </row>
    <row r="108" spans="1:26" ht="14.65" customHeight="1" thickBot="1" x14ac:dyDescent="0.3">
      <c r="A108" s="173"/>
      <c r="B108" s="163" t="s">
        <v>18</v>
      </c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5"/>
      <c r="N108" s="41" t="s">
        <v>19</v>
      </c>
      <c r="O108" s="50">
        <f>O106-O104</f>
        <v>0</v>
      </c>
      <c r="P108" s="48">
        <f t="shared" ref="P108:Y108" si="9">P106-P104</f>
        <v>0</v>
      </c>
      <c r="Q108" s="48">
        <f t="shared" si="9"/>
        <v>0</v>
      </c>
      <c r="R108" s="48">
        <f t="shared" si="9"/>
        <v>0</v>
      </c>
      <c r="S108" s="48">
        <f t="shared" si="9"/>
        <v>0</v>
      </c>
      <c r="T108" s="48">
        <f t="shared" si="9"/>
        <v>0</v>
      </c>
      <c r="U108" s="48">
        <f t="shared" si="9"/>
        <v>0</v>
      </c>
      <c r="V108" s="48">
        <f t="shared" si="9"/>
        <v>0</v>
      </c>
      <c r="W108" s="48">
        <f t="shared" si="9"/>
        <v>0</v>
      </c>
      <c r="X108" s="48">
        <f t="shared" si="9"/>
        <v>0</v>
      </c>
      <c r="Y108" s="48">
        <f t="shared" si="9"/>
        <v>0</v>
      </c>
      <c r="Z108" s="91">
        <f>Z106-Z104</f>
        <v>0</v>
      </c>
    </row>
    <row r="109" spans="1:26" ht="29.65" customHeight="1" thickBot="1" x14ac:dyDescent="0.3">
      <c r="A109" s="173"/>
      <c r="B109" s="166"/>
      <c r="C109" s="167"/>
      <c r="D109" s="167"/>
      <c r="E109" s="167"/>
      <c r="F109" s="167"/>
      <c r="G109" s="167"/>
      <c r="H109" s="167"/>
      <c r="I109" s="167"/>
      <c r="J109" s="167"/>
      <c r="K109" s="167"/>
      <c r="L109" s="167"/>
      <c r="M109" s="168"/>
      <c r="N109" s="41" t="s">
        <v>29</v>
      </c>
      <c r="O109" s="157">
        <f>O107-O105</f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9"/>
    </row>
    <row r="110" spans="1:26" ht="15.75" thickBot="1" x14ac:dyDescent="0.3">
      <c r="A110" s="173"/>
    </row>
    <row r="111" spans="1:26" ht="14.65" customHeight="1" thickBot="1" x14ac:dyDescent="0.3">
      <c r="A111" s="173"/>
      <c r="B111" s="184" t="s">
        <v>25</v>
      </c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186"/>
      <c r="O111" s="175" t="s">
        <v>26</v>
      </c>
      <c r="P111" s="176"/>
      <c r="Q111" s="177"/>
      <c r="R111" s="29" t="s">
        <v>27</v>
      </c>
      <c r="S111" s="5"/>
      <c r="T111" s="5"/>
      <c r="U111" s="5"/>
      <c r="V111" s="5"/>
      <c r="W111" s="5"/>
      <c r="X111" s="5"/>
      <c r="Y111" s="5"/>
      <c r="Z111" s="5"/>
    </row>
    <row r="112" spans="1:26" ht="15" customHeight="1" x14ac:dyDescent="0.25">
      <c r="A112" s="173"/>
      <c r="B112" s="187"/>
      <c r="C112" s="188"/>
      <c r="D112" s="188"/>
      <c r="E112" s="188"/>
      <c r="F112" s="188"/>
      <c r="G112" s="188"/>
      <c r="H112" s="188"/>
      <c r="I112" s="188"/>
      <c r="J112" s="188"/>
      <c r="K112" s="188"/>
      <c r="L112" s="188"/>
      <c r="M112" s="188"/>
      <c r="N112" s="189"/>
      <c r="O112" s="145"/>
      <c r="P112" s="146"/>
      <c r="Q112" s="147"/>
      <c r="R112" s="33"/>
      <c r="S112" s="6"/>
      <c r="T112" s="6"/>
      <c r="U112" s="6"/>
      <c r="V112" s="6"/>
      <c r="W112" s="6"/>
      <c r="X112" s="6"/>
      <c r="Y112" s="6"/>
      <c r="Z112" s="6"/>
    </row>
    <row r="113" spans="1:26" ht="15" customHeight="1" x14ac:dyDescent="0.25">
      <c r="A113" s="173"/>
      <c r="B113" s="187"/>
      <c r="C113" s="188"/>
      <c r="D113" s="188"/>
      <c r="E113" s="188"/>
      <c r="F113" s="188"/>
      <c r="G113" s="188"/>
      <c r="H113" s="188"/>
      <c r="I113" s="188"/>
      <c r="J113" s="188"/>
      <c r="K113" s="188"/>
      <c r="L113" s="188"/>
      <c r="M113" s="188"/>
      <c r="N113" s="189"/>
      <c r="O113" s="142"/>
      <c r="P113" s="143"/>
      <c r="Q113" s="144"/>
      <c r="R113" s="34"/>
      <c r="S113" s="6"/>
      <c r="T113" s="6"/>
      <c r="U113" s="6"/>
      <c r="V113" s="6"/>
      <c r="W113" s="6"/>
      <c r="X113" s="6"/>
      <c r="Y113" s="6"/>
      <c r="Z113" s="6"/>
    </row>
    <row r="114" spans="1:26" ht="15" customHeight="1" x14ac:dyDescent="0.25">
      <c r="A114" s="173"/>
      <c r="B114" s="187"/>
      <c r="C114" s="188"/>
      <c r="D114" s="188"/>
      <c r="E114" s="188"/>
      <c r="F114" s="188"/>
      <c r="G114" s="188"/>
      <c r="H114" s="188"/>
      <c r="I114" s="188"/>
      <c r="J114" s="188"/>
      <c r="K114" s="188"/>
      <c r="L114" s="188"/>
      <c r="M114" s="188"/>
      <c r="N114" s="189"/>
      <c r="O114" s="142"/>
      <c r="P114" s="143"/>
      <c r="Q114" s="144"/>
      <c r="R114" s="34"/>
      <c r="S114" s="6"/>
      <c r="T114" s="6"/>
      <c r="U114" s="6"/>
      <c r="V114" s="6"/>
      <c r="W114" s="6"/>
      <c r="X114" s="6"/>
      <c r="Y114" s="6"/>
      <c r="Z114" s="6"/>
    </row>
    <row r="115" spans="1:26" ht="15" customHeight="1" x14ac:dyDescent="0.25">
      <c r="A115" s="173"/>
      <c r="B115" s="187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  <c r="N115" s="189"/>
      <c r="O115" s="142"/>
      <c r="P115" s="143"/>
      <c r="Q115" s="144"/>
      <c r="R115" s="34"/>
      <c r="S115" s="6"/>
      <c r="T115" s="6"/>
      <c r="U115" s="6"/>
      <c r="V115" s="6"/>
      <c r="W115" s="6"/>
      <c r="X115" s="6"/>
      <c r="Y115" s="6"/>
      <c r="Z115" s="6"/>
    </row>
    <row r="116" spans="1:26" ht="15" customHeight="1" x14ac:dyDescent="0.25">
      <c r="A116" s="173"/>
      <c r="B116" s="187"/>
      <c r="C116" s="188"/>
      <c r="D116" s="188"/>
      <c r="E116" s="188"/>
      <c r="F116" s="188"/>
      <c r="G116" s="188"/>
      <c r="H116" s="188"/>
      <c r="I116" s="188"/>
      <c r="J116" s="188"/>
      <c r="K116" s="188"/>
      <c r="L116" s="188"/>
      <c r="M116" s="188"/>
      <c r="N116" s="189"/>
      <c r="O116" s="142"/>
      <c r="P116" s="143"/>
      <c r="Q116" s="144"/>
      <c r="R116" s="34"/>
      <c r="S116" s="6"/>
      <c r="T116" s="6"/>
      <c r="U116" s="6"/>
      <c r="V116" s="6"/>
      <c r="W116" s="6"/>
      <c r="X116" s="6"/>
      <c r="Y116" s="6"/>
      <c r="Z116" s="6"/>
    </row>
    <row r="117" spans="1:26" ht="15" customHeight="1" x14ac:dyDescent="0.25">
      <c r="A117" s="173"/>
      <c r="B117" s="187"/>
      <c r="C117" s="188"/>
      <c r="D117" s="188"/>
      <c r="E117" s="188"/>
      <c r="F117" s="188"/>
      <c r="G117" s="188"/>
      <c r="H117" s="188"/>
      <c r="I117" s="188"/>
      <c r="J117" s="188"/>
      <c r="K117" s="188"/>
      <c r="L117" s="188"/>
      <c r="M117" s="188"/>
      <c r="N117" s="189"/>
      <c r="O117" s="142"/>
      <c r="P117" s="143"/>
      <c r="Q117" s="144"/>
      <c r="R117" s="34"/>
      <c r="S117" s="6"/>
      <c r="T117" s="6"/>
      <c r="U117" s="6"/>
      <c r="V117" s="6"/>
      <c r="W117" s="6"/>
      <c r="X117" s="6"/>
      <c r="Y117" s="6"/>
      <c r="Z117" s="6"/>
    </row>
    <row r="118" spans="1:26" ht="15" customHeight="1" thickBot="1" x14ac:dyDescent="0.3">
      <c r="A118" s="173"/>
      <c r="B118" s="187"/>
      <c r="C118" s="188"/>
      <c r="D118" s="188"/>
      <c r="E118" s="188"/>
      <c r="F118" s="188"/>
      <c r="G118" s="188"/>
      <c r="H118" s="188"/>
      <c r="I118" s="188"/>
      <c r="J118" s="188"/>
      <c r="K118" s="188"/>
      <c r="L118" s="188"/>
      <c r="M118" s="188"/>
      <c r="N118" s="189"/>
      <c r="O118" s="148"/>
      <c r="P118" s="149"/>
      <c r="Q118" s="150"/>
      <c r="R118" s="34"/>
      <c r="S118" s="6"/>
      <c r="T118" s="6"/>
      <c r="U118" s="6"/>
      <c r="V118" s="6"/>
      <c r="W118" s="6"/>
      <c r="X118" s="6"/>
      <c r="Y118" s="6"/>
      <c r="Z118" s="6"/>
    </row>
    <row r="119" spans="1:26" ht="15.75" customHeight="1" thickBot="1" x14ac:dyDescent="0.3">
      <c r="A119" s="173"/>
      <c r="B119" s="190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192"/>
      <c r="O119" s="139" t="s">
        <v>16</v>
      </c>
      <c r="P119" s="140"/>
      <c r="Q119" s="141"/>
      <c r="R119" s="35">
        <f>SUM(R112:R118)</f>
        <v>0</v>
      </c>
      <c r="S119" s="6"/>
      <c r="T119" s="6"/>
      <c r="U119" s="6"/>
      <c r="V119" s="6"/>
      <c r="W119" s="6"/>
      <c r="X119" s="6"/>
      <c r="Y119" s="6"/>
      <c r="Z119" s="6"/>
    </row>
    <row r="120" spans="1:26" ht="15.75" thickBot="1" x14ac:dyDescent="0.3">
      <c r="A120" s="173"/>
    </row>
    <row r="121" spans="1:26" ht="51.75" customHeight="1" thickBot="1" x14ac:dyDescent="0.3">
      <c r="A121" s="174"/>
      <c r="B121" s="175" t="s">
        <v>18</v>
      </c>
      <c r="C121" s="176"/>
      <c r="D121" s="176"/>
      <c r="E121" s="176"/>
      <c r="F121" s="176"/>
      <c r="G121" s="176"/>
      <c r="H121" s="176"/>
      <c r="I121" s="176"/>
      <c r="J121" s="176"/>
      <c r="K121" s="176"/>
      <c r="L121" s="177"/>
      <c r="M121" s="64"/>
      <c r="N121" s="40" t="s">
        <v>16</v>
      </c>
      <c r="O121" s="178">
        <f>O109-SUM(R112:R118)</f>
        <v>0</v>
      </c>
      <c r="P121" s="179"/>
      <c r="Q121" s="179"/>
      <c r="R121" s="179"/>
      <c r="S121" s="180"/>
      <c r="T121" s="72"/>
      <c r="U121" s="72"/>
      <c r="V121" s="72"/>
      <c r="W121" s="72"/>
      <c r="X121" s="72"/>
      <c r="Y121" s="72"/>
      <c r="Z121" s="72"/>
    </row>
    <row r="122" spans="1:26" ht="15.75" customHeight="1" x14ac:dyDescent="0.25">
      <c r="A122" s="30"/>
      <c r="P122" s="28"/>
      <c r="Q122" s="28"/>
      <c r="R122" s="28"/>
      <c r="S122" s="43"/>
      <c r="T122" s="69"/>
      <c r="U122" s="69"/>
      <c r="V122" s="69"/>
      <c r="W122" s="69"/>
      <c r="X122" s="85"/>
      <c r="Y122" s="92"/>
      <c r="Z122" s="102"/>
    </row>
    <row r="123" spans="1:26" ht="15" customHeight="1" x14ac:dyDescent="0.25">
      <c r="A123" s="30"/>
      <c r="P123" s="28"/>
      <c r="Q123" s="28"/>
      <c r="R123" s="28"/>
      <c r="S123" s="7"/>
      <c r="T123" s="7"/>
      <c r="U123" s="7"/>
      <c r="V123" s="7"/>
      <c r="W123" s="7"/>
      <c r="X123" s="7"/>
      <c r="Y123" s="7"/>
      <c r="Z123" s="7"/>
    </row>
    <row r="124" spans="1:26" ht="15" customHeight="1" x14ac:dyDescent="0.25">
      <c r="P124" s="28"/>
      <c r="Q124" s="28"/>
      <c r="R124" s="28"/>
      <c r="S124" s="7"/>
      <c r="T124" s="7"/>
      <c r="U124" s="7"/>
      <c r="V124" s="7"/>
      <c r="W124" s="7"/>
      <c r="X124" s="7"/>
      <c r="Y124" s="7"/>
      <c r="Z124" s="7"/>
    </row>
    <row r="125" spans="1:26" ht="15" customHeight="1" x14ac:dyDescent="0.25">
      <c r="P125" s="28"/>
      <c r="Q125" s="28"/>
      <c r="R125" s="28"/>
      <c r="S125" s="7"/>
      <c r="T125" s="7"/>
      <c r="U125" s="7"/>
      <c r="V125" s="7"/>
      <c r="W125" s="7"/>
      <c r="X125" s="7"/>
      <c r="Y125" s="7"/>
      <c r="Z125" s="7"/>
    </row>
    <row r="126" spans="1:26" ht="15" customHeight="1" x14ac:dyDescent="0.25">
      <c r="P126" s="28"/>
      <c r="Q126" s="28"/>
      <c r="R126" s="28"/>
      <c r="S126" s="7"/>
      <c r="T126" s="7"/>
      <c r="U126" s="7"/>
      <c r="V126" s="7"/>
      <c r="W126" s="7"/>
      <c r="X126" s="7"/>
      <c r="Y126" s="7"/>
      <c r="Z126" s="7"/>
    </row>
    <row r="127" spans="1:26" ht="15" customHeight="1" x14ac:dyDescent="0.25">
      <c r="P127" s="28"/>
      <c r="Q127" s="28"/>
      <c r="R127" s="28"/>
      <c r="S127" s="7"/>
      <c r="T127" s="7"/>
      <c r="U127" s="7"/>
      <c r="V127" s="7"/>
      <c r="W127" s="7"/>
      <c r="X127" s="7"/>
      <c r="Y127" s="7"/>
      <c r="Z127" s="7"/>
    </row>
    <row r="128" spans="1:26" ht="15" customHeight="1" x14ac:dyDescent="0.25">
      <c r="P128" s="28"/>
      <c r="Q128" s="28"/>
      <c r="R128" s="28"/>
      <c r="S128" s="7"/>
      <c r="T128" s="7"/>
      <c r="U128" s="7"/>
      <c r="V128" s="7"/>
      <c r="W128" s="7"/>
      <c r="X128" s="7"/>
      <c r="Y128" s="7"/>
      <c r="Z128" s="7"/>
    </row>
    <row r="129" spans="16:26" ht="15" customHeight="1" x14ac:dyDescent="0.25">
      <c r="P129" s="28"/>
      <c r="Q129" s="28"/>
      <c r="R129" s="28"/>
      <c r="S129" s="7"/>
      <c r="T129" s="7"/>
      <c r="U129" s="7"/>
      <c r="V129" s="7"/>
      <c r="W129" s="7"/>
      <c r="X129" s="7"/>
      <c r="Y129" s="7"/>
      <c r="Z129" s="7"/>
    </row>
    <row r="130" spans="16:26" ht="15.75" customHeight="1" x14ac:dyDescent="0.25">
      <c r="P130" s="28"/>
      <c r="Q130" s="28"/>
      <c r="R130" s="28"/>
      <c r="S130" s="7"/>
      <c r="T130" s="7"/>
      <c r="U130" s="7"/>
      <c r="V130" s="7"/>
      <c r="W130" s="7"/>
      <c r="X130" s="7"/>
      <c r="Y130" s="7"/>
      <c r="Z130" s="7"/>
    </row>
  </sheetData>
  <mergeCells count="24">
    <mergeCell ref="A5:A92"/>
    <mergeCell ref="O2:Z2"/>
    <mergeCell ref="O109:Z109"/>
    <mergeCell ref="O107:Z107"/>
    <mergeCell ref="O105:Z105"/>
    <mergeCell ref="B104:M105"/>
    <mergeCell ref="B106:M107"/>
    <mergeCell ref="B2:N2"/>
    <mergeCell ref="A95:A121"/>
    <mergeCell ref="B121:L121"/>
    <mergeCell ref="O121:S121"/>
    <mergeCell ref="B95:M98"/>
    <mergeCell ref="B100:M102"/>
    <mergeCell ref="B108:M109"/>
    <mergeCell ref="B111:N119"/>
    <mergeCell ref="O111:Q111"/>
    <mergeCell ref="O119:Q119"/>
    <mergeCell ref="O116:Q116"/>
    <mergeCell ref="O117:Q117"/>
    <mergeCell ref="O112:Q112"/>
    <mergeCell ref="O113:Q113"/>
    <mergeCell ref="O114:Q114"/>
    <mergeCell ref="O115:Q115"/>
    <mergeCell ref="O118:Q118"/>
  </mergeCells>
  <conditionalFormatting sqref="AA5:AA92">
    <cfRule type="cellIs" dxfId="17" priority="1" operator="lessThan">
      <formula>20</formula>
    </cfRule>
    <cfRule type="cellIs" dxfId="16" priority="2" operator="between">
      <formula>20</formula>
      <formula>29</formula>
    </cfRule>
    <cfRule type="cellIs" dxfId="1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554ED-B254-4225-9B15-1507C052317D}">
  <sheetPr codeName="Hoja2">
    <pageSetUpPr autoPageBreaks="0"/>
  </sheetPr>
  <dimension ref="A1:AC72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69" t="s">
        <v>38</v>
      </c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5" t="s">
        <v>11</v>
      </c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6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70</v>
      </c>
      <c r="T3" s="17" t="s">
        <v>33</v>
      </c>
      <c r="U3" s="17" t="s">
        <v>21</v>
      </c>
      <c r="V3" s="75" t="s">
        <v>77</v>
      </c>
      <c r="W3" s="75" t="s">
        <v>78</v>
      </c>
      <c r="X3" s="75" t="s">
        <v>79</v>
      </c>
      <c r="Y3" s="75" t="s">
        <v>80</v>
      </c>
      <c r="Z3" s="93" t="s">
        <v>112</v>
      </c>
      <c r="AA3" s="86" t="s">
        <v>171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70</v>
      </c>
      <c r="T4" s="68" t="s">
        <v>33</v>
      </c>
      <c r="U4" s="68" t="s">
        <v>21</v>
      </c>
      <c r="V4" s="74" t="s">
        <v>77</v>
      </c>
      <c r="W4" s="74" t="s">
        <v>78</v>
      </c>
      <c r="X4" s="74" t="s">
        <v>79</v>
      </c>
      <c r="Y4" s="74" t="s">
        <v>80</v>
      </c>
      <c r="Z4" s="74" t="s">
        <v>112</v>
      </c>
      <c r="AA4" s="74" t="s">
        <v>171</v>
      </c>
      <c r="AB4" s="22" t="s">
        <v>16</v>
      </c>
      <c r="AC4" s="44" t="s">
        <v>36</v>
      </c>
    </row>
    <row r="5" spans="1:29" outlineLevel="1" x14ac:dyDescent="0.25">
      <c r="A5" s="193"/>
      <c r="B5" s="87" t="s">
        <v>131</v>
      </c>
      <c r="C5" s="88" t="s">
        <v>132</v>
      </c>
      <c r="D5" s="114" t="s">
        <v>133</v>
      </c>
      <c r="E5" s="114" t="s">
        <v>46</v>
      </c>
      <c r="F5" s="114" t="s">
        <v>44</v>
      </c>
      <c r="G5" s="114" t="s">
        <v>88</v>
      </c>
      <c r="H5" s="114" t="s">
        <v>41</v>
      </c>
      <c r="I5" s="115">
        <v>56994792301</v>
      </c>
      <c r="J5" s="26" t="s">
        <v>134</v>
      </c>
      <c r="K5" s="26" t="s">
        <v>54</v>
      </c>
      <c r="L5" s="49" t="s">
        <v>207</v>
      </c>
      <c r="M5" s="49" t="s">
        <v>208</v>
      </c>
      <c r="N5" s="116">
        <f>SUMPRODUCT(Tabla5232[[#This Row],[Naranjas]:[Arandanos]],O$44:AA$44)</f>
        <v>24000</v>
      </c>
      <c r="O5" s="49">
        <v>0</v>
      </c>
      <c r="P5" s="49">
        <v>0</v>
      </c>
      <c r="Q5" s="49">
        <v>1</v>
      </c>
      <c r="R5" s="49">
        <v>1</v>
      </c>
      <c r="S5" s="49">
        <v>1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1</v>
      </c>
      <c r="AA5" s="49">
        <v>0</v>
      </c>
      <c r="AB5" s="49">
        <f>SUM(Tabla5232[[#This Row],[Naranjas]:[Arandanos]])</f>
        <v>4</v>
      </c>
      <c r="AC5" s="57"/>
    </row>
    <row r="6" spans="1:29" outlineLevel="1" x14ac:dyDescent="0.25">
      <c r="A6" s="194"/>
      <c r="B6" s="56" t="s">
        <v>85</v>
      </c>
      <c r="C6" s="47" t="s">
        <v>83</v>
      </c>
      <c r="D6" s="47" t="s">
        <v>84</v>
      </c>
      <c r="E6" s="47" t="s">
        <v>40</v>
      </c>
      <c r="F6" s="47" t="s">
        <v>49</v>
      </c>
      <c r="G6" s="47" t="s">
        <v>76</v>
      </c>
      <c r="H6" s="47" t="s">
        <v>41</v>
      </c>
      <c r="I6" s="53">
        <v>56982328251</v>
      </c>
      <c r="J6" s="27" t="s">
        <v>86</v>
      </c>
      <c r="K6" s="27" t="s">
        <v>54</v>
      </c>
      <c r="L6" s="52" t="s">
        <v>207</v>
      </c>
      <c r="M6" s="52" t="s">
        <v>208</v>
      </c>
      <c r="N6" s="47">
        <f>SUMPRODUCT(Tabla5232[[#This Row],[Naranjas]:[Arandanos]],O$44:AA$44)</f>
        <v>45500</v>
      </c>
      <c r="O6" s="52">
        <v>0</v>
      </c>
      <c r="P6" s="52">
        <v>0</v>
      </c>
      <c r="Q6" s="52">
        <v>1</v>
      </c>
      <c r="R6" s="52">
        <v>0</v>
      </c>
      <c r="S6" s="52">
        <v>2</v>
      </c>
      <c r="T6" s="52">
        <v>0</v>
      </c>
      <c r="U6" s="52">
        <v>0</v>
      </c>
      <c r="V6" s="52">
        <v>0</v>
      </c>
      <c r="W6" s="52">
        <v>2</v>
      </c>
      <c r="X6" s="52">
        <v>0</v>
      </c>
      <c r="Y6" s="52">
        <v>0</v>
      </c>
      <c r="Z6" s="52">
        <v>2</v>
      </c>
      <c r="AA6" s="52">
        <v>0</v>
      </c>
      <c r="AB6" s="52">
        <f>SUM(Tabla5232[[#This Row],[Naranjas]:[Arandanos]])</f>
        <v>7</v>
      </c>
      <c r="AC6" s="58"/>
    </row>
    <row r="7" spans="1:29" outlineLevel="1" x14ac:dyDescent="0.25">
      <c r="A7" s="194"/>
      <c r="B7" s="56" t="s">
        <v>66</v>
      </c>
      <c r="C7" s="47" t="s">
        <v>67</v>
      </c>
      <c r="D7" s="47" t="s">
        <v>68</v>
      </c>
      <c r="E7" s="47" t="s">
        <v>46</v>
      </c>
      <c r="F7" s="47" t="s">
        <v>44</v>
      </c>
      <c r="G7" s="47" t="s">
        <v>53</v>
      </c>
      <c r="H7" s="47" t="s">
        <v>41</v>
      </c>
      <c r="I7" s="53">
        <v>56967289638</v>
      </c>
      <c r="J7" s="27" t="s">
        <v>69</v>
      </c>
      <c r="K7" s="27" t="s">
        <v>54</v>
      </c>
      <c r="L7" s="52" t="s">
        <v>207</v>
      </c>
      <c r="M7" s="52" t="s">
        <v>208</v>
      </c>
      <c r="N7" s="47">
        <f>SUMPRODUCT(Tabla5232[[#This Row],[Naranjas]:[Arandanos]],O$44:AA$44)</f>
        <v>158500</v>
      </c>
      <c r="O7" s="52">
        <v>0</v>
      </c>
      <c r="P7" s="52">
        <v>0</v>
      </c>
      <c r="Q7" s="52">
        <v>3</v>
      </c>
      <c r="R7" s="52">
        <v>1</v>
      </c>
      <c r="S7" s="52">
        <v>0</v>
      </c>
      <c r="T7" s="52">
        <v>1</v>
      </c>
      <c r="U7" s="52">
        <v>3</v>
      </c>
      <c r="V7" s="52">
        <v>4</v>
      </c>
      <c r="W7" s="52">
        <v>4</v>
      </c>
      <c r="X7" s="52">
        <v>3</v>
      </c>
      <c r="Y7" s="52">
        <v>2</v>
      </c>
      <c r="Z7" s="52">
        <v>3</v>
      </c>
      <c r="AA7" s="52">
        <v>1</v>
      </c>
      <c r="AB7" s="52">
        <f>SUM(Tabla5232[[#This Row],[Naranjas]:[Arandanos]])</f>
        <v>25</v>
      </c>
      <c r="AC7" s="58"/>
    </row>
    <row r="8" spans="1:29" outlineLevel="1" x14ac:dyDescent="0.25">
      <c r="A8" s="194"/>
      <c r="B8" s="56" t="s">
        <v>122</v>
      </c>
      <c r="C8" s="47" t="s">
        <v>123</v>
      </c>
      <c r="D8" s="47" t="s">
        <v>124</v>
      </c>
      <c r="E8" s="47" t="s">
        <v>40</v>
      </c>
      <c r="F8" s="47" t="s">
        <v>49</v>
      </c>
      <c r="G8" s="47" t="s">
        <v>125</v>
      </c>
      <c r="H8" s="47" t="s">
        <v>41</v>
      </c>
      <c r="I8" s="53">
        <v>56968320616</v>
      </c>
      <c r="J8" s="27" t="s">
        <v>126</v>
      </c>
      <c r="K8" s="27" t="s">
        <v>54</v>
      </c>
      <c r="L8" s="52" t="s">
        <v>207</v>
      </c>
      <c r="M8" s="52" t="s">
        <v>208</v>
      </c>
      <c r="N8" s="47">
        <f>SUMPRODUCT(Tabla5232[[#This Row],[Naranjas]:[Arandanos]],O$44:AA$44)</f>
        <v>157500</v>
      </c>
      <c r="O8" s="52">
        <v>0</v>
      </c>
      <c r="P8" s="52">
        <v>0</v>
      </c>
      <c r="Q8" s="52">
        <v>0</v>
      </c>
      <c r="R8" s="52">
        <v>0</v>
      </c>
      <c r="S8" s="52">
        <v>35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v>0</v>
      </c>
      <c r="AB8" s="52">
        <f>SUM(Tabla5232[[#This Row],[Naranjas]:[Arandanos]])</f>
        <v>35</v>
      </c>
      <c r="AC8" s="58"/>
    </row>
    <row r="9" spans="1:29" outlineLevel="1" x14ac:dyDescent="0.25">
      <c r="A9" s="194"/>
      <c r="B9" s="50" t="s">
        <v>136</v>
      </c>
      <c r="C9" s="48" t="s">
        <v>137</v>
      </c>
      <c r="D9" s="59" t="s">
        <v>172</v>
      </c>
      <c r="E9" s="59" t="s">
        <v>40</v>
      </c>
      <c r="F9" s="59" t="s">
        <v>75</v>
      </c>
      <c r="G9" s="59" t="s">
        <v>113</v>
      </c>
      <c r="H9" s="59" t="s">
        <v>41</v>
      </c>
      <c r="I9" s="60">
        <v>56992704205</v>
      </c>
      <c r="J9" s="27" t="s">
        <v>173</v>
      </c>
      <c r="K9" s="27" t="s">
        <v>54</v>
      </c>
      <c r="L9" s="52" t="s">
        <v>207</v>
      </c>
      <c r="M9" s="52" t="s">
        <v>208</v>
      </c>
      <c r="N9" s="70">
        <f>SUMPRODUCT(Tabla5232[[#This Row],[Naranjas]:[Arandanos]],O$44:AA$44)</f>
        <v>49500</v>
      </c>
      <c r="O9" s="52">
        <v>0</v>
      </c>
      <c r="P9" s="52">
        <v>0</v>
      </c>
      <c r="Q9" s="52">
        <v>0</v>
      </c>
      <c r="R9" s="52">
        <v>2</v>
      </c>
      <c r="S9" s="52">
        <v>1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4</v>
      </c>
      <c r="AA9" s="52">
        <v>0</v>
      </c>
      <c r="AB9" s="52">
        <f>SUM(Tabla5232[[#This Row],[Naranjas]:[Arandanos]])</f>
        <v>7</v>
      </c>
      <c r="AC9" s="58"/>
    </row>
    <row r="10" spans="1:29" outlineLevel="1" x14ac:dyDescent="0.25">
      <c r="A10" s="194"/>
      <c r="B10" s="50" t="s">
        <v>98</v>
      </c>
      <c r="C10" s="48" t="s">
        <v>99</v>
      </c>
      <c r="D10" s="59" t="s">
        <v>100</v>
      </c>
      <c r="E10" s="59" t="s">
        <v>40</v>
      </c>
      <c r="F10" s="59" t="s">
        <v>49</v>
      </c>
      <c r="G10" s="59" t="s">
        <v>76</v>
      </c>
      <c r="H10" s="59" t="s">
        <v>41</v>
      </c>
      <c r="I10" s="60">
        <v>56974397201</v>
      </c>
      <c r="J10" s="27" t="s">
        <v>101</v>
      </c>
      <c r="K10" s="27" t="s">
        <v>54</v>
      </c>
      <c r="L10" s="52" t="s">
        <v>207</v>
      </c>
      <c r="M10" s="52" t="s">
        <v>208</v>
      </c>
      <c r="N10" s="47">
        <f>SUMPRODUCT(Tabla5232[[#This Row],[Naranjas]:[Arandanos]],O$44:AA$44)</f>
        <v>24000</v>
      </c>
      <c r="O10" s="52">
        <v>0</v>
      </c>
      <c r="P10" s="52">
        <v>0</v>
      </c>
      <c r="Q10" s="52">
        <v>1</v>
      </c>
      <c r="R10" s="52">
        <v>0</v>
      </c>
      <c r="S10" s="52">
        <v>0</v>
      </c>
      <c r="T10" s="52">
        <v>0</v>
      </c>
      <c r="U10" s="52">
        <v>0</v>
      </c>
      <c r="V10" s="52">
        <v>1</v>
      </c>
      <c r="W10" s="52">
        <v>0</v>
      </c>
      <c r="X10" s="52">
        <v>0</v>
      </c>
      <c r="Y10" s="52">
        <v>1</v>
      </c>
      <c r="Z10" s="52">
        <v>1</v>
      </c>
      <c r="AA10" s="52">
        <v>0</v>
      </c>
      <c r="AB10" s="52">
        <f>SUM(Tabla5232[[#This Row],[Naranjas]:[Arandanos]])</f>
        <v>4</v>
      </c>
      <c r="AC10" s="58"/>
    </row>
    <row r="11" spans="1:29" outlineLevel="1" x14ac:dyDescent="0.25">
      <c r="A11" s="194"/>
      <c r="B11" s="50" t="s">
        <v>107</v>
      </c>
      <c r="C11" s="48" t="s">
        <v>108</v>
      </c>
      <c r="D11" s="59" t="s">
        <v>109</v>
      </c>
      <c r="E11" s="59" t="s">
        <v>43</v>
      </c>
      <c r="F11" s="59" t="s">
        <v>47</v>
      </c>
      <c r="G11" s="59" t="s">
        <v>110</v>
      </c>
      <c r="H11" s="59" t="s">
        <v>41</v>
      </c>
      <c r="I11" s="60">
        <v>56975580528</v>
      </c>
      <c r="J11" s="27" t="s">
        <v>111</v>
      </c>
      <c r="K11" s="27" t="s">
        <v>42</v>
      </c>
      <c r="L11" s="52" t="s">
        <v>207</v>
      </c>
      <c r="M11" s="52" t="s">
        <v>208</v>
      </c>
      <c r="N11" s="70">
        <f>SUMPRODUCT(Tabla5232[[#This Row],[Naranjas]:[Arandanos]],O$44:AA$44)</f>
        <v>118500</v>
      </c>
      <c r="O11" s="52">
        <v>0</v>
      </c>
      <c r="P11" s="52">
        <v>0</v>
      </c>
      <c r="Q11" s="52">
        <v>2</v>
      </c>
      <c r="R11" s="52">
        <v>0</v>
      </c>
      <c r="S11" s="52">
        <v>5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11</v>
      </c>
      <c r="AA11" s="52">
        <v>1</v>
      </c>
      <c r="AB11" s="52">
        <f>SUM(Tabla5232[[#This Row],[Naranjas]:[Arandanos]])</f>
        <v>19</v>
      </c>
      <c r="AC11" s="58"/>
    </row>
    <row r="12" spans="1:29" outlineLevel="1" x14ac:dyDescent="0.25">
      <c r="A12" s="194"/>
      <c r="B12" s="56" t="s">
        <v>176</v>
      </c>
      <c r="C12" s="47" t="s">
        <v>177</v>
      </c>
      <c r="D12" s="47" t="s">
        <v>178</v>
      </c>
      <c r="E12" s="47" t="s">
        <v>46</v>
      </c>
      <c r="F12" s="47" t="s">
        <v>87</v>
      </c>
      <c r="G12" s="47" t="s">
        <v>45</v>
      </c>
      <c r="H12" s="47" t="s">
        <v>41</v>
      </c>
      <c r="I12" s="53">
        <v>56963061299</v>
      </c>
      <c r="J12" s="27" t="s">
        <v>179</v>
      </c>
      <c r="K12" s="27" t="s">
        <v>42</v>
      </c>
      <c r="L12" s="52" t="s">
        <v>207</v>
      </c>
      <c r="M12" s="52" t="s">
        <v>208</v>
      </c>
      <c r="N12" s="47">
        <f>SUMPRODUCT(Tabla5232[[#This Row],[Naranjas]:[Arandanos]],O$44:AA$44)</f>
        <v>112500</v>
      </c>
      <c r="O12" s="52">
        <v>0</v>
      </c>
      <c r="P12" s="52">
        <v>0</v>
      </c>
      <c r="Q12" s="52">
        <v>3</v>
      </c>
      <c r="R12" s="52">
        <v>3</v>
      </c>
      <c r="S12" s="52">
        <v>4</v>
      </c>
      <c r="T12" s="52">
        <v>1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6</v>
      </c>
      <c r="AA12" s="52">
        <v>2</v>
      </c>
      <c r="AB12" s="52">
        <f>SUM(Tabla5232[[#This Row],[Naranjas]:[Arandanos]])</f>
        <v>19</v>
      </c>
      <c r="AC12" s="58"/>
    </row>
    <row r="13" spans="1:29" outlineLevel="1" x14ac:dyDescent="0.25">
      <c r="A13" s="194"/>
      <c r="B13" s="50" t="s">
        <v>150</v>
      </c>
      <c r="C13" s="48" t="s">
        <v>165</v>
      </c>
      <c r="D13" s="59" t="s">
        <v>166</v>
      </c>
      <c r="E13" s="59" t="s">
        <v>43</v>
      </c>
      <c r="F13" s="59" t="s">
        <v>47</v>
      </c>
      <c r="G13" s="59" t="s">
        <v>167</v>
      </c>
      <c r="H13" s="59" t="s">
        <v>41</v>
      </c>
      <c r="I13" s="60">
        <v>56999194650</v>
      </c>
      <c r="J13" s="27" t="s">
        <v>168</v>
      </c>
      <c r="K13" s="27" t="s">
        <v>42</v>
      </c>
      <c r="L13" s="52" t="s">
        <v>207</v>
      </c>
      <c r="M13" s="52" t="s">
        <v>208</v>
      </c>
      <c r="N13" s="70">
        <f>SUMPRODUCT(Tabla5232[[#This Row],[Naranjas]:[Arandanos]],O$44:AA$44)</f>
        <v>224000</v>
      </c>
      <c r="O13" s="52">
        <v>0</v>
      </c>
      <c r="P13" s="52">
        <v>0</v>
      </c>
      <c r="Q13" s="52">
        <v>8</v>
      </c>
      <c r="R13" s="52">
        <v>4</v>
      </c>
      <c r="S13" s="52">
        <v>7</v>
      </c>
      <c r="T13" s="52">
        <v>1</v>
      </c>
      <c r="U13" s="52">
        <v>0</v>
      </c>
      <c r="V13" s="52">
        <v>3</v>
      </c>
      <c r="W13" s="52">
        <v>2</v>
      </c>
      <c r="X13" s="52">
        <v>2</v>
      </c>
      <c r="Y13" s="52">
        <v>1</v>
      </c>
      <c r="Z13" s="52">
        <v>8</v>
      </c>
      <c r="AA13" s="52">
        <v>2</v>
      </c>
      <c r="AB13" s="52">
        <f>SUM(Tabla5232[[#This Row],[Naranjas]:[Arandanos]])</f>
        <v>38</v>
      </c>
      <c r="AC13" s="58"/>
    </row>
    <row r="14" spans="1:29" outlineLevel="1" x14ac:dyDescent="0.25">
      <c r="A14" s="194"/>
      <c r="B14" s="50" t="s">
        <v>139</v>
      </c>
      <c r="C14" s="48" t="s">
        <v>140</v>
      </c>
      <c r="D14" s="59" t="s">
        <v>141</v>
      </c>
      <c r="E14" s="59" t="s">
        <v>40</v>
      </c>
      <c r="F14" s="59" t="s">
        <v>75</v>
      </c>
      <c r="G14" s="59" t="s">
        <v>93</v>
      </c>
      <c r="H14" s="59" t="s">
        <v>41</v>
      </c>
      <c r="I14" s="60">
        <v>56991592586</v>
      </c>
      <c r="J14" s="27" t="s">
        <v>142</v>
      </c>
      <c r="K14" s="27" t="s">
        <v>42</v>
      </c>
      <c r="L14" s="52" t="s">
        <v>207</v>
      </c>
      <c r="M14" s="52" t="s">
        <v>208</v>
      </c>
      <c r="N14" s="70">
        <f>SUMPRODUCT(Tabla5232[[#This Row],[Naranjas]:[Arandanos]],O$44:AA$44)</f>
        <v>21000</v>
      </c>
      <c r="O14" s="52">
        <v>0</v>
      </c>
      <c r="P14" s="52">
        <v>0</v>
      </c>
      <c r="Q14" s="52">
        <v>1</v>
      </c>
      <c r="R14" s="52">
        <v>0</v>
      </c>
      <c r="S14" s="52">
        <v>1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1</v>
      </c>
      <c r="AA14" s="52">
        <v>1</v>
      </c>
      <c r="AB14" s="52">
        <f>SUM(Tabla5232[[#This Row],[Naranjas]:[Arandanos]])</f>
        <v>4</v>
      </c>
      <c r="AC14" s="58"/>
    </row>
    <row r="15" spans="1:29" outlineLevel="1" x14ac:dyDescent="0.25">
      <c r="A15" s="194"/>
      <c r="B15" s="50" t="s">
        <v>103</v>
      </c>
      <c r="C15" s="48" t="s">
        <v>104</v>
      </c>
      <c r="D15" s="59" t="s">
        <v>106</v>
      </c>
      <c r="E15" s="59" t="s">
        <v>46</v>
      </c>
      <c r="F15" s="59" t="s">
        <v>87</v>
      </c>
      <c r="G15" s="59" t="s">
        <v>45</v>
      </c>
      <c r="H15" s="59" t="s">
        <v>41</v>
      </c>
      <c r="I15" s="60">
        <v>56997792386</v>
      </c>
      <c r="J15" s="27" t="s">
        <v>105</v>
      </c>
      <c r="K15" s="27" t="s">
        <v>48</v>
      </c>
      <c r="L15" s="52" t="s">
        <v>207</v>
      </c>
      <c r="M15" s="52" t="s">
        <v>208</v>
      </c>
      <c r="N15" s="70">
        <f>SUMPRODUCT(Tabla5232[[#This Row],[Naranjas]:[Arandanos]],O$44:AA$44)</f>
        <v>92500</v>
      </c>
      <c r="O15" s="52">
        <v>0</v>
      </c>
      <c r="P15" s="52">
        <v>0</v>
      </c>
      <c r="Q15" s="52">
        <v>2</v>
      </c>
      <c r="R15" s="52">
        <v>0</v>
      </c>
      <c r="S15" s="52">
        <v>4</v>
      </c>
      <c r="T15" s="52">
        <v>1</v>
      </c>
      <c r="U15" s="52">
        <v>0</v>
      </c>
      <c r="V15" s="52">
        <v>0</v>
      </c>
      <c r="W15" s="52">
        <v>1</v>
      </c>
      <c r="X15" s="52">
        <v>1</v>
      </c>
      <c r="Y15" s="52">
        <v>1</v>
      </c>
      <c r="Z15" s="52">
        <v>5</v>
      </c>
      <c r="AA15" s="52">
        <v>0</v>
      </c>
      <c r="AB15" s="52">
        <f>SUM(Tabla5232[[#This Row],[Naranjas]:[Arandanos]])</f>
        <v>15</v>
      </c>
      <c r="AC15" s="58"/>
    </row>
    <row r="16" spans="1:29" outlineLevel="1" x14ac:dyDescent="0.25">
      <c r="A16" s="194"/>
      <c r="B16" s="56" t="s">
        <v>146</v>
      </c>
      <c r="C16" s="47" t="s">
        <v>147</v>
      </c>
      <c r="D16" s="47" t="s">
        <v>148</v>
      </c>
      <c r="E16" s="47" t="s">
        <v>46</v>
      </c>
      <c r="F16" s="47" t="s">
        <v>144</v>
      </c>
      <c r="G16" s="47" t="s">
        <v>110</v>
      </c>
      <c r="H16" s="47" t="s">
        <v>41</v>
      </c>
      <c r="I16" s="53">
        <v>56997267212</v>
      </c>
      <c r="J16" s="27" t="s">
        <v>149</v>
      </c>
      <c r="K16" s="27" t="s">
        <v>48</v>
      </c>
      <c r="L16" s="52" t="s">
        <v>207</v>
      </c>
      <c r="M16" s="52" t="s">
        <v>208</v>
      </c>
      <c r="N16" s="47">
        <f>SUMPRODUCT(Tabla5232[[#This Row],[Naranjas]:[Arandanos]],O$44:AA$44)</f>
        <v>54000</v>
      </c>
      <c r="O16" s="52">
        <v>0</v>
      </c>
      <c r="P16" s="52">
        <v>0</v>
      </c>
      <c r="Q16" s="52">
        <v>3</v>
      </c>
      <c r="R16" s="52">
        <v>1</v>
      </c>
      <c r="S16" s="52">
        <v>2</v>
      </c>
      <c r="T16" s="52">
        <v>1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2</v>
      </c>
      <c r="AA16" s="52">
        <v>1</v>
      </c>
      <c r="AB16" s="52">
        <f>SUM(Tabla5232[[#This Row],[Naranjas]:[Arandanos]])</f>
        <v>10</v>
      </c>
      <c r="AC16" s="58"/>
    </row>
    <row r="17" spans="1:29" outlineLevel="1" x14ac:dyDescent="0.25">
      <c r="A17" s="194"/>
      <c r="B17" s="56" t="s">
        <v>59</v>
      </c>
      <c r="C17" s="47" t="s">
        <v>52</v>
      </c>
      <c r="D17" s="47" t="s">
        <v>60</v>
      </c>
      <c r="E17" s="47" t="s">
        <v>40</v>
      </c>
      <c r="F17" s="47" t="s">
        <v>49</v>
      </c>
      <c r="G17" s="47" t="s">
        <v>45</v>
      </c>
      <c r="H17" s="47" t="s">
        <v>41</v>
      </c>
      <c r="I17" s="53">
        <v>56986194003</v>
      </c>
      <c r="J17" s="27" t="s">
        <v>61</v>
      </c>
      <c r="K17" s="27" t="s">
        <v>48</v>
      </c>
      <c r="L17" s="52" t="s">
        <v>207</v>
      </c>
      <c r="M17" s="52" t="s">
        <v>208</v>
      </c>
      <c r="N17" s="47">
        <f>SUMPRODUCT(Tabla5232[[#This Row],[Naranjas]:[Arandanos]],O$44:AA$44)</f>
        <v>54000</v>
      </c>
      <c r="O17" s="52">
        <v>0</v>
      </c>
      <c r="P17" s="52">
        <v>0</v>
      </c>
      <c r="Q17" s="52">
        <v>12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v>0</v>
      </c>
      <c r="AB17" s="52">
        <f>SUM(Tabla5232[[#This Row],[Naranjas]:[Arandanos]])</f>
        <v>12</v>
      </c>
      <c r="AC17" s="58"/>
    </row>
    <row r="18" spans="1:29" outlineLevel="1" x14ac:dyDescent="0.25">
      <c r="A18" s="194"/>
      <c r="B18" s="56" t="s">
        <v>115</v>
      </c>
      <c r="C18" s="47" t="s">
        <v>116</v>
      </c>
      <c r="D18" s="47" t="s">
        <v>117</v>
      </c>
      <c r="E18" s="47" t="s">
        <v>40</v>
      </c>
      <c r="F18" s="47" t="s">
        <v>49</v>
      </c>
      <c r="G18" s="47" t="s">
        <v>113</v>
      </c>
      <c r="H18" s="47" t="s">
        <v>41</v>
      </c>
      <c r="I18" s="53">
        <v>56979891544</v>
      </c>
      <c r="J18" s="27" t="s">
        <v>118</v>
      </c>
      <c r="K18" s="27" t="s">
        <v>48</v>
      </c>
      <c r="L18" s="52" t="s">
        <v>207</v>
      </c>
      <c r="M18" s="52" t="s">
        <v>208</v>
      </c>
      <c r="N18" s="47">
        <f>SUMPRODUCT(Tabla5232[[#This Row],[Naranjas]:[Arandanos]],O$44:AA$44)</f>
        <v>40500</v>
      </c>
      <c r="O18" s="52">
        <v>0</v>
      </c>
      <c r="P18" s="52">
        <v>0</v>
      </c>
      <c r="Q18" s="52">
        <v>1</v>
      </c>
      <c r="R18" s="52">
        <v>0</v>
      </c>
      <c r="S18" s="52">
        <v>2</v>
      </c>
      <c r="T18" s="52">
        <v>1</v>
      </c>
      <c r="U18" s="52">
        <v>0</v>
      </c>
      <c r="V18" s="52">
        <v>0</v>
      </c>
      <c r="W18" s="52">
        <v>0</v>
      </c>
      <c r="X18" s="52">
        <v>1</v>
      </c>
      <c r="Y18" s="52">
        <v>0</v>
      </c>
      <c r="Z18" s="52">
        <v>2</v>
      </c>
      <c r="AA18" s="52">
        <v>0</v>
      </c>
      <c r="AB18" s="52">
        <f>SUM(Tabla5232[[#This Row],[Naranjas]:[Arandanos]])</f>
        <v>7</v>
      </c>
      <c r="AC18" s="58"/>
    </row>
    <row r="19" spans="1:29" outlineLevel="1" x14ac:dyDescent="0.25">
      <c r="A19" s="194"/>
      <c r="B19" s="56" t="s">
        <v>114</v>
      </c>
      <c r="C19" s="47" t="s">
        <v>119</v>
      </c>
      <c r="D19" s="47" t="s">
        <v>120</v>
      </c>
      <c r="E19" s="47" t="s">
        <v>40</v>
      </c>
      <c r="F19" s="47" t="s">
        <v>75</v>
      </c>
      <c r="G19" s="47" t="s">
        <v>113</v>
      </c>
      <c r="H19" s="47" t="s">
        <v>41</v>
      </c>
      <c r="I19" s="53">
        <v>56988587944</v>
      </c>
      <c r="J19" s="27" t="s">
        <v>121</v>
      </c>
      <c r="K19" s="27" t="s">
        <v>48</v>
      </c>
      <c r="L19" s="52" t="s">
        <v>207</v>
      </c>
      <c r="M19" s="52" t="s">
        <v>208</v>
      </c>
      <c r="N19" s="47">
        <f>SUMPRODUCT(Tabla5232[[#This Row],[Naranjas]:[Arandanos]],O$44:AA$44)</f>
        <v>25500</v>
      </c>
      <c r="O19" s="52">
        <v>0</v>
      </c>
      <c r="P19" s="52">
        <v>0</v>
      </c>
      <c r="Q19" s="52">
        <v>2</v>
      </c>
      <c r="R19" s="52">
        <v>0</v>
      </c>
      <c r="S19" s="52">
        <v>2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1</v>
      </c>
      <c r="AA19" s="52">
        <v>0</v>
      </c>
      <c r="AB19" s="52">
        <f>SUM(Tabla5232[[#This Row],[Naranjas]:[Arandanos]])</f>
        <v>5</v>
      </c>
      <c r="AC19" s="58"/>
    </row>
    <row r="20" spans="1:29" outlineLevel="1" x14ac:dyDescent="0.25">
      <c r="A20" s="194"/>
      <c r="B20" s="56" t="s">
        <v>59</v>
      </c>
      <c r="C20" s="47" t="s">
        <v>72</v>
      </c>
      <c r="D20" s="47" t="s">
        <v>73</v>
      </c>
      <c r="E20" s="47" t="s">
        <v>40</v>
      </c>
      <c r="F20" s="47" t="s">
        <v>49</v>
      </c>
      <c r="G20" s="47" t="s">
        <v>53</v>
      </c>
      <c r="H20" s="47" t="s">
        <v>41</v>
      </c>
      <c r="I20" s="53">
        <v>56975684552</v>
      </c>
      <c r="J20" s="27" t="s">
        <v>74</v>
      </c>
      <c r="K20" s="27" t="s">
        <v>48</v>
      </c>
      <c r="L20" s="52" t="s">
        <v>207</v>
      </c>
      <c r="M20" s="52" t="s">
        <v>208</v>
      </c>
      <c r="N20" s="47">
        <f>SUMPRODUCT(Tabla5232[[#This Row],[Naranjas]:[Arandanos]],O$44:AA$44)</f>
        <v>102000</v>
      </c>
      <c r="O20" s="52">
        <v>0</v>
      </c>
      <c r="P20" s="52">
        <v>0</v>
      </c>
      <c r="Q20" s="52">
        <v>6</v>
      </c>
      <c r="R20" s="52">
        <v>0</v>
      </c>
      <c r="S20" s="52">
        <v>10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4</v>
      </c>
      <c r="AA20" s="52">
        <v>0</v>
      </c>
      <c r="AB20" s="52">
        <f>SUM(Tabla5232[[#This Row],[Naranjas]:[Arandanos]])</f>
        <v>20</v>
      </c>
      <c r="AC20" s="58"/>
    </row>
    <row r="21" spans="1:29" outlineLevel="1" x14ac:dyDescent="0.25">
      <c r="A21" s="194"/>
      <c r="B21" s="50" t="s">
        <v>114</v>
      </c>
      <c r="C21" s="48" t="s">
        <v>185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60">
        <v>0</v>
      </c>
      <c r="J21" s="27" t="s">
        <v>213</v>
      </c>
      <c r="K21" s="27" t="s">
        <v>48</v>
      </c>
      <c r="L21" s="52" t="s">
        <v>207</v>
      </c>
      <c r="M21" s="52" t="s">
        <v>208</v>
      </c>
      <c r="N21" s="70">
        <f>SUMPRODUCT(Tabla5232[[#This Row],[Naranjas]:[Arandanos]],O$44:AA$44)</f>
        <v>27000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1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3</v>
      </c>
      <c r="AA21" s="52">
        <v>0</v>
      </c>
      <c r="AB21" s="52">
        <f>SUM(Tabla5232[[#This Row],[Naranjas]:[Arandanos]])</f>
        <v>4</v>
      </c>
      <c r="AC21" s="58"/>
    </row>
    <row r="22" spans="1:29" outlineLevel="1" x14ac:dyDescent="0.25">
      <c r="A22" s="194"/>
      <c r="B22" s="56" t="s">
        <v>62</v>
      </c>
      <c r="C22" s="47" t="s">
        <v>63</v>
      </c>
      <c r="D22" s="47" t="s">
        <v>64</v>
      </c>
      <c r="E22" s="47" t="s">
        <v>40</v>
      </c>
      <c r="F22" s="47" t="s">
        <v>49</v>
      </c>
      <c r="G22" s="47" t="s">
        <v>51</v>
      </c>
      <c r="H22" s="47" t="s">
        <v>41</v>
      </c>
      <c r="I22" s="53">
        <v>56952304675</v>
      </c>
      <c r="J22" s="27" t="s">
        <v>65</v>
      </c>
      <c r="K22" s="27" t="s">
        <v>48</v>
      </c>
      <c r="L22" s="52" t="s">
        <v>207</v>
      </c>
      <c r="M22" s="52" t="s">
        <v>208</v>
      </c>
      <c r="N22" s="47">
        <f>SUMPRODUCT(Tabla5232[[#This Row],[Naranjas]:[Arandanos]],O$44:AA$44)</f>
        <v>350500</v>
      </c>
      <c r="O22" s="103">
        <v>0</v>
      </c>
      <c r="P22" s="103">
        <v>0</v>
      </c>
      <c r="Q22" s="52">
        <v>1</v>
      </c>
      <c r="R22" s="52">
        <v>3</v>
      </c>
      <c r="S22" s="52">
        <v>2</v>
      </c>
      <c r="T22" s="52">
        <v>1</v>
      </c>
      <c r="U22" s="52">
        <v>1</v>
      </c>
      <c r="V22" s="103">
        <v>0</v>
      </c>
      <c r="W22" s="103">
        <v>0</v>
      </c>
      <c r="X22" s="103">
        <v>0</v>
      </c>
      <c r="Y22" s="103">
        <v>0</v>
      </c>
      <c r="Z22" s="52">
        <v>40</v>
      </c>
      <c r="AA22" s="52">
        <v>1</v>
      </c>
      <c r="AB22" s="52">
        <f>SUM(Tabla5232[[#This Row],[Naranjas]:[Arandanos]])</f>
        <v>49</v>
      </c>
      <c r="AC22" s="58"/>
    </row>
    <row r="23" spans="1:29" outlineLevel="1" x14ac:dyDescent="0.25">
      <c r="A23" s="194"/>
      <c r="B23" s="56" t="s">
        <v>155</v>
      </c>
      <c r="C23" s="47" t="s">
        <v>156</v>
      </c>
      <c r="D23" s="47" t="s">
        <v>157</v>
      </c>
      <c r="E23" s="47" t="s">
        <v>40</v>
      </c>
      <c r="F23" s="47" t="s">
        <v>49</v>
      </c>
      <c r="G23" s="47" t="s">
        <v>53</v>
      </c>
      <c r="H23" s="47" t="s">
        <v>41</v>
      </c>
      <c r="I23" s="53">
        <v>56987143347</v>
      </c>
      <c r="J23" s="27" t="s">
        <v>158</v>
      </c>
      <c r="K23" s="27" t="s">
        <v>48</v>
      </c>
      <c r="L23" s="52" t="s">
        <v>207</v>
      </c>
      <c r="M23" s="52" t="s">
        <v>208</v>
      </c>
      <c r="N23" s="47">
        <f>SUMPRODUCT(Tabla5232[[#This Row],[Naranjas]:[Arandanos]],O$44:AA$44)</f>
        <v>45000</v>
      </c>
      <c r="O23" s="52">
        <v>0</v>
      </c>
      <c r="P23" s="52">
        <v>0</v>
      </c>
      <c r="Q23" s="52">
        <v>5</v>
      </c>
      <c r="R23" s="52">
        <v>0</v>
      </c>
      <c r="S23" s="52">
        <v>5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  <c r="AB23" s="52">
        <f>SUM(Tabla5232[[#This Row],[Naranjas]:[Arandanos]])</f>
        <v>10</v>
      </c>
      <c r="AC23" s="58"/>
    </row>
    <row r="24" spans="1:29" outlineLevel="1" x14ac:dyDescent="0.25">
      <c r="A24" s="194"/>
      <c r="B24" s="56" t="s">
        <v>127</v>
      </c>
      <c r="C24" s="47" t="s">
        <v>128</v>
      </c>
      <c r="D24" s="47" t="s">
        <v>129</v>
      </c>
      <c r="E24" s="47" t="s">
        <v>43</v>
      </c>
      <c r="F24" s="47" t="s">
        <v>47</v>
      </c>
      <c r="G24" s="47" t="s">
        <v>110</v>
      </c>
      <c r="H24" s="47" t="s">
        <v>41</v>
      </c>
      <c r="I24" s="53">
        <v>56956481962</v>
      </c>
      <c r="J24" s="27" t="s">
        <v>130</v>
      </c>
      <c r="K24" s="27" t="s">
        <v>48</v>
      </c>
      <c r="L24" s="52" t="s">
        <v>207</v>
      </c>
      <c r="M24" s="52" t="s">
        <v>208</v>
      </c>
      <c r="N24" s="47">
        <f>SUMPRODUCT(Tabla5232[[#This Row],[Naranjas]:[Arandanos]],O$44:AA$44)</f>
        <v>16500</v>
      </c>
      <c r="O24" s="52">
        <v>0</v>
      </c>
      <c r="P24" s="52">
        <v>0</v>
      </c>
      <c r="Q24" s="52">
        <v>2</v>
      </c>
      <c r="R24" s="52">
        <v>0</v>
      </c>
      <c r="S24" s="52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1</v>
      </c>
      <c r="AA24" s="52">
        <v>0</v>
      </c>
      <c r="AB24" s="52">
        <f>SUM(Tabla5232[[#This Row],[Naranjas]:[Arandanos]])</f>
        <v>3</v>
      </c>
      <c r="AC24" s="58"/>
    </row>
    <row r="25" spans="1:29" outlineLevel="1" x14ac:dyDescent="0.25">
      <c r="A25" s="194"/>
      <c r="B25" s="50" t="s">
        <v>159</v>
      </c>
      <c r="C25" s="48" t="s">
        <v>162</v>
      </c>
      <c r="D25" s="59" t="s">
        <v>163</v>
      </c>
      <c r="E25" s="59" t="s">
        <v>135</v>
      </c>
      <c r="F25" s="59" t="s">
        <v>151</v>
      </c>
      <c r="G25" s="59" t="s">
        <v>45</v>
      </c>
      <c r="H25" s="59" t="s">
        <v>41</v>
      </c>
      <c r="I25" s="60">
        <v>56979312762</v>
      </c>
      <c r="J25" s="27" t="s">
        <v>164</v>
      </c>
      <c r="K25" s="27" t="s">
        <v>48</v>
      </c>
      <c r="L25" s="52" t="s">
        <v>207</v>
      </c>
      <c r="M25" s="52" t="s">
        <v>208</v>
      </c>
      <c r="N25" s="70">
        <f>SUMPRODUCT(Tabla5232[[#This Row],[Naranjas]:[Arandanos]],O$44:AA$44)</f>
        <v>223500</v>
      </c>
      <c r="O25" s="52">
        <v>0</v>
      </c>
      <c r="P25" s="52">
        <v>0</v>
      </c>
      <c r="Q25" s="52">
        <v>2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28</v>
      </c>
      <c r="AA25" s="52">
        <v>0</v>
      </c>
      <c r="AB25" s="52">
        <f>SUM(Tabla5232[[#This Row],[Naranjas]:[Arandanos]])</f>
        <v>31</v>
      </c>
      <c r="AC25" s="58"/>
    </row>
    <row r="26" spans="1:29" outlineLevel="1" x14ac:dyDescent="0.25">
      <c r="A26" s="194"/>
      <c r="B26" s="50" t="s">
        <v>122</v>
      </c>
      <c r="C26" s="48" t="s">
        <v>143</v>
      </c>
      <c r="D26" s="59" t="s">
        <v>160</v>
      </c>
      <c r="E26" s="59" t="s">
        <v>40</v>
      </c>
      <c r="F26" s="59" t="s">
        <v>49</v>
      </c>
      <c r="G26" s="59" t="s">
        <v>45</v>
      </c>
      <c r="H26" s="59" t="s">
        <v>41</v>
      </c>
      <c r="I26" s="60">
        <v>56997594184</v>
      </c>
      <c r="J26" s="27" t="s">
        <v>161</v>
      </c>
      <c r="K26" s="27" t="s">
        <v>48</v>
      </c>
      <c r="L26" s="52" t="s">
        <v>207</v>
      </c>
      <c r="M26" s="52" t="s">
        <v>208</v>
      </c>
      <c r="N26" s="70">
        <f>SUMPRODUCT(Tabla5232[[#This Row],[Naranjas]:[Arandanos]],O$44:AA$44)</f>
        <v>28500</v>
      </c>
      <c r="O26" s="52">
        <v>0</v>
      </c>
      <c r="P26" s="52">
        <v>0</v>
      </c>
      <c r="Q26" s="52">
        <v>2</v>
      </c>
      <c r="R26" s="52">
        <v>0</v>
      </c>
      <c r="S26" s="52">
        <v>1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2</v>
      </c>
      <c r="AA26" s="52">
        <v>0</v>
      </c>
      <c r="AB26" s="52">
        <f>SUM(Tabla5232[[#This Row],[Naranjas]:[Arandanos]])</f>
        <v>5</v>
      </c>
      <c r="AC26" s="58"/>
    </row>
    <row r="27" spans="1:29" outlineLevel="1" x14ac:dyDescent="0.25">
      <c r="A27" s="194"/>
      <c r="B27" s="50" t="s">
        <v>180</v>
      </c>
      <c r="C27" s="48" t="s">
        <v>181</v>
      </c>
      <c r="D27" s="59" t="s">
        <v>182</v>
      </c>
      <c r="E27" s="59" t="s">
        <v>40</v>
      </c>
      <c r="F27" s="59" t="s">
        <v>49</v>
      </c>
      <c r="G27" s="59" t="s">
        <v>183</v>
      </c>
      <c r="H27" s="59" t="s">
        <v>41</v>
      </c>
      <c r="I27" s="60">
        <v>56964829508</v>
      </c>
      <c r="J27" s="27" t="s">
        <v>184</v>
      </c>
      <c r="K27" s="27" t="s">
        <v>48</v>
      </c>
      <c r="L27" s="52" t="s">
        <v>207</v>
      </c>
      <c r="M27" s="52" t="s">
        <v>208</v>
      </c>
      <c r="N27" s="47">
        <f>SUMPRODUCT(Tabla5232[[#This Row],[Naranjas]:[Arandanos]],O$44:AA$44)</f>
        <v>39000</v>
      </c>
      <c r="O27" s="52">
        <v>0</v>
      </c>
      <c r="P27" s="52">
        <v>0</v>
      </c>
      <c r="Q27" s="52">
        <v>2</v>
      </c>
      <c r="R27" s="52">
        <v>1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1</v>
      </c>
      <c r="Z27" s="52">
        <v>2</v>
      </c>
      <c r="AA27" s="52">
        <v>0</v>
      </c>
      <c r="AB27" s="52">
        <f>SUM(Tabla5232[[#This Row],[Naranjas]:[Arandanos]])</f>
        <v>6</v>
      </c>
      <c r="AC27" s="58"/>
    </row>
    <row r="28" spans="1:29" outlineLevel="1" x14ac:dyDescent="0.25">
      <c r="A28" s="194"/>
      <c r="B28" s="50" t="s">
        <v>186</v>
      </c>
      <c r="C28" s="48" t="s">
        <v>128</v>
      </c>
      <c r="D28" s="59" t="s">
        <v>187</v>
      </c>
      <c r="E28" s="59" t="s">
        <v>46</v>
      </c>
      <c r="F28" s="59" t="s">
        <v>87</v>
      </c>
      <c r="G28" s="59"/>
      <c r="H28" s="59" t="s">
        <v>41</v>
      </c>
      <c r="I28" s="60">
        <v>0</v>
      </c>
      <c r="J28" s="27" t="s">
        <v>138</v>
      </c>
      <c r="K28" s="27"/>
      <c r="L28" s="52" t="s">
        <v>207</v>
      </c>
      <c r="M28" s="52" t="s">
        <v>208</v>
      </c>
      <c r="N28" s="70">
        <f>SUMPRODUCT(Tabla5232[[#This Row],[Naranjas]:[Arandanos]],O$44:AA$44)</f>
        <v>139000</v>
      </c>
      <c r="O28" s="52">
        <v>0</v>
      </c>
      <c r="P28" s="52">
        <v>0</v>
      </c>
      <c r="Q28" s="52">
        <v>6</v>
      </c>
      <c r="R28" s="52">
        <v>1</v>
      </c>
      <c r="S28" s="52">
        <v>5</v>
      </c>
      <c r="T28" s="52">
        <v>2</v>
      </c>
      <c r="U28" s="52">
        <v>0</v>
      </c>
      <c r="V28" s="52">
        <v>1</v>
      </c>
      <c r="W28" s="52">
        <v>1</v>
      </c>
      <c r="X28" s="52">
        <v>2</v>
      </c>
      <c r="Y28" s="52">
        <v>1</v>
      </c>
      <c r="Z28" s="52">
        <v>5</v>
      </c>
      <c r="AA28" s="52">
        <v>0</v>
      </c>
      <c r="AB28" s="52">
        <f>SUM(Tabla5232[[#This Row],[Naranjas]:[Arandanos]])</f>
        <v>24</v>
      </c>
      <c r="AC28" s="58"/>
    </row>
    <row r="29" spans="1:29" outlineLevel="1" x14ac:dyDescent="0.25">
      <c r="A29" s="194"/>
      <c r="B29" s="56" t="s">
        <v>55</v>
      </c>
      <c r="C29" s="47" t="s">
        <v>56</v>
      </c>
      <c r="D29" s="47" t="s">
        <v>57</v>
      </c>
      <c r="E29" s="47" t="s">
        <v>40</v>
      </c>
      <c r="F29" s="47" t="s">
        <v>49</v>
      </c>
      <c r="G29" s="47" t="s">
        <v>45</v>
      </c>
      <c r="H29" s="47" t="s">
        <v>41</v>
      </c>
      <c r="I29" s="53">
        <v>56967898535</v>
      </c>
      <c r="J29" s="27" t="s">
        <v>58</v>
      </c>
      <c r="K29" s="27" t="s">
        <v>54</v>
      </c>
      <c r="L29" s="52" t="s">
        <v>207</v>
      </c>
      <c r="M29" s="52" t="s">
        <v>207</v>
      </c>
      <c r="N29" s="47">
        <f>SUMPRODUCT(Tabla5232[[#This Row],[Naranjas]:[Arandanos]],O$44:AA$44)</f>
        <v>162000</v>
      </c>
      <c r="O29" s="52">
        <v>0</v>
      </c>
      <c r="P29" s="52">
        <v>0</v>
      </c>
      <c r="Q29" s="52">
        <v>8</v>
      </c>
      <c r="R29" s="52">
        <v>0</v>
      </c>
      <c r="S29" s="52">
        <v>4</v>
      </c>
      <c r="T29" s="52">
        <v>2</v>
      </c>
      <c r="U29" s="52">
        <v>0</v>
      </c>
      <c r="V29" s="52">
        <v>0</v>
      </c>
      <c r="W29" s="52">
        <v>0</v>
      </c>
      <c r="X29" s="52">
        <v>1</v>
      </c>
      <c r="Y29" s="52">
        <v>1</v>
      </c>
      <c r="Z29" s="52">
        <v>10</v>
      </c>
      <c r="AA29" s="52">
        <v>2</v>
      </c>
      <c r="AB29" s="52">
        <f>SUM(Tabla5232[[#This Row],[Naranjas]:[Arandanos]])</f>
        <v>28</v>
      </c>
      <c r="AC29" s="58"/>
    </row>
    <row r="30" spans="1:29" outlineLevel="1" x14ac:dyDescent="0.25">
      <c r="A30" s="194"/>
      <c r="B30" s="56" t="s">
        <v>81</v>
      </c>
      <c r="C30" s="47" t="s">
        <v>97</v>
      </c>
      <c r="D30" s="47" t="s">
        <v>82</v>
      </c>
      <c r="E30" s="47" t="s">
        <v>40</v>
      </c>
      <c r="F30" s="47" t="s">
        <v>49</v>
      </c>
      <c r="G30" s="47" t="s">
        <v>45</v>
      </c>
      <c r="H30" s="47" t="s">
        <v>41</v>
      </c>
      <c r="I30" s="53">
        <v>56963033603</v>
      </c>
      <c r="J30" s="27" t="s">
        <v>102</v>
      </c>
      <c r="K30" s="27" t="s">
        <v>42</v>
      </c>
      <c r="L30" s="52" t="s">
        <v>207</v>
      </c>
      <c r="M30" s="52" t="s">
        <v>207</v>
      </c>
      <c r="N30" s="47">
        <f>SUMPRODUCT(Tabla5232[[#This Row],[Naranjas]:[Arandanos]],O$44:AA$44)</f>
        <v>61500</v>
      </c>
      <c r="O30" s="52">
        <v>0</v>
      </c>
      <c r="P30" s="52">
        <v>0</v>
      </c>
      <c r="Q30" s="52">
        <v>3</v>
      </c>
      <c r="R30" s="52">
        <v>2</v>
      </c>
      <c r="S30" s="52">
        <v>2</v>
      </c>
      <c r="T30" s="52">
        <v>2</v>
      </c>
      <c r="U30" s="52">
        <v>0</v>
      </c>
      <c r="V30" s="52">
        <v>0</v>
      </c>
      <c r="W30" s="52">
        <v>0</v>
      </c>
      <c r="X30" s="52">
        <v>0</v>
      </c>
      <c r="Y30" s="52">
        <v>0</v>
      </c>
      <c r="Z30" s="52">
        <v>2</v>
      </c>
      <c r="AA30" s="52">
        <v>0</v>
      </c>
      <c r="AB30" s="52">
        <f>SUM(Tabla5232[[#This Row],[Naranjas]:[Arandanos]])</f>
        <v>11</v>
      </c>
      <c r="AC30" s="58"/>
    </row>
    <row r="31" spans="1:29" outlineLevel="1" x14ac:dyDescent="0.25">
      <c r="A31" s="194"/>
      <c r="B31" s="56" t="s">
        <v>145</v>
      </c>
      <c r="C31" s="47" t="s">
        <v>152</v>
      </c>
      <c r="D31" s="47" t="s">
        <v>153</v>
      </c>
      <c r="E31" s="47" t="s">
        <v>46</v>
      </c>
      <c r="F31" s="47" t="s">
        <v>89</v>
      </c>
      <c r="G31" s="47">
        <v>0</v>
      </c>
      <c r="H31" s="47" t="s">
        <v>41</v>
      </c>
      <c r="I31" s="53">
        <v>56954243532</v>
      </c>
      <c r="J31" s="27" t="s">
        <v>154</v>
      </c>
      <c r="K31" s="27" t="s">
        <v>42</v>
      </c>
      <c r="L31" s="52" t="s">
        <v>207</v>
      </c>
      <c r="M31" s="52" t="s">
        <v>207</v>
      </c>
      <c r="N31" s="47">
        <f>SUMPRODUCT(Tabla5232[[#This Row],[Naranjas]:[Arandanos]],O$44:AA$44)</f>
        <v>13500</v>
      </c>
      <c r="O31" s="52">
        <v>0</v>
      </c>
      <c r="P31" s="52">
        <v>0</v>
      </c>
      <c r="Q31" s="52">
        <v>3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2">
        <v>0</v>
      </c>
      <c r="Z31" s="52">
        <v>0</v>
      </c>
      <c r="AA31" s="52">
        <v>0</v>
      </c>
      <c r="AB31" s="52">
        <f>SUM(Tabla5232[[#This Row],[Naranjas]:[Arandanos]])</f>
        <v>3</v>
      </c>
      <c r="AC31" s="58"/>
    </row>
    <row r="32" spans="1:29" outlineLevel="1" x14ac:dyDescent="0.25">
      <c r="A32" s="194"/>
      <c r="B32" s="50" t="s">
        <v>169</v>
      </c>
      <c r="C32" s="48" t="s">
        <v>170</v>
      </c>
      <c r="D32" s="59" t="s">
        <v>174</v>
      </c>
      <c r="E32" s="59" t="s">
        <v>46</v>
      </c>
      <c r="F32" s="59" t="s">
        <v>87</v>
      </c>
      <c r="G32" s="59" t="s">
        <v>45</v>
      </c>
      <c r="H32" s="59" t="s">
        <v>41</v>
      </c>
      <c r="I32" s="60">
        <v>56966685970</v>
      </c>
      <c r="J32" s="27" t="s">
        <v>175</v>
      </c>
      <c r="K32" s="27" t="s">
        <v>42</v>
      </c>
      <c r="L32" s="52" t="s">
        <v>207</v>
      </c>
      <c r="M32" s="52" t="s">
        <v>207</v>
      </c>
      <c r="N32" s="70">
        <f>SUMPRODUCT(Tabla5232[[#This Row],[Naranjas]:[Arandanos]],O$44:AA$44)</f>
        <v>171500</v>
      </c>
      <c r="O32" s="52">
        <v>0</v>
      </c>
      <c r="P32" s="52">
        <v>0</v>
      </c>
      <c r="Q32" s="52">
        <v>1</v>
      </c>
      <c r="R32" s="52">
        <v>1</v>
      </c>
      <c r="S32" s="52">
        <v>3</v>
      </c>
      <c r="T32" s="52">
        <v>1</v>
      </c>
      <c r="U32" s="52">
        <v>0</v>
      </c>
      <c r="V32" s="52">
        <v>1</v>
      </c>
      <c r="W32" s="52">
        <v>2</v>
      </c>
      <c r="X32" s="52">
        <v>1</v>
      </c>
      <c r="Y32" s="52">
        <v>0</v>
      </c>
      <c r="Z32" s="52">
        <v>12</v>
      </c>
      <c r="AA32" s="52">
        <v>5</v>
      </c>
      <c r="AB32" s="52">
        <f>SUM(Tabla5232[[#This Row],[Naranjas]:[Arandanos]])</f>
        <v>27</v>
      </c>
      <c r="AC32" s="58"/>
    </row>
    <row r="33" spans="1:29" outlineLevel="1" x14ac:dyDescent="0.25">
      <c r="A33" s="194"/>
      <c r="B33" s="56" t="s">
        <v>90</v>
      </c>
      <c r="C33" s="47" t="s">
        <v>52</v>
      </c>
      <c r="D33" s="47" t="s">
        <v>91</v>
      </c>
      <c r="E33" s="47" t="s">
        <v>43</v>
      </c>
      <c r="F33" s="47" t="s">
        <v>47</v>
      </c>
      <c r="G33" s="47" t="s">
        <v>88</v>
      </c>
      <c r="H33" s="47" t="s">
        <v>41</v>
      </c>
      <c r="I33" s="53">
        <v>56982978895</v>
      </c>
      <c r="J33" s="27" t="s">
        <v>92</v>
      </c>
      <c r="K33" s="27" t="s">
        <v>48</v>
      </c>
      <c r="L33" s="52" t="s">
        <v>207</v>
      </c>
      <c r="M33" s="52" t="s">
        <v>207</v>
      </c>
      <c r="N33" s="47">
        <f>SUMPRODUCT(Tabla5232[[#This Row],[Naranjas]:[Arandanos]],O$44:AA$44)</f>
        <v>36000</v>
      </c>
      <c r="O33" s="52">
        <v>0</v>
      </c>
      <c r="P33" s="52">
        <v>0</v>
      </c>
      <c r="Q33" s="52">
        <v>4</v>
      </c>
      <c r="R33" s="52">
        <v>0</v>
      </c>
      <c r="S33" s="52">
        <v>1</v>
      </c>
      <c r="T33" s="52">
        <v>1</v>
      </c>
      <c r="U33" s="52">
        <v>0</v>
      </c>
      <c r="V33" s="52">
        <v>0</v>
      </c>
      <c r="W33" s="52">
        <v>0</v>
      </c>
      <c r="X33" s="52">
        <v>0</v>
      </c>
      <c r="Y33" s="52">
        <v>0</v>
      </c>
      <c r="Z33" s="52">
        <v>0</v>
      </c>
      <c r="AA33" s="52">
        <v>2</v>
      </c>
      <c r="AB33" s="52">
        <f>SUM(Tabla5232[[#This Row],[Naranjas]:[Arandanos]])</f>
        <v>8</v>
      </c>
      <c r="AC33" s="58"/>
    </row>
    <row r="34" spans="1:29" ht="15.75" outlineLevel="1" thickBot="1" x14ac:dyDescent="0.3">
      <c r="A34" s="195"/>
      <c r="B34" s="13" t="s">
        <v>94</v>
      </c>
      <c r="C34" s="14" t="s">
        <v>50</v>
      </c>
      <c r="D34" s="65" t="s">
        <v>95</v>
      </c>
      <c r="E34" s="65" t="s">
        <v>40</v>
      </c>
      <c r="F34" s="65" t="s">
        <v>49</v>
      </c>
      <c r="G34" s="65" t="s">
        <v>51</v>
      </c>
      <c r="H34" s="65" t="s">
        <v>41</v>
      </c>
      <c r="I34" s="66">
        <v>56966640363</v>
      </c>
      <c r="J34" s="46" t="s">
        <v>96</v>
      </c>
      <c r="K34" s="46" t="s">
        <v>48</v>
      </c>
      <c r="L34" s="16" t="s">
        <v>207</v>
      </c>
      <c r="M34" s="16" t="s">
        <v>207</v>
      </c>
      <c r="N34" s="71">
        <f>SUMPRODUCT(Tabla5232[[#This Row],[Naranjas]:[Arandanos]],O$44:AA$44)</f>
        <v>114500</v>
      </c>
      <c r="O34" s="16">
        <v>0</v>
      </c>
      <c r="P34" s="16">
        <v>0</v>
      </c>
      <c r="Q34" s="16">
        <v>1</v>
      </c>
      <c r="R34" s="16">
        <v>1</v>
      </c>
      <c r="S34" s="16">
        <v>2</v>
      </c>
      <c r="T34" s="16">
        <v>0</v>
      </c>
      <c r="U34" s="16">
        <v>2</v>
      </c>
      <c r="V34" s="16">
        <v>0</v>
      </c>
      <c r="W34" s="16">
        <v>0</v>
      </c>
      <c r="X34" s="16">
        <v>0</v>
      </c>
      <c r="Y34" s="16">
        <v>0</v>
      </c>
      <c r="Z34" s="16">
        <v>11</v>
      </c>
      <c r="AA34" s="16">
        <v>0</v>
      </c>
      <c r="AB34" s="16">
        <f>SUM(Tabla5232[[#This Row],[Naranjas]:[Arandanos]])</f>
        <v>17</v>
      </c>
      <c r="AC34" s="45"/>
    </row>
    <row r="35" spans="1:29" outlineLevel="1" x14ac:dyDescent="0.25">
      <c r="A35" s="18"/>
      <c r="B35" s="19"/>
      <c r="C35" s="19"/>
      <c r="D35" s="19"/>
      <c r="E35" s="19"/>
      <c r="F35" s="19"/>
      <c r="G35" s="19"/>
      <c r="H35" s="19"/>
      <c r="I35" s="32"/>
      <c r="J35" s="31"/>
      <c r="K35" s="31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9" ht="15.75" thickBot="1" x14ac:dyDescent="0.3"/>
    <row r="37" spans="1:29" ht="14.65" customHeight="1" thickBot="1" x14ac:dyDescent="0.3">
      <c r="A37" s="172" t="s">
        <v>20</v>
      </c>
      <c r="B37" s="163" t="s">
        <v>7</v>
      </c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5"/>
      <c r="N37" s="95" t="s">
        <v>9</v>
      </c>
      <c r="O37" s="8">
        <f>SUM(Tabla5232[Naranjas])</f>
        <v>0</v>
      </c>
      <c r="P37" s="49">
        <f>SUM(Tabla5232[Mandarinas])</f>
        <v>0</v>
      </c>
      <c r="Q37" s="49">
        <f>SUM(Tabla5232[Paltas])</f>
        <v>86</v>
      </c>
      <c r="R37" s="49">
        <f>SUM(Tabla5232[Quesos])</f>
        <v>21</v>
      </c>
      <c r="S37" s="49">
        <f>SUM(Tabla5232[Frutillas])</f>
        <v>102</v>
      </c>
      <c r="T37" s="49">
        <f>SUM(Tabla5232[Tomate Cherry])</f>
        <v>16</v>
      </c>
      <c r="U37" s="49">
        <f>SUM(Tabla5232[Nueces])</f>
        <v>6</v>
      </c>
      <c r="V37" s="49">
        <f>SUM(Tabla5232[Mani])</f>
        <v>10</v>
      </c>
      <c r="W37" s="49">
        <f>SUM(Tabla5232[Pistachos])</f>
        <v>12</v>
      </c>
      <c r="X37" s="49">
        <f>SUM(Tabla5232[Caju])</f>
        <v>11</v>
      </c>
      <c r="Y37" s="49">
        <f>SUM(Tabla5232[Almendras])</f>
        <v>8</v>
      </c>
      <c r="Z37" s="49">
        <f>SUM(Tabla5232[Cerezas])</f>
        <v>167</v>
      </c>
      <c r="AA37" s="4">
        <f>SUM(Tabla5232[Arandanos])</f>
        <v>18</v>
      </c>
    </row>
    <row r="38" spans="1:29" ht="14.65" customHeight="1" thickBot="1" x14ac:dyDescent="0.3">
      <c r="A38" s="173"/>
      <c r="B38" s="181"/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3"/>
      <c r="N38" s="95" t="s">
        <v>28</v>
      </c>
      <c r="O38" s="9">
        <v>5</v>
      </c>
      <c r="P38" s="52">
        <v>4</v>
      </c>
      <c r="Q38" s="52">
        <v>2</v>
      </c>
      <c r="R38" s="37">
        <v>1</v>
      </c>
      <c r="S38" s="37">
        <v>2</v>
      </c>
      <c r="T38" s="52">
        <v>1</v>
      </c>
      <c r="U38" s="73">
        <v>0.5</v>
      </c>
      <c r="V38" s="73">
        <v>1</v>
      </c>
      <c r="W38" s="73">
        <v>0.5</v>
      </c>
      <c r="X38" s="73">
        <v>0.4</v>
      </c>
      <c r="Y38" s="73">
        <v>0.5</v>
      </c>
      <c r="Z38" s="73">
        <v>5</v>
      </c>
      <c r="AA38" s="38">
        <v>0.5</v>
      </c>
    </row>
    <row r="39" spans="1:29" ht="14.65" customHeight="1" thickBot="1" x14ac:dyDescent="0.3">
      <c r="A39" s="173"/>
      <c r="B39" s="181"/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3"/>
      <c r="N39" s="95" t="s">
        <v>8</v>
      </c>
      <c r="O39" s="9">
        <f>O38*O37</f>
        <v>0</v>
      </c>
      <c r="P39" s="52">
        <f t="shared" ref="P39:AA39" si="0">P38*P37</f>
        <v>0</v>
      </c>
      <c r="Q39" s="52">
        <f t="shared" si="0"/>
        <v>172</v>
      </c>
      <c r="R39" s="52">
        <f t="shared" si="0"/>
        <v>21</v>
      </c>
      <c r="S39" s="52">
        <f>S38*S37</f>
        <v>204</v>
      </c>
      <c r="T39" s="52">
        <f t="shared" si="0"/>
        <v>16</v>
      </c>
      <c r="U39" s="52">
        <f t="shared" si="0"/>
        <v>3</v>
      </c>
      <c r="V39" s="52">
        <f t="shared" si="0"/>
        <v>10</v>
      </c>
      <c r="W39" s="52">
        <f t="shared" si="0"/>
        <v>6</v>
      </c>
      <c r="X39" s="52">
        <f t="shared" si="0"/>
        <v>4.4000000000000004</v>
      </c>
      <c r="Y39" s="52">
        <f t="shared" si="0"/>
        <v>4</v>
      </c>
      <c r="Z39" s="52">
        <f t="shared" si="0"/>
        <v>835</v>
      </c>
      <c r="AA39" s="11">
        <f t="shared" si="0"/>
        <v>9</v>
      </c>
    </row>
    <row r="40" spans="1:29" ht="15.75" thickBot="1" x14ac:dyDescent="0.3">
      <c r="A40" s="173"/>
      <c r="B40" s="166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8"/>
      <c r="N40" s="95" t="s">
        <v>10</v>
      </c>
      <c r="O40" s="10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2"/>
    </row>
    <row r="41" spans="1:29" ht="15.75" thickBot="1" x14ac:dyDescent="0.3">
      <c r="A41" s="173"/>
      <c r="B41" s="96"/>
      <c r="C41" s="19"/>
      <c r="D41" s="23"/>
      <c r="E41" s="24"/>
      <c r="F41" s="24"/>
      <c r="G41" s="24"/>
      <c r="H41" s="24"/>
      <c r="I41" s="24"/>
      <c r="J41" s="24"/>
      <c r="K41" s="25"/>
      <c r="N41" s="3"/>
    </row>
    <row r="42" spans="1:29" ht="15.75" thickBot="1" x14ac:dyDescent="0.3">
      <c r="A42" s="173"/>
      <c r="B42" s="163" t="s">
        <v>12</v>
      </c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5"/>
      <c r="N42" s="95" t="s">
        <v>13</v>
      </c>
      <c r="O42" s="54">
        <f>O43*O38</f>
        <v>2750</v>
      </c>
      <c r="P42" s="51">
        <f t="shared" ref="P42:AA42" si="1">P43*P38</f>
        <v>2200</v>
      </c>
      <c r="Q42" s="51">
        <f t="shared" si="1"/>
        <v>3100</v>
      </c>
      <c r="R42" s="51">
        <f t="shared" si="1"/>
        <v>6716</v>
      </c>
      <c r="S42" s="51">
        <f>S43*S38</f>
        <v>2600</v>
      </c>
      <c r="T42" s="51">
        <f t="shared" si="1"/>
        <v>2300</v>
      </c>
      <c r="U42" s="51">
        <f t="shared" si="1"/>
        <v>3750</v>
      </c>
      <c r="V42" s="51">
        <f t="shared" si="1"/>
        <v>3500</v>
      </c>
      <c r="W42" s="51">
        <f t="shared" si="1"/>
        <v>7050</v>
      </c>
      <c r="X42" s="51">
        <f t="shared" si="1"/>
        <v>5320</v>
      </c>
      <c r="Y42" s="51">
        <f t="shared" si="1"/>
        <v>5350</v>
      </c>
      <c r="Z42" s="51">
        <f t="shared" si="1"/>
        <v>6000</v>
      </c>
      <c r="AA42" s="15">
        <f t="shared" si="1"/>
        <v>600</v>
      </c>
    </row>
    <row r="43" spans="1:29" ht="15.75" thickBot="1" x14ac:dyDescent="0.3">
      <c r="A43" s="173"/>
      <c r="B43" s="181"/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3"/>
      <c r="N43" s="95" t="s">
        <v>8</v>
      </c>
      <c r="O43" s="77">
        <v>550</v>
      </c>
      <c r="P43" s="76">
        <v>550</v>
      </c>
      <c r="Q43" s="76">
        <v>1550</v>
      </c>
      <c r="R43" s="76">
        <v>6716</v>
      </c>
      <c r="S43" s="76">
        <v>1300</v>
      </c>
      <c r="T43" s="76">
        <v>2300</v>
      </c>
      <c r="U43" s="76">
        <v>7500</v>
      </c>
      <c r="V43" s="76">
        <v>3500</v>
      </c>
      <c r="W43" s="76">
        <v>14100</v>
      </c>
      <c r="X43" s="76">
        <v>13300</v>
      </c>
      <c r="Y43" s="76">
        <v>10700</v>
      </c>
      <c r="Z43" s="76">
        <f>6000/5</f>
        <v>1200</v>
      </c>
      <c r="AA43" s="80">
        <f>6000/5</f>
        <v>1200</v>
      </c>
    </row>
    <row r="44" spans="1:29" ht="15.75" thickBot="1" x14ac:dyDescent="0.3">
      <c r="A44" s="173"/>
      <c r="B44" s="166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8"/>
      <c r="N44" s="95" t="s">
        <v>14</v>
      </c>
      <c r="O44" s="78">
        <v>3500</v>
      </c>
      <c r="P44" s="79">
        <v>4500</v>
      </c>
      <c r="Q44" s="79">
        <v>4500</v>
      </c>
      <c r="R44" s="79">
        <v>7500</v>
      </c>
      <c r="S44" s="79">
        <v>4500</v>
      </c>
      <c r="T44" s="79">
        <v>4500</v>
      </c>
      <c r="U44" s="79">
        <v>5500</v>
      </c>
      <c r="V44" s="79">
        <v>4500</v>
      </c>
      <c r="W44" s="79">
        <v>8500</v>
      </c>
      <c r="X44" s="79">
        <v>7500</v>
      </c>
      <c r="Y44" s="79">
        <v>7500</v>
      </c>
      <c r="Z44" s="79">
        <v>7500</v>
      </c>
      <c r="AA44" s="81">
        <v>4500</v>
      </c>
    </row>
    <row r="45" spans="1:29" ht="15.75" thickBot="1" x14ac:dyDescent="0.3">
      <c r="A45" s="173"/>
      <c r="B45" s="96"/>
      <c r="C45" s="19"/>
      <c r="D45" s="23"/>
      <c r="E45" s="24"/>
      <c r="F45" s="24"/>
      <c r="G45" s="24"/>
      <c r="H45" s="24"/>
      <c r="I45" s="24"/>
      <c r="J45" s="24"/>
      <c r="K45" s="25"/>
      <c r="N45" s="3"/>
    </row>
    <row r="46" spans="1:29" ht="14.65" customHeight="1" thickBot="1" x14ac:dyDescent="0.3">
      <c r="A46" s="173"/>
      <c r="B46" s="163" t="s">
        <v>15</v>
      </c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5"/>
      <c r="N46" s="95" t="s">
        <v>19</v>
      </c>
      <c r="O46" s="87">
        <f>O37*O42</f>
        <v>0</v>
      </c>
      <c r="P46" s="88">
        <f t="shared" ref="P46:AA46" si="2">P37*P42</f>
        <v>0</v>
      </c>
      <c r="Q46" s="88">
        <f t="shared" si="2"/>
        <v>266600</v>
      </c>
      <c r="R46" s="89">
        <f t="shared" si="2"/>
        <v>141036</v>
      </c>
      <c r="S46" s="89">
        <f t="shared" si="2"/>
        <v>265200</v>
      </c>
      <c r="T46" s="88">
        <f>T37*T42</f>
        <v>36800</v>
      </c>
      <c r="U46" s="88">
        <f t="shared" si="2"/>
        <v>22500</v>
      </c>
      <c r="V46" s="88">
        <f t="shared" si="2"/>
        <v>35000</v>
      </c>
      <c r="W46" s="88">
        <f t="shared" si="2"/>
        <v>84600</v>
      </c>
      <c r="X46" s="88">
        <f t="shared" si="2"/>
        <v>58520</v>
      </c>
      <c r="Y46" s="88">
        <f t="shared" si="2"/>
        <v>42800</v>
      </c>
      <c r="Z46" s="88">
        <f t="shared" si="2"/>
        <v>1002000</v>
      </c>
      <c r="AA46" s="90">
        <f t="shared" si="2"/>
        <v>10800</v>
      </c>
    </row>
    <row r="47" spans="1:29" ht="15.75" thickBot="1" x14ac:dyDescent="0.3">
      <c r="A47" s="173"/>
      <c r="B47" s="166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8"/>
      <c r="N47" s="95" t="s">
        <v>16</v>
      </c>
      <c r="O47" s="160">
        <f>SUM(O46:AA46)</f>
        <v>1965856</v>
      </c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2"/>
    </row>
    <row r="48" spans="1:29" ht="15.75" thickBot="1" x14ac:dyDescent="0.3">
      <c r="A48" s="173"/>
      <c r="B48" s="163" t="s">
        <v>17</v>
      </c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5"/>
      <c r="N48" s="95" t="s">
        <v>19</v>
      </c>
      <c r="O48" s="50">
        <f t="shared" ref="O48:AA48" si="3">O44*O37</f>
        <v>0</v>
      </c>
      <c r="P48" s="48">
        <f t="shared" si="3"/>
        <v>0</v>
      </c>
      <c r="Q48" s="48">
        <f t="shared" si="3"/>
        <v>387000</v>
      </c>
      <c r="R48" s="48">
        <f t="shared" si="3"/>
        <v>157500</v>
      </c>
      <c r="S48" s="48">
        <f t="shared" si="3"/>
        <v>459000</v>
      </c>
      <c r="T48" s="48">
        <f t="shared" si="3"/>
        <v>72000</v>
      </c>
      <c r="U48" s="48">
        <f t="shared" si="3"/>
        <v>33000</v>
      </c>
      <c r="V48" s="48">
        <f t="shared" si="3"/>
        <v>45000</v>
      </c>
      <c r="W48" s="48">
        <f t="shared" si="3"/>
        <v>102000</v>
      </c>
      <c r="X48" s="48">
        <f t="shared" si="3"/>
        <v>82500</v>
      </c>
      <c r="Y48" s="48">
        <f t="shared" si="3"/>
        <v>60000</v>
      </c>
      <c r="Z48" s="48">
        <f t="shared" si="3"/>
        <v>1252500</v>
      </c>
      <c r="AA48" s="91">
        <f t="shared" si="3"/>
        <v>81000</v>
      </c>
    </row>
    <row r="49" spans="1:27" ht="15.75" thickBot="1" x14ac:dyDescent="0.3">
      <c r="A49" s="173"/>
      <c r="B49" s="166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8"/>
      <c r="N49" s="95" t="s">
        <v>16</v>
      </c>
      <c r="O49" s="160">
        <f>SUM(O48:AA48)</f>
        <v>2731500</v>
      </c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2"/>
    </row>
    <row r="50" spans="1:27" ht="14.65" customHeight="1" thickBot="1" x14ac:dyDescent="0.3">
      <c r="A50" s="173"/>
      <c r="B50" s="163" t="s">
        <v>18</v>
      </c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5"/>
      <c r="N50" s="95" t="s">
        <v>19</v>
      </c>
      <c r="O50" s="50">
        <f>O48-O46</f>
        <v>0</v>
      </c>
      <c r="P50" s="48">
        <f t="shared" ref="P50:AA50" si="4">P48-P46</f>
        <v>0</v>
      </c>
      <c r="Q50" s="48">
        <f t="shared" si="4"/>
        <v>120400</v>
      </c>
      <c r="R50" s="48">
        <f t="shared" si="4"/>
        <v>16464</v>
      </c>
      <c r="S50" s="48">
        <f t="shared" si="4"/>
        <v>193800</v>
      </c>
      <c r="T50" s="48">
        <f t="shared" si="4"/>
        <v>35200</v>
      </c>
      <c r="U50" s="48">
        <f t="shared" si="4"/>
        <v>10500</v>
      </c>
      <c r="V50" s="48">
        <f t="shared" si="4"/>
        <v>10000</v>
      </c>
      <c r="W50" s="48">
        <f t="shared" si="4"/>
        <v>17400</v>
      </c>
      <c r="X50" s="48">
        <f t="shared" si="4"/>
        <v>23980</v>
      </c>
      <c r="Y50" s="48">
        <f t="shared" si="4"/>
        <v>17200</v>
      </c>
      <c r="Z50" s="48">
        <f t="shared" si="4"/>
        <v>250500</v>
      </c>
      <c r="AA50" s="91">
        <f t="shared" si="4"/>
        <v>70200</v>
      </c>
    </row>
    <row r="51" spans="1:27" ht="29.65" customHeight="1" thickBot="1" x14ac:dyDescent="0.3">
      <c r="A51" s="173"/>
      <c r="B51" s="166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8"/>
      <c r="N51" s="95" t="s">
        <v>29</v>
      </c>
      <c r="O51" s="157">
        <f>O49-O47</f>
        <v>765644</v>
      </c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9"/>
    </row>
    <row r="52" spans="1:27" ht="15.75" thickBot="1" x14ac:dyDescent="0.3">
      <c r="A52" s="173"/>
    </row>
    <row r="53" spans="1:27" ht="14.65" customHeight="1" thickBot="1" x14ac:dyDescent="0.3">
      <c r="A53" s="173"/>
      <c r="B53" s="184" t="s">
        <v>25</v>
      </c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6"/>
      <c r="O53" s="175" t="s">
        <v>26</v>
      </c>
      <c r="P53" s="176"/>
      <c r="Q53" s="177"/>
      <c r="R53" s="29" t="s">
        <v>27</v>
      </c>
      <c r="S53" s="61"/>
      <c r="T53" s="5"/>
      <c r="U53" s="5"/>
      <c r="V53" s="5"/>
      <c r="W53" s="5"/>
      <c r="X53" s="5"/>
      <c r="Y53" s="5"/>
      <c r="Z53" s="5"/>
      <c r="AA53" s="5"/>
    </row>
    <row r="54" spans="1:27" ht="15" customHeight="1" x14ac:dyDescent="0.25">
      <c r="A54" s="173"/>
      <c r="B54" s="187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9"/>
      <c r="O54" s="145"/>
      <c r="P54" s="146"/>
      <c r="Q54" s="147"/>
      <c r="R54" s="33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x14ac:dyDescent="0.25">
      <c r="A55" s="173"/>
      <c r="B55" s="187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9"/>
      <c r="O55" s="142"/>
      <c r="P55" s="143"/>
      <c r="Q55" s="144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" customHeight="1" x14ac:dyDescent="0.25">
      <c r="A56" s="173"/>
      <c r="B56" s="187"/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9"/>
      <c r="O56" s="142"/>
      <c r="P56" s="143"/>
      <c r="Q56" s="144"/>
      <c r="R56" s="34"/>
      <c r="S56" s="62"/>
      <c r="T56" s="6"/>
      <c r="U56" s="6"/>
      <c r="V56" s="6"/>
      <c r="W56" s="6"/>
      <c r="X56" s="6"/>
      <c r="Y56" s="6"/>
      <c r="Z56" s="6"/>
      <c r="AA56" s="6"/>
    </row>
    <row r="57" spans="1:27" ht="15" customHeight="1" x14ac:dyDescent="0.25">
      <c r="A57" s="173"/>
      <c r="B57" s="187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9"/>
      <c r="O57" s="142"/>
      <c r="P57" s="143"/>
      <c r="Q57" s="144"/>
      <c r="R57" s="34"/>
      <c r="S57" s="62"/>
      <c r="T57" s="6"/>
      <c r="U57" s="6"/>
      <c r="V57" s="6"/>
      <c r="W57" s="6"/>
      <c r="X57" s="6"/>
      <c r="Y57" s="6"/>
      <c r="Z57" s="6"/>
      <c r="AA57" s="6"/>
    </row>
    <row r="58" spans="1:27" ht="15" customHeight="1" x14ac:dyDescent="0.25">
      <c r="A58" s="173"/>
      <c r="B58" s="187"/>
      <c r="C58" s="188"/>
      <c r="D58" s="188"/>
      <c r="E58" s="188"/>
      <c r="F58" s="188"/>
      <c r="G58" s="188"/>
      <c r="H58" s="188"/>
      <c r="I58" s="188"/>
      <c r="J58" s="188"/>
      <c r="K58" s="188"/>
      <c r="L58" s="188"/>
      <c r="M58" s="188"/>
      <c r="N58" s="189"/>
      <c r="O58" s="142"/>
      <c r="P58" s="143"/>
      <c r="Q58" s="144"/>
      <c r="R58" s="34"/>
      <c r="S58" s="62"/>
      <c r="T58" s="6"/>
      <c r="U58" s="6"/>
      <c r="V58" s="6"/>
      <c r="W58" s="6"/>
      <c r="X58" s="6"/>
      <c r="Y58" s="6"/>
      <c r="Z58" s="6"/>
      <c r="AA58" s="6"/>
    </row>
    <row r="59" spans="1:27" ht="15" customHeight="1" x14ac:dyDescent="0.25">
      <c r="A59" s="173"/>
      <c r="B59" s="187"/>
      <c r="C59" s="188"/>
      <c r="D59" s="188"/>
      <c r="E59" s="188"/>
      <c r="F59" s="188"/>
      <c r="G59" s="188"/>
      <c r="H59" s="188"/>
      <c r="I59" s="188"/>
      <c r="J59" s="188"/>
      <c r="K59" s="188"/>
      <c r="L59" s="188"/>
      <c r="M59" s="188"/>
      <c r="N59" s="189"/>
      <c r="O59" s="142"/>
      <c r="P59" s="143"/>
      <c r="Q59" s="144"/>
      <c r="R59" s="34"/>
      <c r="S59" s="62"/>
      <c r="T59" s="6"/>
      <c r="U59" s="6"/>
      <c r="V59" s="6"/>
      <c r="W59" s="6"/>
      <c r="X59" s="6"/>
      <c r="Y59" s="6"/>
      <c r="Z59" s="6"/>
      <c r="AA59" s="6"/>
    </row>
    <row r="60" spans="1:27" ht="15" customHeight="1" thickBot="1" x14ac:dyDescent="0.3">
      <c r="A60" s="173"/>
      <c r="B60" s="187"/>
      <c r="C60" s="188"/>
      <c r="D60" s="188"/>
      <c r="E60" s="188"/>
      <c r="F60" s="188"/>
      <c r="G60" s="188"/>
      <c r="H60" s="188"/>
      <c r="I60" s="188"/>
      <c r="J60" s="188"/>
      <c r="K60" s="188"/>
      <c r="L60" s="188"/>
      <c r="M60" s="188"/>
      <c r="N60" s="189"/>
      <c r="O60" s="148"/>
      <c r="P60" s="149"/>
      <c r="Q60" s="150"/>
      <c r="R60" s="34"/>
      <c r="S60" s="62"/>
      <c r="T60" s="6"/>
      <c r="U60" s="6"/>
      <c r="V60" s="6"/>
      <c r="W60" s="6"/>
      <c r="X60" s="6"/>
      <c r="Y60" s="6"/>
      <c r="Z60" s="6"/>
      <c r="AA60" s="6"/>
    </row>
    <row r="61" spans="1:27" ht="15.75" customHeight="1" thickBot="1" x14ac:dyDescent="0.3">
      <c r="A61" s="173"/>
      <c r="B61" s="190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2"/>
      <c r="O61" s="139" t="s">
        <v>16</v>
      </c>
      <c r="P61" s="140"/>
      <c r="Q61" s="141"/>
      <c r="R61" s="35">
        <f>SUM(R54:R60)</f>
        <v>0</v>
      </c>
      <c r="S61" s="63"/>
      <c r="T61" s="6"/>
      <c r="U61" s="6"/>
      <c r="V61" s="6"/>
      <c r="W61" s="6"/>
      <c r="X61" s="6"/>
      <c r="Y61" s="6"/>
      <c r="Z61" s="6"/>
      <c r="AA61" s="6"/>
    </row>
    <row r="62" spans="1:27" ht="15.75" thickBot="1" x14ac:dyDescent="0.3">
      <c r="A62" s="173"/>
    </row>
    <row r="63" spans="1:27" ht="51.75" customHeight="1" thickBot="1" x14ac:dyDescent="0.3">
      <c r="A63" s="174"/>
      <c r="B63" s="175" t="s">
        <v>18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7"/>
      <c r="M63" s="95"/>
      <c r="N63" s="94" t="s">
        <v>16</v>
      </c>
      <c r="O63" s="178">
        <f>O51-SUM(R54:R60)</f>
        <v>765644</v>
      </c>
      <c r="P63" s="179"/>
      <c r="Q63" s="179"/>
      <c r="R63" s="179"/>
      <c r="S63" s="179"/>
      <c r="T63" s="179"/>
      <c r="U63" s="180"/>
      <c r="V63" s="72"/>
      <c r="W63" s="72"/>
      <c r="X63" s="72"/>
      <c r="Y63" s="72"/>
      <c r="Z63" s="72"/>
      <c r="AA63" s="72"/>
    </row>
    <row r="64" spans="1:27" ht="15.75" customHeight="1" x14ac:dyDescent="0.25">
      <c r="A64" s="30"/>
      <c r="P64" s="28"/>
      <c r="Q64" s="28"/>
      <c r="R64" s="28"/>
      <c r="S64" s="28"/>
      <c r="U64" s="97"/>
      <c r="V64" s="97"/>
      <c r="W64" s="97"/>
      <c r="X64" s="97"/>
      <c r="Y64" s="97"/>
      <c r="Z64" s="97"/>
      <c r="AA64" s="97"/>
    </row>
    <row r="65" spans="1:27" ht="15" customHeight="1" x14ac:dyDescent="0.25">
      <c r="A65" s="30"/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:27" ht="1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  <row r="68" spans="1:27" ht="15" customHeight="1" x14ac:dyDescent="0.25">
      <c r="P68" s="28"/>
      <c r="Q68" s="28"/>
      <c r="R68" s="28"/>
      <c r="S68" s="28"/>
      <c r="U68" s="7"/>
      <c r="V68" s="7"/>
      <c r="W68" s="7"/>
      <c r="X68" s="7"/>
      <c r="Y68" s="7"/>
      <c r="Z68" s="7"/>
      <c r="AA68" s="7"/>
    </row>
    <row r="69" spans="1:27" ht="15" customHeight="1" x14ac:dyDescent="0.25">
      <c r="P69" s="28"/>
      <c r="Q69" s="28"/>
      <c r="R69" s="28"/>
      <c r="S69" s="28"/>
      <c r="U69" s="7"/>
      <c r="V69" s="7"/>
      <c r="W69" s="7"/>
      <c r="X69" s="7"/>
      <c r="Y69" s="7"/>
      <c r="Z69" s="7"/>
      <c r="AA69" s="7"/>
    </row>
    <row r="70" spans="1:27" ht="15" customHeight="1" x14ac:dyDescent="0.25">
      <c r="P70" s="28"/>
      <c r="Q70" s="28"/>
      <c r="R70" s="28"/>
      <c r="S70" s="28"/>
      <c r="U70" s="7"/>
      <c r="V70" s="7"/>
      <c r="W70" s="7"/>
      <c r="X70" s="7"/>
      <c r="Y70" s="7"/>
      <c r="Z70" s="7"/>
      <c r="AA70" s="7"/>
    </row>
    <row r="71" spans="1:27" ht="15" customHeight="1" x14ac:dyDescent="0.25">
      <c r="P71" s="28"/>
      <c r="Q71" s="28"/>
      <c r="R71" s="28"/>
      <c r="S71" s="28"/>
      <c r="U71" s="7"/>
      <c r="V71" s="7"/>
      <c r="W71" s="7"/>
      <c r="X71" s="7"/>
      <c r="Y71" s="7"/>
      <c r="Z71" s="7"/>
      <c r="AA71" s="7"/>
    </row>
    <row r="72" spans="1:27" ht="15.75" customHeight="1" x14ac:dyDescent="0.25">
      <c r="P72" s="28"/>
      <c r="Q72" s="28"/>
      <c r="R72" s="28"/>
      <c r="S72" s="28"/>
      <c r="U72" s="7"/>
      <c r="V72" s="7"/>
      <c r="W72" s="7"/>
      <c r="X72" s="7"/>
      <c r="Y72" s="7"/>
      <c r="Z72" s="7"/>
      <c r="AA72" s="7"/>
    </row>
  </sheetData>
  <mergeCells count="24">
    <mergeCell ref="B2:N2"/>
    <mergeCell ref="O2:AA2"/>
    <mergeCell ref="A37:A63"/>
    <mergeCell ref="B37:M40"/>
    <mergeCell ref="B42:M44"/>
    <mergeCell ref="B46:M47"/>
    <mergeCell ref="O47:AA47"/>
    <mergeCell ref="B48:M49"/>
    <mergeCell ref="O49:AA49"/>
    <mergeCell ref="A5:A34"/>
    <mergeCell ref="O60:Q60"/>
    <mergeCell ref="O61:Q61"/>
    <mergeCell ref="B63:L63"/>
    <mergeCell ref="O63:U63"/>
    <mergeCell ref="B50:M51"/>
    <mergeCell ref="O51:AA51"/>
    <mergeCell ref="B53:N61"/>
    <mergeCell ref="O53:Q53"/>
    <mergeCell ref="O54:Q54"/>
    <mergeCell ref="O55:Q55"/>
    <mergeCell ref="O56:Q56"/>
    <mergeCell ref="O57:Q57"/>
    <mergeCell ref="O58:Q58"/>
    <mergeCell ref="O59:Q59"/>
  </mergeCells>
  <conditionalFormatting sqref="AB5:AB34">
    <cfRule type="cellIs" dxfId="14" priority="1" operator="lessThan">
      <formula>20</formula>
    </cfRule>
    <cfRule type="cellIs" dxfId="13" priority="2" operator="between">
      <formula>20</formula>
      <formula>29</formula>
    </cfRule>
    <cfRule type="cellIs" dxfId="12" priority="3" operator="greaterThan">
      <formula>29</formula>
    </cfRule>
  </conditionalFormatting>
  <hyperlinks>
    <hyperlink ref="J21" r:id="rId1" xr:uid="{9E5AB1B0-9C1A-4ABA-B6C2-4C8624C24696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E6E12-CCA4-475A-9BEF-0E4597D0DB76}">
  <sheetPr codeName="Hoja3">
    <pageSetUpPr autoPageBreaks="0"/>
  </sheetPr>
  <dimension ref="A1:AB62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P9" sqref="P9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9" t="s">
        <v>38</v>
      </c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6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93" t="s">
        <v>39</v>
      </c>
      <c r="B5" s="87" t="s">
        <v>201</v>
      </c>
      <c r="C5" s="88" t="s">
        <v>202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5">
        <v>0</v>
      </c>
      <c r="J5" s="26" t="s">
        <v>138</v>
      </c>
      <c r="K5" s="26">
        <v>0</v>
      </c>
      <c r="L5" s="49" t="s">
        <v>208</v>
      </c>
      <c r="M5" s="49" t="s">
        <v>208</v>
      </c>
      <c r="N5" s="116">
        <f>SUMPRODUCT(Tabla5234[[#This Row],[Paltas]:[Empanadas]],O$34:Z$34)</f>
        <v>70000</v>
      </c>
      <c r="O5" s="49">
        <v>1</v>
      </c>
      <c r="P5" s="49">
        <v>2</v>
      </c>
      <c r="Q5" s="49">
        <v>0</v>
      </c>
      <c r="R5" s="49">
        <v>1</v>
      </c>
      <c r="S5" s="49">
        <v>0</v>
      </c>
      <c r="T5" s="49">
        <v>0</v>
      </c>
      <c r="U5" s="49">
        <v>1</v>
      </c>
      <c r="V5" s="49">
        <v>0</v>
      </c>
      <c r="W5" s="49">
        <v>2</v>
      </c>
      <c r="X5" s="49">
        <v>3</v>
      </c>
      <c r="Y5" s="49">
        <v>0</v>
      </c>
      <c r="Z5" s="49">
        <v>0</v>
      </c>
      <c r="AA5" s="49">
        <f>SUM(Tabla5234[[#This Row],[Paltas]:[Empanadas]])</f>
        <v>10</v>
      </c>
      <c r="AB5" s="57"/>
    </row>
    <row r="6" spans="1:28" outlineLevel="1" x14ac:dyDescent="0.25">
      <c r="A6" s="194"/>
      <c r="B6" s="50" t="s">
        <v>186</v>
      </c>
      <c r="C6" s="48" t="s">
        <v>128</v>
      </c>
      <c r="D6" s="59" t="s">
        <v>187</v>
      </c>
      <c r="E6" s="59" t="s">
        <v>46</v>
      </c>
      <c r="F6" s="59" t="s">
        <v>87</v>
      </c>
      <c r="G6" s="59">
        <v>0</v>
      </c>
      <c r="H6" s="59" t="s">
        <v>41</v>
      </c>
      <c r="I6" s="60">
        <v>0</v>
      </c>
      <c r="J6" s="27" t="s">
        <v>138</v>
      </c>
      <c r="K6" s="27">
        <v>0</v>
      </c>
      <c r="L6" s="52" t="s">
        <v>207</v>
      </c>
      <c r="M6" s="52" t="s">
        <v>208</v>
      </c>
      <c r="N6" s="70">
        <f>SUMPRODUCT(Tabla5234[[#This Row],[Paltas]:[Empanadas]],O$34:Z$34)</f>
        <v>320500</v>
      </c>
      <c r="O6" s="52">
        <v>2</v>
      </c>
      <c r="P6" s="52">
        <v>2</v>
      </c>
      <c r="Q6" s="52">
        <f>2+1</f>
        <v>3</v>
      </c>
      <c r="R6" s="52">
        <v>0</v>
      </c>
      <c r="S6" s="52">
        <v>0</v>
      </c>
      <c r="T6" s="52">
        <v>1</v>
      </c>
      <c r="U6" s="52">
        <v>0</v>
      </c>
      <c r="V6" s="52">
        <v>0</v>
      </c>
      <c r="W6" s="52">
        <v>0</v>
      </c>
      <c r="X6" s="52">
        <v>5</v>
      </c>
      <c r="Y6" s="52">
        <f>2+1</f>
        <v>3</v>
      </c>
      <c r="Z6" s="52">
        <v>13</v>
      </c>
      <c r="AA6" s="52">
        <f>SUM(Tabla5234[[#This Row],[Paltas]:[Empanadas]])</f>
        <v>29</v>
      </c>
      <c r="AB6" s="58"/>
    </row>
    <row r="7" spans="1:28" outlineLevel="1" x14ac:dyDescent="0.25">
      <c r="A7" s="194"/>
      <c r="B7" s="50" t="s">
        <v>136</v>
      </c>
      <c r="C7" s="48" t="s">
        <v>137</v>
      </c>
      <c r="D7" s="59" t="s">
        <v>172</v>
      </c>
      <c r="E7" s="59" t="s">
        <v>40</v>
      </c>
      <c r="F7" s="59" t="s">
        <v>75</v>
      </c>
      <c r="G7" s="59" t="s">
        <v>113</v>
      </c>
      <c r="H7" s="59" t="s">
        <v>41</v>
      </c>
      <c r="I7" s="60">
        <v>56992704205</v>
      </c>
      <c r="J7" s="27" t="s">
        <v>173</v>
      </c>
      <c r="K7" s="27" t="s">
        <v>54</v>
      </c>
      <c r="L7" s="52" t="s">
        <v>207</v>
      </c>
      <c r="M7" s="52" t="s">
        <v>208</v>
      </c>
      <c r="N7" s="70">
        <f>SUMPRODUCT(Tabla5234[[#This Row],[Paltas]:[Empanadas]],O$34:Z$34)</f>
        <v>225000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30</v>
      </c>
      <c r="Y7" s="52">
        <v>0</v>
      </c>
      <c r="Z7" s="52">
        <v>0</v>
      </c>
      <c r="AA7" s="52">
        <f>SUM(Tabla5234[[#This Row],[Paltas]:[Empanadas]])</f>
        <v>30</v>
      </c>
      <c r="AB7" s="58"/>
    </row>
    <row r="8" spans="1:28" outlineLevel="1" x14ac:dyDescent="0.25">
      <c r="A8" s="194"/>
      <c r="B8" s="56" t="s">
        <v>122</v>
      </c>
      <c r="C8" s="47" t="s">
        <v>123</v>
      </c>
      <c r="D8" s="47" t="s">
        <v>124</v>
      </c>
      <c r="E8" s="47" t="s">
        <v>40</v>
      </c>
      <c r="F8" s="47" t="s">
        <v>49</v>
      </c>
      <c r="G8" s="47" t="s">
        <v>125</v>
      </c>
      <c r="H8" s="47" t="s">
        <v>41</v>
      </c>
      <c r="I8" s="53">
        <v>56968320616</v>
      </c>
      <c r="J8" s="27" t="s">
        <v>126</v>
      </c>
      <c r="K8" s="27" t="s">
        <v>54</v>
      </c>
      <c r="L8" s="52" t="s">
        <v>207</v>
      </c>
      <c r="M8" s="52" t="s">
        <v>208</v>
      </c>
      <c r="N8" s="47">
        <f>SUMPRODUCT(Tabla5234[[#This Row],[Paltas]:[Empanadas]],O$34:Z$34)</f>
        <v>18000</v>
      </c>
      <c r="O8" s="52">
        <v>0</v>
      </c>
      <c r="P8" s="52">
        <v>0</v>
      </c>
      <c r="Q8" s="52">
        <v>3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1</v>
      </c>
      <c r="Z8" s="52">
        <v>0</v>
      </c>
      <c r="AA8" s="52">
        <f>SUM(Tabla5234[[#This Row],[Paltas]:[Empanadas]])</f>
        <v>4</v>
      </c>
      <c r="AB8" s="58"/>
    </row>
    <row r="9" spans="1:28" outlineLevel="1" x14ac:dyDescent="0.25">
      <c r="A9" s="194"/>
      <c r="B9" s="50" t="s">
        <v>169</v>
      </c>
      <c r="C9" s="48" t="s">
        <v>170</v>
      </c>
      <c r="D9" s="59" t="s">
        <v>174</v>
      </c>
      <c r="E9" s="59" t="s">
        <v>46</v>
      </c>
      <c r="F9" s="59" t="s">
        <v>87</v>
      </c>
      <c r="G9" s="59" t="s">
        <v>45</v>
      </c>
      <c r="H9" s="59" t="s">
        <v>41</v>
      </c>
      <c r="I9" s="60">
        <v>56966685970</v>
      </c>
      <c r="J9" s="27" t="s">
        <v>175</v>
      </c>
      <c r="K9" s="27" t="s">
        <v>42</v>
      </c>
      <c r="L9" s="52" t="s">
        <v>207</v>
      </c>
      <c r="M9" s="52" t="s">
        <v>208</v>
      </c>
      <c r="N9" s="70">
        <f>SUMPRODUCT(Tabla5234[[#This Row],[Paltas]:[Empanadas]],O$34:Z$34)</f>
        <v>46000</v>
      </c>
      <c r="O9" s="52">
        <v>0</v>
      </c>
      <c r="P9" s="52">
        <v>1</v>
      </c>
      <c r="Q9" s="52">
        <f>0+2</f>
        <v>2</v>
      </c>
      <c r="R9" s="52">
        <v>0</v>
      </c>
      <c r="S9" s="52">
        <v>1</v>
      </c>
      <c r="T9" s="52">
        <v>1</v>
      </c>
      <c r="U9" s="52">
        <v>0</v>
      </c>
      <c r="V9" s="52">
        <v>0</v>
      </c>
      <c r="W9" s="52">
        <v>0</v>
      </c>
      <c r="X9" s="52">
        <f>1+1</f>
        <v>2</v>
      </c>
      <c r="Y9" s="52">
        <v>1</v>
      </c>
      <c r="Z9" s="52">
        <v>0</v>
      </c>
      <c r="AA9" s="52">
        <f>SUM(Tabla5234[[#This Row],[Paltas]:[Empanadas]])</f>
        <v>8</v>
      </c>
      <c r="AB9" s="58"/>
    </row>
    <row r="10" spans="1:28" outlineLevel="1" x14ac:dyDescent="0.25">
      <c r="A10" s="194"/>
      <c r="B10" s="50" t="s">
        <v>139</v>
      </c>
      <c r="C10" s="48" t="s">
        <v>140</v>
      </c>
      <c r="D10" s="59" t="s">
        <v>141</v>
      </c>
      <c r="E10" s="59" t="s">
        <v>40</v>
      </c>
      <c r="F10" s="59" t="s">
        <v>75</v>
      </c>
      <c r="G10" s="59" t="s">
        <v>93</v>
      </c>
      <c r="H10" s="59" t="s">
        <v>41</v>
      </c>
      <c r="I10" s="60">
        <v>56991592586</v>
      </c>
      <c r="J10" s="27" t="s">
        <v>142</v>
      </c>
      <c r="K10" s="27" t="s">
        <v>42</v>
      </c>
      <c r="L10" s="52" t="s">
        <v>207</v>
      </c>
      <c r="M10" s="52" t="s">
        <v>208</v>
      </c>
      <c r="N10" s="70">
        <f>SUMPRODUCT(Tabla5234[[#This Row],[Paltas]:[Empanadas]],O$34:Z$34)</f>
        <v>4500</v>
      </c>
      <c r="O10" s="52">
        <v>1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SUM(Tabla5234[[#This Row],[Paltas]:[Empanadas]])</f>
        <v>1</v>
      </c>
      <c r="AB10" s="58"/>
    </row>
    <row r="11" spans="1:28" outlineLevel="1" x14ac:dyDescent="0.25">
      <c r="A11" s="194"/>
      <c r="B11" s="50" t="s">
        <v>150</v>
      </c>
      <c r="C11" s="48" t="s">
        <v>165</v>
      </c>
      <c r="D11" s="59" t="s">
        <v>200</v>
      </c>
      <c r="E11" s="59" t="s">
        <v>43</v>
      </c>
      <c r="F11" s="59" t="s">
        <v>47</v>
      </c>
      <c r="G11" s="59" t="s">
        <v>167</v>
      </c>
      <c r="H11" s="59" t="s">
        <v>41</v>
      </c>
      <c r="I11" s="60">
        <v>56999194650</v>
      </c>
      <c r="J11" s="27" t="s">
        <v>168</v>
      </c>
      <c r="K11" s="27" t="s">
        <v>42</v>
      </c>
      <c r="L11" s="52" t="s">
        <v>207</v>
      </c>
      <c r="M11" s="52" t="s">
        <v>208</v>
      </c>
      <c r="N11" s="70">
        <f>SUMPRODUCT(Tabla5234[[#This Row],[Paltas]:[Empanadas]],O$34:Z$34)</f>
        <v>190500</v>
      </c>
      <c r="O11" s="52">
        <v>2</v>
      </c>
      <c r="P11" s="52">
        <v>1</v>
      </c>
      <c r="Q11" s="52">
        <v>1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1</v>
      </c>
      <c r="X11" s="52">
        <v>0</v>
      </c>
      <c r="Y11" s="52">
        <v>0</v>
      </c>
      <c r="Z11" s="52">
        <v>9</v>
      </c>
      <c r="AA11" s="52">
        <f>SUM(Tabla5234[[#This Row],[Paltas]:[Empanadas]])</f>
        <v>15</v>
      </c>
      <c r="AB11" s="58"/>
    </row>
    <row r="12" spans="1:28" outlineLevel="1" x14ac:dyDescent="0.25">
      <c r="A12" s="194"/>
      <c r="B12" s="56" t="s">
        <v>155</v>
      </c>
      <c r="C12" s="47" t="s">
        <v>156</v>
      </c>
      <c r="D12" s="47" t="s">
        <v>157</v>
      </c>
      <c r="E12" s="47" t="s">
        <v>40</v>
      </c>
      <c r="F12" s="47" t="s">
        <v>49</v>
      </c>
      <c r="G12" s="47" t="s">
        <v>53</v>
      </c>
      <c r="H12" s="47" t="s">
        <v>41</v>
      </c>
      <c r="I12" s="53">
        <v>56987143347</v>
      </c>
      <c r="J12" s="27" t="s">
        <v>158</v>
      </c>
      <c r="K12" s="27" t="s">
        <v>48</v>
      </c>
      <c r="L12" s="52" t="s">
        <v>207</v>
      </c>
      <c r="M12" s="52" t="s">
        <v>208</v>
      </c>
      <c r="N12" s="47">
        <f>SUMPRODUCT(Tabla5234[[#This Row],[Paltas]:[Empanadas]],O$34:Z$34)</f>
        <v>13500</v>
      </c>
      <c r="O12" s="52">
        <v>1</v>
      </c>
      <c r="P12" s="52">
        <v>0</v>
      </c>
      <c r="Q12" s="52">
        <v>1</v>
      </c>
      <c r="R12" s="52">
        <v>1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f>SUM(Tabla5234[[#This Row],[Paltas]:[Empanadas]])</f>
        <v>3</v>
      </c>
      <c r="AB12" s="58"/>
    </row>
    <row r="13" spans="1:28" outlineLevel="1" x14ac:dyDescent="0.25">
      <c r="A13" s="194"/>
      <c r="B13" s="56" t="s">
        <v>190</v>
      </c>
      <c r="C13" s="47" t="s">
        <v>191</v>
      </c>
      <c r="D13" s="47" t="s">
        <v>192</v>
      </c>
      <c r="E13" s="47" t="s">
        <v>46</v>
      </c>
      <c r="F13" s="47" t="s">
        <v>193</v>
      </c>
      <c r="G13" s="47" t="s">
        <v>53</v>
      </c>
      <c r="H13" s="47" t="s">
        <v>41</v>
      </c>
      <c r="I13" s="53">
        <v>56955324629</v>
      </c>
      <c r="J13" s="27" t="s">
        <v>194</v>
      </c>
      <c r="K13" s="27" t="s">
        <v>48</v>
      </c>
      <c r="L13" s="52" t="s">
        <v>207</v>
      </c>
      <c r="M13" s="52" t="s">
        <v>208</v>
      </c>
      <c r="N13" s="47">
        <f>SUMPRODUCT(Tabla5234[[#This Row],[Paltas]:[Empanadas]],O$34:Z$34)</f>
        <v>15000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0</v>
      </c>
      <c r="Z13" s="52">
        <v>0</v>
      </c>
      <c r="AA13" s="52">
        <f>SUM(Tabla5234[[#This Row],[Paltas]:[Empanadas]])</f>
        <v>2</v>
      </c>
      <c r="AB13" s="58"/>
    </row>
    <row r="14" spans="1:28" outlineLevel="1" x14ac:dyDescent="0.25">
      <c r="A14" s="194"/>
      <c r="B14" s="50" t="s">
        <v>103</v>
      </c>
      <c r="C14" s="48" t="s">
        <v>104</v>
      </c>
      <c r="D14" s="59" t="s">
        <v>106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56997792386</v>
      </c>
      <c r="J14" s="27" t="s">
        <v>105</v>
      </c>
      <c r="K14" s="27" t="s">
        <v>48</v>
      </c>
      <c r="L14" s="52" t="s">
        <v>207</v>
      </c>
      <c r="M14" s="52" t="s">
        <v>208</v>
      </c>
      <c r="N14" s="70">
        <f>SUMPRODUCT(Tabla5234[[#This Row],[Paltas]:[Empanadas]],O$34:Z$34)</f>
        <v>147500</v>
      </c>
      <c r="O14" s="52">
        <v>2</v>
      </c>
      <c r="P14" s="52">
        <v>0</v>
      </c>
      <c r="Q14" s="52">
        <v>2</v>
      </c>
      <c r="R14" s="52">
        <v>2</v>
      </c>
      <c r="S14" s="52">
        <v>0</v>
      </c>
      <c r="T14" s="52">
        <v>1</v>
      </c>
      <c r="U14" s="52">
        <v>2</v>
      </c>
      <c r="V14" s="52">
        <v>2</v>
      </c>
      <c r="W14" s="52">
        <v>1</v>
      </c>
      <c r="X14" s="52">
        <f>7+2</f>
        <v>9</v>
      </c>
      <c r="Y14" s="52">
        <v>2</v>
      </c>
      <c r="Z14" s="52">
        <v>0</v>
      </c>
      <c r="AA14" s="52">
        <f>SUM(Tabla5234[[#This Row],[Paltas]:[Empanadas]])</f>
        <v>23</v>
      </c>
      <c r="AB14" s="58"/>
    </row>
    <row r="15" spans="1:28" outlineLevel="1" x14ac:dyDescent="0.25">
      <c r="A15" s="194"/>
      <c r="B15" s="50" t="s">
        <v>114</v>
      </c>
      <c r="C15" s="48" t="s">
        <v>185</v>
      </c>
      <c r="D15" s="59" t="s">
        <v>206</v>
      </c>
      <c r="E15" s="59" t="s">
        <v>46</v>
      </c>
      <c r="F15" s="59" t="s">
        <v>87</v>
      </c>
      <c r="G15" s="59" t="s">
        <v>110</v>
      </c>
      <c r="H15" s="59" t="s">
        <v>41</v>
      </c>
      <c r="I15" s="60">
        <v>0</v>
      </c>
      <c r="J15" s="27" t="s">
        <v>213</v>
      </c>
      <c r="K15" s="27" t="s">
        <v>48</v>
      </c>
      <c r="L15" s="52" t="s">
        <v>207</v>
      </c>
      <c r="M15" s="52" t="s">
        <v>208</v>
      </c>
      <c r="N15" s="70">
        <f>SUMPRODUCT(Tabla5234[[#This Row],[Paltas]:[Empanadas]],O$34:Z$34)</f>
        <v>428500</v>
      </c>
      <c r="O15" s="52">
        <v>1</v>
      </c>
      <c r="P15" s="52">
        <v>0</v>
      </c>
      <c r="Q15" s="52">
        <v>2</v>
      </c>
      <c r="R15" s="52">
        <v>2</v>
      </c>
      <c r="S15" s="52">
        <v>0</v>
      </c>
      <c r="T15" s="52">
        <v>0</v>
      </c>
      <c r="U15" s="52">
        <v>1</v>
      </c>
      <c r="V15" s="52">
        <v>0</v>
      </c>
      <c r="W15" s="52">
        <v>0</v>
      </c>
      <c r="X15" s="52">
        <f>43+10</f>
        <v>53</v>
      </c>
      <c r="Y15" s="52">
        <v>0</v>
      </c>
      <c r="Z15" s="52">
        <v>0</v>
      </c>
      <c r="AA15" s="52">
        <f>SUM(Tabla5234[[#This Row],[Paltas]:[Empanadas]])</f>
        <v>59</v>
      </c>
      <c r="AB15" s="58"/>
    </row>
    <row r="16" spans="1:28" outlineLevel="1" x14ac:dyDescent="0.25">
      <c r="A16" s="194"/>
      <c r="B16" s="50" t="s">
        <v>59</v>
      </c>
      <c r="C16" s="48" t="s">
        <v>72</v>
      </c>
      <c r="D16" s="59" t="s">
        <v>73</v>
      </c>
      <c r="E16" s="59" t="s">
        <v>40</v>
      </c>
      <c r="F16" s="59" t="s">
        <v>49</v>
      </c>
      <c r="G16" s="59" t="s">
        <v>53</v>
      </c>
      <c r="H16" s="59" t="s">
        <v>41</v>
      </c>
      <c r="I16" s="60">
        <v>56975684552</v>
      </c>
      <c r="J16" s="27" t="s">
        <v>74</v>
      </c>
      <c r="K16" s="27" t="s">
        <v>48</v>
      </c>
      <c r="L16" s="52" t="s">
        <v>207</v>
      </c>
      <c r="M16" s="52" t="s">
        <v>208</v>
      </c>
      <c r="N16" s="70">
        <f>SUMPRODUCT(Tabla5234[[#This Row],[Paltas]:[Empanadas]],O$34:Z$34)</f>
        <v>31500</v>
      </c>
      <c r="O16" s="52">
        <v>1</v>
      </c>
      <c r="P16" s="52">
        <v>0</v>
      </c>
      <c r="Q16" s="52">
        <v>6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SUM(Tabla5234[[#This Row],[Paltas]:[Empanadas]])</f>
        <v>7</v>
      </c>
      <c r="AB16" s="58"/>
    </row>
    <row r="17" spans="1:28" outlineLevel="1" x14ac:dyDescent="0.25">
      <c r="A17" s="194"/>
      <c r="B17" s="50" t="s">
        <v>122</v>
      </c>
      <c r="C17" s="48" t="s">
        <v>143</v>
      </c>
      <c r="D17" s="59" t="s">
        <v>160</v>
      </c>
      <c r="E17" s="59" t="s">
        <v>40</v>
      </c>
      <c r="F17" s="59" t="s">
        <v>49</v>
      </c>
      <c r="G17" s="59" t="s">
        <v>45</v>
      </c>
      <c r="H17" s="59" t="s">
        <v>41</v>
      </c>
      <c r="I17" s="60">
        <v>56997594184</v>
      </c>
      <c r="J17" s="27" t="s">
        <v>161</v>
      </c>
      <c r="K17" s="27" t="s">
        <v>48</v>
      </c>
      <c r="L17" s="52" t="s">
        <v>207</v>
      </c>
      <c r="M17" s="52" t="s">
        <v>208</v>
      </c>
      <c r="N17" s="70">
        <f>SUMPRODUCT(Tabla5234[[#This Row],[Paltas]:[Empanadas]],O$34:Z$34)</f>
        <v>153000</v>
      </c>
      <c r="O17" s="52">
        <v>17</v>
      </c>
      <c r="P17" s="52">
        <v>0</v>
      </c>
      <c r="Q17" s="52">
        <v>17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f>SUM(Tabla5234[[#This Row],[Paltas]:[Empanadas]])</f>
        <v>34</v>
      </c>
      <c r="AB17" s="58"/>
    </row>
    <row r="18" spans="1:28" outlineLevel="1" x14ac:dyDescent="0.25">
      <c r="A18" s="194"/>
      <c r="B18" s="50" t="s">
        <v>150</v>
      </c>
      <c r="C18" s="48" t="s">
        <v>203</v>
      </c>
      <c r="D18" s="59" t="s">
        <v>204</v>
      </c>
      <c r="E18" s="59" t="s">
        <v>40</v>
      </c>
      <c r="F18" s="59" t="s">
        <v>49</v>
      </c>
      <c r="G18" s="59" t="s">
        <v>113</v>
      </c>
      <c r="H18" s="59" t="s">
        <v>41</v>
      </c>
      <c r="I18" s="60">
        <v>56976994719</v>
      </c>
      <c r="J18" s="27" t="s">
        <v>205</v>
      </c>
      <c r="K18" s="27" t="s">
        <v>48</v>
      </c>
      <c r="L18" s="52" t="s">
        <v>207</v>
      </c>
      <c r="M18" s="52" t="s">
        <v>208</v>
      </c>
      <c r="N18" s="70">
        <f>SUMPRODUCT(Tabla5234[[#This Row],[Paltas]:[Empanadas]],O$34:Z$34)</f>
        <v>179500</v>
      </c>
      <c r="O18" s="52">
        <f>5+4</f>
        <v>9</v>
      </c>
      <c r="P18" s="52">
        <v>2</v>
      </c>
      <c r="Q18" s="52">
        <v>4</v>
      </c>
      <c r="R18" s="52">
        <v>3</v>
      </c>
      <c r="S18" s="52">
        <v>0</v>
      </c>
      <c r="T18" s="52">
        <v>0</v>
      </c>
      <c r="U18" s="52">
        <v>1</v>
      </c>
      <c r="V18" s="52">
        <v>1</v>
      </c>
      <c r="W18" s="52">
        <v>1</v>
      </c>
      <c r="X18" s="52">
        <f>6+2</f>
        <v>8</v>
      </c>
      <c r="Y18" s="52">
        <v>2</v>
      </c>
      <c r="Z18" s="52">
        <v>0</v>
      </c>
      <c r="AA18" s="52">
        <f>SUM(Tabla5234[[#This Row],[Paltas]:[Empanadas]])</f>
        <v>31</v>
      </c>
      <c r="AB18" s="58"/>
    </row>
    <row r="19" spans="1:28" outlineLevel="1" x14ac:dyDescent="0.25">
      <c r="A19" s="194"/>
      <c r="B19" s="56" t="s">
        <v>195</v>
      </c>
      <c r="C19" s="47" t="s">
        <v>196</v>
      </c>
      <c r="D19" s="47" t="s">
        <v>197</v>
      </c>
      <c r="E19" s="47" t="s">
        <v>135</v>
      </c>
      <c r="F19" s="47" t="s">
        <v>189</v>
      </c>
      <c r="G19" s="47" t="s">
        <v>198</v>
      </c>
      <c r="H19" s="47" t="s">
        <v>41</v>
      </c>
      <c r="I19" s="53">
        <v>56979987750</v>
      </c>
      <c r="J19" s="27" t="s">
        <v>199</v>
      </c>
      <c r="K19" s="27" t="s">
        <v>48</v>
      </c>
      <c r="L19" s="52" t="s">
        <v>207</v>
      </c>
      <c r="M19" s="52" t="s">
        <v>208</v>
      </c>
      <c r="N19" s="47">
        <f>SUMPRODUCT(Tabla5234[[#This Row],[Paltas]:[Empanadas]],O$34:Z$34)</f>
        <v>225000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30</v>
      </c>
      <c r="Y19" s="52">
        <v>0</v>
      </c>
      <c r="Z19" s="52">
        <v>0</v>
      </c>
      <c r="AA19" s="52">
        <f>SUM(Tabla5234[[#This Row],[Paltas]:[Empanadas]])</f>
        <v>30</v>
      </c>
      <c r="AB19" s="58"/>
    </row>
    <row r="20" spans="1:28" outlineLevel="1" x14ac:dyDescent="0.25">
      <c r="A20" s="194"/>
      <c r="B20" s="50" t="s">
        <v>62</v>
      </c>
      <c r="C20" s="48" t="s">
        <v>63</v>
      </c>
      <c r="D20" s="59" t="s">
        <v>64</v>
      </c>
      <c r="E20" s="59" t="s">
        <v>40</v>
      </c>
      <c r="F20" s="59" t="s">
        <v>49</v>
      </c>
      <c r="G20" s="59" t="s">
        <v>51</v>
      </c>
      <c r="H20" s="59" t="s">
        <v>41</v>
      </c>
      <c r="I20" s="60">
        <v>56952304675</v>
      </c>
      <c r="J20" s="27" t="s">
        <v>65</v>
      </c>
      <c r="K20" s="27" t="s">
        <v>48</v>
      </c>
      <c r="L20" s="52" t="s">
        <v>207</v>
      </c>
      <c r="M20" s="52" t="s">
        <v>208</v>
      </c>
      <c r="N20" s="70">
        <f>SUMPRODUCT(Tabla5234[[#This Row],[Paltas]:[Empanadas]],O$34:Z$34)</f>
        <v>75000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10</v>
      </c>
      <c r="Y20" s="52">
        <v>0</v>
      </c>
      <c r="Z20" s="52">
        <v>0</v>
      </c>
      <c r="AA20" s="52">
        <f>SUM(Tabla5234[[#This Row],[Paltas]:[Empanadas]])</f>
        <v>10</v>
      </c>
      <c r="AB20" s="58"/>
    </row>
    <row r="21" spans="1:28" outlineLevel="1" x14ac:dyDescent="0.25">
      <c r="A21" s="194"/>
      <c r="B21" s="56" t="s">
        <v>55</v>
      </c>
      <c r="C21" s="47" t="s">
        <v>56</v>
      </c>
      <c r="D21" s="47" t="s">
        <v>57</v>
      </c>
      <c r="E21" s="47" t="s">
        <v>40</v>
      </c>
      <c r="F21" s="47" t="s">
        <v>49</v>
      </c>
      <c r="G21" s="47" t="s">
        <v>45</v>
      </c>
      <c r="H21" s="47" t="s">
        <v>41</v>
      </c>
      <c r="I21" s="53">
        <v>56967898535</v>
      </c>
      <c r="J21" s="27" t="s">
        <v>58</v>
      </c>
      <c r="K21" s="27" t="s">
        <v>54</v>
      </c>
      <c r="L21" s="52" t="s">
        <v>207</v>
      </c>
      <c r="M21" s="52" t="s">
        <v>207</v>
      </c>
      <c r="N21" s="47">
        <f>SUMPRODUCT(Tabla5234[[#This Row],[Paltas]:[Empanadas]],O$34:Z$34)</f>
        <v>55500</v>
      </c>
      <c r="O21" s="52">
        <v>3</v>
      </c>
      <c r="P21" s="52">
        <v>0</v>
      </c>
      <c r="Q21" s="52">
        <v>1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f>4+1</f>
        <v>5</v>
      </c>
      <c r="Y21" s="52">
        <v>0</v>
      </c>
      <c r="Z21" s="52">
        <v>0</v>
      </c>
      <c r="AA21" s="52">
        <f>SUM(Tabla5234[[#This Row],[Paltas]:[Empanadas]])</f>
        <v>9</v>
      </c>
      <c r="AB21" s="58"/>
    </row>
    <row r="22" spans="1:28" outlineLevel="1" x14ac:dyDescent="0.25">
      <c r="A22" s="194"/>
      <c r="B22" s="109" t="s">
        <v>81</v>
      </c>
      <c r="C22" s="110" t="s">
        <v>97</v>
      </c>
      <c r="D22" s="111" t="s">
        <v>82</v>
      </c>
      <c r="E22" s="111" t="s">
        <v>40</v>
      </c>
      <c r="F22" s="111" t="s">
        <v>49</v>
      </c>
      <c r="G22" s="111" t="s">
        <v>45</v>
      </c>
      <c r="H22" s="111" t="s">
        <v>41</v>
      </c>
      <c r="I22" s="112">
        <v>56963033603</v>
      </c>
      <c r="J22" s="82" t="s">
        <v>102</v>
      </c>
      <c r="K22" s="82" t="s">
        <v>42</v>
      </c>
      <c r="L22" s="83" t="s">
        <v>207</v>
      </c>
      <c r="M22" s="83" t="s">
        <v>207</v>
      </c>
      <c r="N22" s="113">
        <f>SUMPRODUCT(Tabla5234[[#This Row],[Paltas]:[Empanadas]],O$34:Z$34)</f>
        <v>70000</v>
      </c>
      <c r="O22" s="83">
        <v>0</v>
      </c>
      <c r="P22" s="83">
        <v>0</v>
      </c>
      <c r="Q22" s="83">
        <v>0</v>
      </c>
      <c r="R22" s="83">
        <v>0</v>
      </c>
      <c r="S22" s="83">
        <v>0</v>
      </c>
      <c r="T22" s="83">
        <v>0</v>
      </c>
      <c r="U22" s="83">
        <v>0</v>
      </c>
      <c r="V22" s="83">
        <v>0</v>
      </c>
      <c r="W22" s="83">
        <v>0</v>
      </c>
      <c r="X22" s="83">
        <v>0</v>
      </c>
      <c r="Y22" s="83">
        <v>0</v>
      </c>
      <c r="Z22" s="83">
        <v>4</v>
      </c>
      <c r="AA22" s="83">
        <f>SUM(Tabla5234[[#This Row],[Paltas]:[Empanadas]])</f>
        <v>4</v>
      </c>
      <c r="AB22" s="84"/>
    </row>
    <row r="23" spans="1:28" ht="15.75" outlineLevel="1" thickBot="1" x14ac:dyDescent="0.3">
      <c r="A23" s="195"/>
      <c r="B23" s="109" t="s">
        <v>94</v>
      </c>
      <c r="C23" s="110" t="s">
        <v>50</v>
      </c>
      <c r="D23" s="111" t="s">
        <v>95</v>
      </c>
      <c r="E23" s="111" t="s">
        <v>40</v>
      </c>
      <c r="F23" s="111" t="s">
        <v>49</v>
      </c>
      <c r="G23" s="111" t="s">
        <v>51</v>
      </c>
      <c r="H23" s="111" t="s">
        <v>41</v>
      </c>
      <c r="I23" s="112">
        <v>56966640363</v>
      </c>
      <c r="J23" s="82" t="s">
        <v>96</v>
      </c>
      <c r="K23" s="82" t="s">
        <v>48</v>
      </c>
      <c r="L23" s="83" t="s">
        <v>207</v>
      </c>
      <c r="M23" s="83" t="s">
        <v>207</v>
      </c>
      <c r="N23" s="113">
        <f>SUMPRODUCT(Tabla5234[[#This Row],[Paltas]:[Empanadas]],O$34:Z$34)</f>
        <v>24000</v>
      </c>
      <c r="O23" s="83">
        <v>0</v>
      </c>
      <c r="P23" s="83">
        <v>0</v>
      </c>
      <c r="Q23" s="83">
        <v>1</v>
      </c>
      <c r="R23" s="83">
        <v>0</v>
      </c>
      <c r="S23" s="83">
        <v>0</v>
      </c>
      <c r="T23" s="83">
        <v>0</v>
      </c>
      <c r="U23" s="83">
        <v>0</v>
      </c>
      <c r="V23" s="83">
        <v>0</v>
      </c>
      <c r="W23" s="83">
        <v>1</v>
      </c>
      <c r="X23" s="83">
        <f>0+1</f>
        <v>1</v>
      </c>
      <c r="Y23" s="83">
        <v>1</v>
      </c>
      <c r="Z23" s="83">
        <v>0</v>
      </c>
      <c r="AA23" s="83">
        <f>SUM(Tabla5234[[#This Row],[Paltas]:[Empanadas]])</f>
        <v>4</v>
      </c>
      <c r="AB23" s="84"/>
    </row>
    <row r="24" spans="1:28" outlineLevel="1" x14ac:dyDescent="0.25">
      <c r="A24" s="18"/>
      <c r="B24" s="109" t="s">
        <v>159</v>
      </c>
      <c r="C24" s="110" t="s">
        <v>162</v>
      </c>
      <c r="D24" s="111" t="s">
        <v>163</v>
      </c>
      <c r="E24" s="111" t="s">
        <v>135</v>
      </c>
      <c r="F24" s="111" t="s">
        <v>151</v>
      </c>
      <c r="G24" s="111" t="s">
        <v>45</v>
      </c>
      <c r="H24" s="111" t="s">
        <v>41</v>
      </c>
      <c r="I24" s="112">
        <v>56979312762</v>
      </c>
      <c r="J24" s="82" t="s">
        <v>164</v>
      </c>
      <c r="K24" s="82" t="s">
        <v>48</v>
      </c>
      <c r="L24" s="83" t="s">
        <v>207</v>
      </c>
      <c r="M24" s="83" t="s">
        <v>207</v>
      </c>
      <c r="N24" s="113">
        <f>SUMPRODUCT(Tabla5234[[#This Row],[Paltas]:[Empanadas]],O$34:Z$34)</f>
        <v>283500</v>
      </c>
      <c r="O24" s="83">
        <v>1</v>
      </c>
      <c r="P24" s="83">
        <v>1</v>
      </c>
      <c r="Q24" s="83">
        <v>1</v>
      </c>
      <c r="R24" s="83">
        <v>1</v>
      </c>
      <c r="S24" s="83">
        <v>0</v>
      </c>
      <c r="T24" s="83">
        <v>0</v>
      </c>
      <c r="U24" s="83">
        <v>0</v>
      </c>
      <c r="V24" s="83">
        <v>0</v>
      </c>
      <c r="W24" s="83">
        <v>0</v>
      </c>
      <c r="X24" s="83">
        <f>38-10</f>
        <v>28</v>
      </c>
      <c r="Y24" s="83">
        <v>0</v>
      </c>
      <c r="Z24" s="83">
        <v>3</v>
      </c>
      <c r="AA24" s="83">
        <f>SUM(Tabla5234[[#This Row],[Paltas]:[Empanadas]])</f>
        <v>35</v>
      </c>
      <c r="AB24" s="84"/>
    </row>
    <row r="25" spans="1:28" outlineLevel="1" x14ac:dyDescent="0.25">
      <c r="A25" s="18"/>
      <c r="B25" s="19"/>
      <c r="C25" s="19"/>
      <c r="D25" s="19"/>
      <c r="E25" s="19"/>
      <c r="F25" s="19"/>
      <c r="G25" s="19"/>
      <c r="H25" s="19"/>
      <c r="I25" s="32"/>
      <c r="J25" s="31"/>
      <c r="K25" s="3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1:28" ht="15.75" thickBot="1" x14ac:dyDescent="0.3"/>
    <row r="27" spans="1:28" ht="14.65" customHeight="1" thickBot="1" x14ac:dyDescent="0.3">
      <c r="A27" s="172" t="s">
        <v>20</v>
      </c>
      <c r="B27" s="163" t="s">
        <v>7</v>
      </c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5"/>
      <c r="N27" s="99" t="s">
        <v>9</v>
      </c>
      <c r="O27" s="49">
        <f>SUM(Tabla5234[Paltas])</f>
        <v>41</v>
      </c>
      <c r="P27" s="49">
        <f>SUM(Tabla5234[Quesos])</f>
        <v>9</v>
      </c>
      <c r="Q27" s="49">
        <f>SUM(Tabla5234[Frutillas])</f>
        <v>44</v>
      </c>
      <c r="R27" s="49">
        <f>SUM(Tabla5234[Tomate Cherry])</f>
        <v>11</v>
      </c>
      <c r="S27" s="49">
        <f>SUM(Tabla5234[Nueces])</f>
        <v>1</v>
      </c>
      <c r="T27" s="49">
        <f>SUM(Tabla5234[Mani])</f>
        <v>3</v>
      </c>
      <c r="U27" s="49">
        <f>SUM(Tabla5234[Pistachos])</f>
        <v>5</v>
      </c>
      <c r="V27" s="49">
        <f>SUM(Tabla5234[Caju])</f>
        <v>3</v>
      </c>
      <c r="W27" s="49">
        <f>SUM(Tabla5234[Almendras])</f>
        <v>6</v>
      </c>
      <c r="X27" s="49">
        <f>SUM(Tabla5234[Cerezas])</f>
        <v>186</v>
      </c>
      <c r="Y27" s="49">
        <f>SUM(Tabla5234[Arandanos])</f>
        <v>10</v>
      </c>
      <c r="Z27" s="4">
        <f>SUM(Tabla5234[Empanadas])</f>
        <v>29</v>
      </c>
    </row>
    <row r="28" spans="1:28" ht="14.65" customHeight="1" thickBot="1" x14ac:dyDescent="0.3">
      <c r="A28" s="173"/>
      <c r="B28" s="181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3"/>
      <c r="N28" s="99" t="s">
        <v>28</v>
      </c>
      <c r="O28" s="52">
        <v>2</v>
      </c>
      <c r="P28" s="37">
        <v>1</v>
      </c>
      <c r="Q28" s="37">
        <v>2</v>
      </c>
      <c r="R28" s="52">
        <v>1</v>
      </c>
      <c r="S28" s="73">
        <v>0.5</v>
      </c>
      <c r="T28" s="73">
        <v>1</v>
      </c>
      <c r="U28" s="73">
        <v>0.5</v>
      </c>
      <c r="V28" s="73">
        <v>0.4</v>
      </c>
      <c r="W28" s="73">
        <v>0.5</v>
      </c>
      <c r="X28" s="73">
        <v>5</v>
      </c>
      <c r="Y28" s="73">
        <v>0.5</v>
      </c>
      <c r="Z28" s="38">
        <v>12</v>
      </c>
    </row>
    <row r="29" spans="1:28" ht="14.65" customHeight="1" thickBot="1" x14ac:dyDescent="0.3">
      <c r="A29" s="173"/>
      <c r="B29" s="181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3"/>
      <c r="N29" s="99" t="s">
        <v>8</v>
      </c>
      <c r="O29" s="52">
        <f t="shared" ref="O29:Z29" si="0">O28*O27</f>
        <v>82</v>
      </c>
      <c r="P29" s="52">
        <f t="shared" si="0"/>
        <v>9</v>
      </c>
      <c r="Q29" s="52">
        <f>Q28*Q27</f>
        <v>88</v>
      </c>
      <c r="R29" s="52">
        <f t="shared" si="0"/>
        <v>11</v>
      </c>
      <c r="S29" s="52">
        <f t="shared" si="0"/>
        <v>0.5</v>
      </c>
      <c r="T29" s="52">
        <f t="shared" si="0"/>
        <v>3</v>
      </c>
      <c r="U29" s="52">
        <f t="shared" si="0"/>
        <v>2.5</v>
      </c>
      <c r="V29" s="52">
        <f t="shared" si="0"/>
        <v>1.2000000000000002</v>
      </c>
      <c r="W29" s="52">
        <f t="shared" si="0"/>
        <v>3</v>
      </c>
      <c r="X29" s="52">
        <f t="shared" si="0"/>
        <v>930</v>
      </c>
      <c r="Y29" s="52">
        <f t="shared" si="0"/>
        <v>5</v>
      </c>
      <c r="Z29" s="11">
        <f t="shared" si="0"/>
        <v>348</v>
      </c>
    </row>
    <row r="30" spans="1:28" ht="15.75" thickBot="1" x14ac:dyDescent="0.3">
      <c r="A30" s="173"/>
      <c r="B30" s="166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8"/>
      <c r="N30" s="99" t="s">
        <v>10</v>
      </c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2"/>
    </row>
    <row r="31" spans="1:28" ht="15.75" thickBot="1" x14ac:dyDescent="0.3">
      <c r="A31" s="173"/>
      <c r="B31" s="101"/>
      <c r="C31" s="19"/>
      <c r="D31" s="23"/>
      <c r="E31" s="24"/>
      <c r="F31" s="24"/>
      <c r="G31" s="24"/>
      <c r="H31" s="24"/>
      <c r="I31" s="24"/>
      <c r="J31" s="24"/>
      <c r="K31" s="25"/>
      <c r="N31" s="3"/>
    </row>
    <row r="32" spans="1:28" ht="15.75" thickBot="1" x14ac:dyDescent="0.3">
      <c r="A32" s="173"/>
      <c r="B32" s="163" t="s">
        <v>12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5"/>
      <c r="N32" s="99" t="s">
        <v>13</v>
      </c>
      <c r="O32" s="51">
        <f t="shared" ref="O32:Z32" si="1">O33*O28</f>
        <v>3100</v>
      </c>
      <c r="P32" s="51">
        <f t="shared" si="1"/>
        <v>6716</v>
      </c>
      <c r="Q32" s="51">
        <f>Q33*Q28</f>
        <v>2600</v>
      </c>
      <c r="R32" s="51">
        <f t="shared" si="1"/>
        <v>2300</v>
      </c>
      <c r="S32" s="51">
        <f t="shared" si="1"/>
        <v>3750</v>
      </c>
      <c r="T32" s="51">
        <f t="shared" si="1"/>
        <v>3500</v>
      </c>
      <c r="U32" s="51">
        <f t="shared" si="1"/>
        <v>7050</v>
      </c>
      <c r="V32" s="51">
        <f t="shared" si="1"/>
        <v>5320</v>
      </c>
      <c r="W32" s="51">
        <f t="shared" si="1"/>
        <v>5350</v>
      </c>
      <c r="X32" s="51">
        <f t="shared" si="1"/>
        <v>6000</v>
      </c>
      <c r="Y32" s="51">
        <f t="shared" si="1"/>
        <v>600</v>
      </c>
      <c r="Z32" s="15">
        <f t="shared" si="1"/>
        <v>12000</v>
      </c>
    </row>
    <row r="33" spans="1:26" ht="15.75" thickBot="1" x14ac:dyDescent="0.3">
      <c r="A33" s="173"/>
      <c r="B33" s="181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3"/>
      <c r="N33" s="99" t="s">
        <v>8</v>
      </c>
      <c r="O33" s="76">
        <v>1550</v>
      </c>
      <c r="P33" s="76">
        <v>6716</v>
      </c>
      <c r="Q33" s="76">
        <v>1300</v>
      </c>
      <c r="R33" s="76">
        <v>2300</v>
      </c>
      <c r="S33" s="76">
        <v>7500</v>
      </c>
      <c r="T33" s="76">
        <v>3500</v>
      </c>
      <c r="U33" s="76">
        <v>14100</v>
      </c>
      <c r="V33" s="76">
        <v>13300</v>
      </c>
      <c r="W33" s="76">
        <v>10700</v>
      </c>
      <c r="X33" s="76">
        <f>6000/5</f>
        <v>1200</v>
      </c>
      <c r="Y33" s="76">
        <f>6000/5</f>
        <v>1200</v>
      </c>
      <c r="Z33" s="80">
        <v>1000</v>
      </c>
    </row>
    <row r="34" spans="1:26" ht="15.75" thickBot="1" x14ac:dyDescent="0.3">
      <c r="A34" s="173"/>
      <c r="B34" s="166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8"/>
      <c r="N34" s="99" t="s">
        <v>14</v>
      </c>
      <c r="O34" s="79">
        <v>4500</v>
      </c>
      <c r="P34" s="79">
        <v>7500</v>
      </c>
      <c r="Q34" s="79">
        <v>4500</v>
      </c>
      <c r="R34" s="79">
        <v>4500</v>
      </c>
      <c r="S34" s="79">
        <v>5500</v>
      </c>
      <c r="T34" s="79">
        <v>4500</v>
      </c>
      <c r="U34" s="79">
        <v>8500</v>
      </c>
      <c r="V34" s="79">
        <v>7500</v>
      </c>
      <c r="W34" s="79">
        <v>7500</v>
      </c>
      <c r="X34" s="79">
        <v>7500</v>
      </c>
      <c r="Y34" s="79">
        <v>4500</v>
      </c>
      <c r="Z34" s="81">
        <v>17500</v>
      </c>
    </row>
    <row r="35" spans="1:26" ht="15.75" thickBot="1" x14ac:dyDescent="0.3">
      <c r="A35" s="173"/>
      <c r="B35" s="101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6" ht="14.65" customHeight="1" thickBot="1" x14ac:dyDescent="0.3">
      <c r="A36" s="173"/>
      <c r="B36" s="163" t="s">
        <v>15</v>
      </c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5"/>
      <c r="N36" s="99" t="s">
        <v>19</v>
      </c>
      <c r="O36" s="88">
        <f t="shared" ref="O36:Z36" si="2">O27*O32</f>
        <v>127100</v>
      </c>
      <c r="P36" s="89">
        <f t="shared" si="2"/>
        <v>60444</v>
      </c>
      <c r="Q36" s="89">
        <f t="shared" si="2"/>
        <v>114400</v>
      </c>
      <c r="R36" s="88">
        <f>R27*R32</f>
        <v>25300</v>
      </c>
      <c r="S36" s="88">
        <f t="shared" si="2"/>
        <v>3750</v>
      </c>
      <c r="T36" s="88">
        <f t="shared" si="2"/>
        <v>10500</v>
      </c>
      <c r="U36" s="88">
        <f t="shared" si="2"/>
        <v>35250</v>
      </c>
      <c r="V36" s="88">
        <f t="shared" si="2"/>
        <v>15960</v>
      </c>
      <c r="W36" s="88">
        <f t="shared" si="2"/>
        <v>32100</v>
      </c>
      <c r="X36" s="88">
        <f t="shared" si="2"/>
        <v>1116000</v>
      </c>
      <c r="Y36" s="88">
        <f t="shared" si="2"/>
        <v>6000</v>
      </c>
      <c r="Z36" s="90">
        <f t="shared" si="2"/>
        <v>348000</v>
      </c>
    </row>
    <row r="37" spans="1:26" ht="15.75" thickBot="1" x14ac:dyDescent="0.3">
      <c r="A37" s="173"/>
      <c r="B37" s="166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8"/>
      <c r="N37" s="99" t="s">
        <v>16</v>
      </c>
      <c r="O37" s="196">
        <f>SUM(O36:Z36)</f>
        <v>1894804</v>
      </c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8"/>
    </row>
    <row r="38" spans="1:26" ht="15.75" thickBot="1" x14ac:dyDescent="0.3">
      <c r="A38" s="173"/>
      <c r="B38" s="163" t="s">
        <v>17</v>
      </c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5"/>
      <c r="N38" s="99" t="s">
        <v>19</v>
      </c>
      <c r="O38" s="48">
        <f t="shared" ref="O38:Z38" si="3">O34*O27</f>
        <v>184500</v>
      </c>
      <c r="P38" s="48">
        <f t="shared" si="3"/>
        <v>67500</v>
      </c>
      <c r="Q38" s="48">
        <f t="shared" si="3"/>
        <v>198000</v>
      </c>
      <c r="R38" s="48">
        <f t="shared" si="3"/>
        <v>49500</v>
      </c>
      <c r="S38" s="48">
        <f t="shared" si="3"/>
        <v>5500</v>
      </c>
      <c r="T38" s="48">
        <f t="shared" si="3"/>
        <v>13500</v>
      </c>
      <c r="U38" s="48">
        <f t="shared" si="3"/>
        <v>42500</v>
      </c>
      <c r="V38" s="48">
        <f t="shared" si="3"/>
        <v>22500</v>
      </c>
      <c r="W38" s="48">
        <f t="shared" si="3"/>
        <v>45000</v>
      </c>
      <c r="X38" s="48">
        <f t="shared" si="3"/>
        <v>1395000</v>
      </c>
      <c r="Y38" s="48">
        <f t="shared" si="3"/>
        <v>45000</v>
      </c>
      <c r="Z38" s="91">
        <f t="shared" si="3"/>
        <v>507500</v>
      </c>
    </row>
    <row r="39" spans="1:26" ht="15.75" thickBot="1" x14ac:dyDescent="0.3">
      <c r="A39" s="173"/>
      <c r="B39" s="166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8"/>
      <c r="N39" s="99" t="s">
        <v>16</v>
      </c>
      <c r="O39" s="196">
        <f>SUM(O38:Z38)</f>
        <v>2576000</v>
      </c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8"/>
    </row>
    <row r="40" spans="1:26" ht="14.65" customHeight="1" thickBot="1" x14ac:dyDescent="0.3">
      <c r="A40" s="173"/>
      <c r="B40" s="163" t="s">
        <v>18</v>
      </c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5"/>
      <c r="N40" s="99" t="s">
        <v>19</v>
      </c>
      <c r="O40" s="48">
        <f t="shared" ref="O40:Y40" si="4">O38-O36</f>
        <v>57400</v>
      </c>
      <c r="P40" s="48">
        <f t="shared" si="4"/>
        <v>7056</v>
      </c>
      <c r="Q40" s="48">
        <f t="shared" si="4"/>
        <v>83600</v>
      </c>
      <c r="R40" s="48">
        <f t="shared" si="4"/>
        <v>24200</v>
      </c>
      <c r="S40" s="48">
        <f t="shared" si="4"/>
        <v>1750</v>
      </c>
      <c r="T40" s="48">
        <f t="shared" si="4"/>
        <v>3000</v>
      </c>
      <c r="U40" s="48">
        <f t="shared" si="4"/>
        <v>7250</v>
      </c>
      <c r="V40" s="48">
        <f t="shared" si="4"/>
        <v>6540</v>
      </c>
      <c r="W40" s="48">
        <f t="shared" si="4"/>
        <v>12900</v>
      </c>
      <c r="X40" s="48">
        <f t="shared" si="4"/>
        <v>279000</v>
      </c>
      <c r="Y40" s="48">
        <f t="shared" si="4"/>
        <v>39000</v>
      </c>
      <c r="Z40" s="91">
        <f>Z38-Z36</f>
        <v>159500</v>
      </c>
    </row>
    <row r="41" spans="1:26" ht="29.65" customHeight="1" thickBot="1" x14ac:dyDescent="0.3">
      <c r="A41" s="173"/>
      <c r="B41" s="166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8"/>
      <c r="N41" s="99" t="s">
        <v>29</v>
      </c>
      <c r="O41" s="158">
        <f>O39-O37</f>
        <v>681196</v>
      </c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9"/>
    </row>
    <row r="42" spans="1:26" ht="15.75" thickBot="1" x14ac:dyDescent="0.3">
      <c r="A42" s="173"/>
    </row>
    <row r="43" spans="1:26" ht="14.65" customHeight="1" thickBot="1" x14ac:dyDescent="0.3">
      <c r="A43" s="173"/>
      <c r="B43" s="184" t="s">
        <v>25</v>
      </c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6"/>
      <c r="O43" s="100" t="s">
        <v>26</v>
      </c>
      <c r="P43" s="29" t="s">
        <v>27</v>
      </c>
      <c r="Q43" s="61"/>
      <c r="R43" s="5"/>
      <c r="S43" s="5"/>
      <c r="T43" s="5"/>
      <c r="U43" s="5"/>
      <c r="V43" s="5"/>
      <c r="W43" s="5"/>
      <c r="X43" s="5"/>
      <c r="Y43" s="5"/>
      <c r="Z43" s="5"/>
    </row>
    <row r="44" spans="1:26" ht="15" customHeight="1" x14ac:dyDescent="0.25">
      <c r="A44" s="173"/>
      <c r="B44" s="187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9"/>
      <c r="O44" s="117"/>
      <c r="P44" s="33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73"/>
      <c r="B45" s="187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  <c r="N45" s="189"/>
      <c r="O45" s="118"/>
      <c r="P45" s="34"/>
      <c r="Q45" s="62"/>
      <c r="R45" s="6"/>
      <c r="S45" s="6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73"/>
      <c r="B46" s="187"/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89"/>
      <c r="O46" s="118"/>
      <c r="P46" s="34"/>
      <c r="Q46" s="62"/>
      <c r="R46" s="6"/>
      <c r="S46" s="6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73"/>
      <c r="B47" s="187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9"/>
      <c r="O47" s="118"/>
      <c r="P47" s="34"/>
      <c r="Q47" s="62"/>
      <c r="R47" s="6"/>
      <c r="S47" s="6"/>
      <c r="T47" s="6"/>
      <c r="U47" s="6"/>
      <c r="V47" s="6"/>
      <c r="W47" s="6"/>
      <c r="X47" s="6"/>
      <c r="Y47" s="6"/>
      <c r="Z47" s="6"/>
    </row>
    <row r="48" spans="1:26" ht="15" customHeight="1" x14ac:dyDescent="0.25">
      <c r="A48" s="173"/>
      <c r="B48" s="187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9"/>
      <c r="O48" s="118"/>
      <c r="P48" s="34"/>
      <c r="Q48" s="62"/>
      <c r="R48" s="6"/>
      <c r="S48" s="6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73"/>
      <c r="B49" s="187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9"/>
      <c r="O49" s="118"/>
      <c r="P49" s="34"/>
      <c r="Q49" s="62"/>
      <c r="R49" s="6"/>
      <c r="S49" s="6"/>
      <c r="T49" s="6"/>
      <c r="U49" s="6"/>
      <c r="V49" s="6"/>
      <c r="W49" s="6"/>
      <c r="X49" s="6"/>
      <c r="Y49" s="6"/>
      <c r="Z49" s="6"/>
    </row>
    <row r="50" spans="1:26" ht="15" customHeight="1" thickBot="1" x14ac:dyDescent="0.3">
      <c r="A50" s="173"/>
      <c r="B50" s="187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9"/>
      <c r="O50" s="119"/>
      <c r="P50" s="34"/>
      <c r="Q50" s="62"/>
      <c r="R50" s="6"/>
      <c r="S50" s="6"/>
      <c r="T50" s="6"/>
      <c r="U50" s="6"/>
      <c r="V50" s="6"/>
      <c r="W50" s="6"/>
      <c r="X50" s="6"/>
      <c r="Y50" s="6"/>
      <c r="Z50" s="6"/>
    </row>
    <row r="51" spans="1:26" ht="15.75" customHeight="1" thickBot="1" x14ac:dyDescent="0.3">
      <c r="A51" s="173"/>
      <c r="B51" s="190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2"/>
      <c r="O51" s="100"/>
      <c r="P51" s="35">
        <f>SUM(P44:P50)</f>
        <v>0</v>
      </c>
      <c r="Q51" s="63"/>
      <c r="R51" s="6"/>
      <c r="S51" s="6"/>
      <c r="T51" s="6"/>
      <c r="U51" s="6"/>
      <c r="V51" s="6"/>
      <c r="W51" s="6"/>
      <c r="X51" s="6"/>
      <c r="Y51" s="6"/>
      <c r="Z51" s="6"/>
    </row>
    <row r="52" spans="1:26" ht="15.75" thickBot="1" x14ac:dyDescent="0.3">
      <c r="A52" s="173"/>
    </row>
    <row r="53" spans="1:26" ht="51.75" customHeight="1" thickBot="1" x14ac:dyDescent="0.3">
      <c r="A53" s="174"/>
      <c r="B53" s="175" t="s">
        <v>18</v>
      </c>
      <c r="C53" s="176"/>
      <c r="D53" s="176"/>
      <c r="E53" s="176"/>
      <c r="F53" s="176"/>
      <c r="G53" s="176"/>
      <c r="H53" s="176"/>
      <c r="I53" s="176"/>
      <c r="J53" s="176"/>
      <c r="K53" s="176"/>
      <c r="L53" s="177"/>
      <c r="M53" s="99"/>
      <c r="N53" s="98" t="s">
        <v>16</v>
      </c>
      <c r="O53" s="179"/>
      <c r="P53" s="179"/>
      <c r="Q53" s="179"/>
      <c r="R53" s="179"/>
      <c r="S53" s="180"/>
      <c r="T53" s="72"/>
      <c r="U53" s="72"/>
      <c r="V53" s="72"/>
      <c r="W53" s="72"/>
      <c r="X53" s="72"/>
      <c r="Y53" s="72"/>
      <c r="Z53" s="72"/>
    </row>
    <row r="54" spans="1:26" ht="15.75" customHeight="1" x14ac:dyDescent="0.25">
      <c r="A54" s="30"/>
      <c r="O54" s="28"/>
      <c r="P54" s="28"/>
      <c r="Q54" s="28"/>
      <c r="S54" s="102"/>
      <c r="T54" s="102"/>
      <c r="U54" s="102"/>
      <c r="V54" s="102"/>
      <c r="W54" s="102"/>
      <c r="X54" s="102"/>
      <c r="Y54" s="102"/>
      <c r="Z54" s="102"/>
    </row>
    <row r="55" spans="1:26" ht="15" customHeight="1" x14ac:dyDescent="0.25">
      <c r="A55" s="30"/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2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  <row r="57" spans="1:26" ht="15" customHeight="1" x14ac:dyDescent="0.25">
      <c r="O57" s="28"/>
      <c r="P57" s="28"/>
      <c r="Q57" s="28"/>
      <c r="S57" s="7"/>
      <c r="T57" s="7"/>
      <c r="U57" s="7"/>
      <c r="V57" s="7"/>
      <c r="W57" s="7"/>
      <c r="X57" s="7"/>
      <c r="Y57" s="7"/>
      <c r="Z57" s="7"/>
    </row>
    <row r="58" spans="1:26" ht="15" customHeight="1" x14ac:dyDescent="0.25">
      <c r="O58" s="28"/>
      <c r="P58" s="28"/>
      <c r="Q58" s="28"/>
      <c r="S58" s="7"/>
      <c r="T58" s="7"/>
      <c r="U58" s="7"/>
      <c r="V58" s="7"/>
      <c r="W58" s="7"/>
      <c r="X58" s="7"/>
      <c r="Y58" s="7"/>
      <c r="Z58" s="7"/>
    </row>
    <row r="59" spans="1:26" ht="15" customHeight="1" x14ac:dyDescent="0.25">
      <c r="O59" s="28"/>
      <c r="P59" s="28"/>
      <c r="Q59" s="28"/>
      <c r="S59" s="7"/>
      <c r="T59" s="7"/>
      <c r="U59" s="7"/>
      <c r="V59" s="7"/>
      <c r="W59" s="7"/>
      <c r="X59" s="7"/>
      <c r="Y59" s="7"/>
      <c r="Z59" s="7"/>
    </row>
    <row r="60" spans="1:26" ht="15" customHeight="1" x14ac:dyDescent="0.25">
      <c r="O60" s="28"/>
      <c r="P60" s="28"/>
      <c r="Q60" s="28"/>
      <c r="S60" s="7"/>
      <c r="T60" s="7"/>
      <c r="U60" s="7"/>
      <c r="V60" s="7"/>
      <c r="W60" s="7"/>
      <c r="X60" s="7"/>
      <c r="Y60" s="7"/>
      <c r="Z60" s="7"/>
    </row>
    <row r="61" spans="1:26" ht="15" customHeight="1" x14ac:dyDescent="0.25">
      <c r="O61" s="28"/>
      <c r="P61" s="28"/>
      <c r="Q61" s="28"/>
      <c r="S61" s="7"/>
      <c r="T61" s="7"/>
      <c r="U61" s="7"/>
      <c r="V61" s="7"/>
      <c r="W61" s="7"/>
      <c r="X61" s="7"/>
      <c r="Y61" s="7"/>
      <c r="Z61" s="7"/>
    </row>
    <row r="62" spans="1:26" ht="15.75" customHeight="1" x14ac:dyDescent="0.25">
      <c r="O62" s="28"/>
      <c r="P62" s="28"/>
      <c r="Q62" s="28"/>
      <c r="S62" s="7"/>
      <c r="T62" s="7"/>
      <c r="U62" s="7"/>
      <c r="V62" s="7"/>
      <c r="W62" s="7"/>
      <c r="X62" s="7"/>
      <c r="Y62" s="7"/>
      <c r="Z62" s="7"/>
    </row>
  </sheetData>
  <mergeCells count="15">
    <mergeCell ref="B2:N2"/>
    <mergeCell ref="O2:Z2"/>
    <mergeCell ref="A27:A53"/>
    <mergeCell ref="B27:M30"/>
    <mergeCell ref="B32:M34"/>
    <mergeCell ref="B36:M37"/>
    <mergeCell ref="O37:Z37"/>
    <mergeCell ref="B38:M39"/>
    <mergeCell ref="O39:Z39"/>
    <mergeCell ref="B53:L53"/>
    <mergeCell ref="O53:S53"/>
    <mergeCell ref="A5:A23"/>
    <mergeCell ref="B40:M41"/>
    <mergeCell ref="O41:Z41"/>
    <mergeCell ref="B43:N51"/>
  </mergeCells>
  <conditionalFormatting sqref="AA5:AA24">
    <cfRule type="cellIs" dxfId="11" priority="1" operator="lessThan">
      <formula>20</formula>
    </cfRule>
    <cfRule type="cellIs" dxfId="10" priority="2" operator="between">
      <formula>20</formula>
      <formula>29</formula>
    </cfRule>
    <cfRule type="cellIs" dxfId="9" priority="3" operator="greaterThan">
      <formula>29</formula>
    </cfRule>
  </conditionalFormatting>
  <hyperlinks>
    <hyperlink ref="J15" r:id="rId1" xr:uid="{ECE68E8F-D922-42EA-80D1-9243922034F8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C89C-E8D9-40F7-B631-E9A84FE34402}">
  <sheetPr codeName="Hoja4">
    <pageSetUpPr autoPageBreaks="0"/>
  </sheetPr>
  <dimension ref="A1:AB54"/>
  <sheetViews>
    <sheetView zoomScale="85" zoomScaleNormal="85" zoomScalePageLayoutView="85" workbookViewId="0">
      <pane xSplit="3" ySplit="4" topLeftCell="N5" activePane="bottomRight" state="frozen"/>
      <selection pane="topRight" activeCell="D1" sqref="D1"/>
      <selection pane="bottomLeft" activeCell="A5" sqref="A5"/>
      <selection pane="bottomRight" activeCell="N5" sqref="N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9" t="s">
        <v>38</v>
      </c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6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93" t="s">
        <v>39</v>
      </c>
      <c r="B5" s="87" t="s">
        <v>159</v>
      </c>
      <c r="C5" s="88" t="s">
        <v>162</v>
      </c>
      <c r="D5" s="114" t="s">
        <v>163</v>
      </c>
      <c r="E5" s="114" t="s">
        <v>135</v>
      </c>
      <c r="F5" s="114" t="s">
        <v>151</v>
      </c>
      <c r="G5" s="114" t="s">
        <v>45</v>
      </c>
      <c r="H5" s="114" t="s">
        <v>41</v>
      </c>
      <c r="I5" s="115">
        <v>56979312762</v>
      </c>
      <c r="J5" s="26" t="s">
        <v>164</v>
      </c>
      <c r="K5" s="26" t="s">
        <v>48</v>
      </c>
      <c r="L5" s="49" t="s">
        <v>207</v>
      </c>
      <c r="M5" s="49" t="s">
        <v>208</v>
      </c>
      <c r="N5" s="116">
        <f>SUMPRODUCT(Tabla5235[[#This Row],[Paltas]:[Empanadas]],O$26:Z$26)</f>
        <v>330500</v>
      </c>
      <c r="O5" s="49">
        <v>2</v>
      </c>
      <c r="P5" s="49">
        <v>5</v>
      </c>
      <c r="Q5" s="49">
        <v>1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f>11+7</f>
        <v>18</v>
      </c>
      <c r="Y5" s="49">
        <v>1</v>
      </c>
      <c r="Z5" s="49">
        <f>6+2</f>
        <v>8</v>
      </c>
      <c r="AA5" s="49">
        <f>SUM(Tabla5235[[#This Row],[Paltas]:[Empanadas]])</f>
        <v>35</v>
      </c>
      <c r="AB5" s="57"/>
    </row>
    <row r="6" spans="1:28" outlineLevel="1" x14ac:dyDescent="0.25">
      <c r="A6" s="194"/>
      <c r="B6" s="56" t="s">
        <v>176</v>
      </c>
      <c r="C6" s="47" t="s">
        <v>177</v>
      </c>
      <c r="D6" s="47" t="s">
        <v>178</v>
      </c>
      <c r="E6" s="47" t="s">
        <v>46</v>
      </c>
      <c r="F6" s="47" t="s">
        <v>87</v>
      </c>
      <c r="G6" s="47" t="s">
        <v>45</v>
      </c>
      <c r="H6" s="47" t="s">
        <v>41</v>
      </c>
      <c r="I6" s="53">
        <v>56963061299</v>
      </c>
      <c r="J6" s="27" t="s">
        <v>179</v>
      </c>
      <c r="K6" s="27" t="s">
        <v>42</v>
      </c>
      <c r="L6" s="52" t="s">
        <v>208</v>
      </c>
      <c r="M6" s="52" t="s">
        <v>208</v>
      </c>
      <c r="N6" s="47">
        <f>SUMPRODUCT(Tabla5235[[#This Row],[Paltas]:[Empanadas]],O$26:Z$26)</f>
        <v>33000</v>
      </c>
      <c r="O6" s="52">
        <v>1</v>
      </c>
      <c r="P6" s="52">
        <v>1</v>
      </c>
      <c r="Q6" s="52">
        <v>2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1</v>
      </c>
      <c r="Y6" s="52">
        <v>1</v>
      </c>
      <c r="Z6" s="52">
        <v>0</v>
      </c>
      <c r="AA6" s="52">
        <f>SUM(Tabla5235[[#This Row],[Paltas]:[Empanadas]])</f>
        <v>6</v>
      </c>
      <c r="AB6" s="58"/>
    </row>
    <row r="7" spans="1:28" outlineLevel="1" x14ac:dyDescent="0.25">
      <c r="A7" s="194"/>
      <c r="B7" s="56" t="s">
        <v>90</v>
      </c>
      <c r="C7" s="47" t="s">
        <v>52</v>
      </c>
      <c r="D7" s="47" t="s">
        <v>91</v>
      </c>
      <c r="E7" s="47" t="s">
        <v>43</v>
      </c>
      <c r="F7" s="47" t="s">
        <v>47</v>
      </c>
      <c r="G7" s="47" t="s">
        <v>88</v>
      </c>
      <c r="H7" s="47" t="s">
        <v>41</v>
      </c>
      <c r="I7" s="53">
        <v>56982978895</v>
      </c>
      <c r="J7" s="27" t="s">
        <v>92</v>
      </c>
      <c r="K7" s="27" t="s">
        <v>48</v>
      </c>
      <c r="L7" s="52" t="s">
        <v>207</v>
      </c>
      <c r="M7" s="52" t="s">
        <v>208</v>
      </c>
      <c r="N7" s="47">
        <f>SUMPRODUCT(Tabla5235[[#This Row],[Paltas]:[Empanadas]],O$26:Z$26)</f>
        <v>38500</v>
      </c>
      <c r="O7" s="52">
        <v>0</v>
      </c>
      <c r="P7" s="52">
        <v>1</v>
      </c>
      <c r="Q7" s="52">
        <v>2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1</v>
      </c>
      <c r="AA7" s="52">
        <f>SUM(Tabla5235[[#This Row],[Paltas]:[Empanadas]])</f>
        <v>5</v>
      </c>
      <c r="AB7" s="58"/>
    </row>
    <row r="8" spans="1:28" outlineLevel="1" x14ac:dyDescent="0.25">
      <c r="A8" s="194"/>
      <c r="B8" s="50" t="s">
        <v>186</v>
      </c>
      <c r="C8" s="48" t="s">
        <v>128</v>
      </c>
      <c r="D8" s="59" t="s">
        <v>187</v>
      </c>
      <c r="E8" s="59" t="s">
        <v>46</v>
      </c>
      <c r="F8" s="59" t="s">
        <v>87</v>
      </c>
      <c r="G8" s="59">
        <v>0</v>
      </c>
      <c r="H8" s="59" t="s">
        <v>41</v>
      </c>
      <c r="I8" s="60">
        <v>0</v>
      </c>
      <c r="J8" s="27" t="s">
        <v>138</v>
      </c>
      <c r="K8" s="27">
        <v>0</v>
      </c>
      <c r="L8" s="52" t="s">
        <v>208</v>
      </c>
      <c r="M8" s="52" t="s">
        <v>208</v>
      </c>
      <c r="N8" s="70">
        <f>SUMPRODUCT(Tabla5235[[#This Row],[Paltas]:[Empanadas]],O$26:Z$26)</f>
        <v>28500</v>
      </c>
      <c r="O8" s="52">
        <v>3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2</v>
      </c>
      <c r="Y8" s="52">
        <v>0</v>
      </c>
      <c r="Z8" s="52">
        <v>0</v>
      </c>
      <c r="AA8" s="52">
        <f>SUM(Tabla5235[[#This Row],[Paltas]:[Empanadas]])</f>
        <v>5</v>
      </c>
      <c r="AB8" s="58"/>
    </row>
    <row r="9" spans="1:28" outlineLevel="1" x14ac:dyDescent="0.25">
      <c r="A9" s="194"/>
      <c r="B9" s="50" t="s">
        <v>150</v>
      </c>
      <c r="C9" s="48" t="s">
        <v>203</v>
      </c>
      <c r="D9" s="59" t="s">
        <v>204</v>
      </c>
      <c r="E9" s="59" t="s">
        <v>40</v>
      </c>
      <c r="F9" s="59" t="s">
        <v>49</v>
      </c>
      <c r="G9" s="59" t="s">
        <v>113</v>
      </c>
      <c r="H9" s="59" t="s">
        <v>41</v>
      </c>
      <c r="I9" s="60">
        <v>56976994719</v>
      </c>
      <c r="J9" s="27" t="s">
        <v>205</v>
      </c>
      <c r="K9" s="27" t="s">
        <v>48</v>
      </c>
      <c r="L9" s="52" t="s">
        <v>207</v>
      </c>
      <c r="M9" s="52" t="s">
        <v>208</v>
      </c>
      <c r="N9" s="70">
        <f>SUMPRODUCT(Tabla5235[[#This Row],[Paltas]:[Empanadas]],O$26:Z$26)</f>
        <v>24000</v>
      </c>
      <c r="O9" s="52">
        <v>1</v>
      </c>
      <c r="P9" s="52">
        <v>1</v>
      </c>
      <c r="Q9" s="52">
        <v>0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1</v>
      </c>
      <c r="Y9" s="52">
        <v>0</v>
      </c>
      <c r="Z9" s="52">
        <v>0</v>
      </c>
      <c r="AA9" s="52">
        <f>SUM(Tabla5235[[#This Row],[Paltas]:[Empanadas]])</f>
        <v>4</v>
      </c>
      <c r="AB9" s="58"/>
    </row>
    <row r="10" spans="1:28" outlineLevel="1" x14ac:dyDescent="0.25">
      <c r="A10" s="194"/>
      <c r="B10" s="56" t="s">
        <v>55</v>
      </c>
      <c r="C10" s="47" t="s">
        <v>56</v>
      </c>
      <c r="D10" s="47" t="s">
        <v>57</v>
      </c>
      <c r="E10" s="47" t="s">
        <v>40</v>
      </c>
      <c r="F10" s="47" t="s">
        <v>49</v>
      </c>
      <c r="G10" s="47" t="s">
        <v>45</v>
      </c>
      <c r="H10" s="47" t="s">
        <v>41</v>
      </c>
      <c r="I10" s="53">
        <v>56967898535</v>
      </c>
      <c r="J10" s="27" t="s">
        <v>58</v>
      </c>
      <c r="K10" s="27" t="s">
        <v>54</v>
      </c>
      <c r="L10" s="52" t="s">
        <v>214</v>
      </c>
      <c r="M10" s="52" t="s">
        <v>208</v>
      </c>
      <c r="N10" s="47">
        <f>SUMPRODUCT(Tabla5235[[#This Row],[Paltas]:[Empanadas]],O$26:Z$26)</f>
        <v>21000</v>
      </c>
      <c r="O10" s="52">
        <v>2</v>
      </c>
      <c r="P10" s="52">
        <v>0</v>
      </c>
      <c r="Q10" s="52">
        <v>0</v>
      </c>
      <c r="R10" s="52">
        <v>1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1</v>
      </c>
      <c r="Y10" s="52">
        <v>0</v>
      </c>
      <c r="Z10" s="52">
        <v>0</v>
      </c>
      <c r="AA10" s="52">
        <f>SUM(Tabla5235[[#This Row],[Paltas]:[Empanadas]])</f>
        <v>4</v>
      </c>
      <c r="AB10" s="58"/>
    </row>
    <row r="11" spans="1:28" outlineLevel="1" x14ac:dyDescent="0.25">
      <c r="A11" s="194"/>
      <c r="B11" s="50" t="s">
        <v>94</v>
      </c>
      <c r="C11" s="48" t="s">
        <v>50</v>
      </c>
      <c r="D11" s="59" t="s">
        <v>95</v>
      </c>
      <c r="E11" s="59" t="s">
        <v>40</v>
      </c>
      <c r="F11" s="59" t="s">
        <v>49</v>
      </c>
      <c r="G11" s="59" t="s">
        <v>51</v>
      </c>
      <c r="H11" s="59" t="s">
        <v>41</v>
      </c>
      <c r="I11" s="60">
        <v>56966640363</v>
      </c>
      <c r="J11" s="27" t="s">
        <v>96</v>
      </c>
      <c r="K11" s="27" t="s">
        <v>48</v>
      </c>
      <c r="L11" s="52" t="s">
        <v>207</v>
      </c>
      <c r="M11" s="52" t="s">
        <v>208</v>
      </c>
      <c r="N11" s="70">
        <f>SUMPRODUCT(Tabla5235[[#This Row],[Paltas]:[Empanadas]],O$26:Z$26)</f>
        <v>19500</v>
      </c>
      <c r="O11" s="52">
        <v>0</v>
      </c>
      <c r="P11" s="52">
        <v>0</v>
      </c>
      <c r="Q11" s="52">
        <v>0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2</v>
      </c>
      <c r="Y11" s="52">
        <v>0</v>
      </c>
      <c r="Z11" s="52">
        <v>0</v>
      </c>
      <c r="AA11" s="52">
        <f>SUM(Tabla5235[[#This Row],[Paltas]:[Empanadas]])</f>
        <v>3</v>
      </c>
      <c r="AB11" s="58"/>
    </row>
    <row r="12" spans="1:28" outlineLevel="1" x14ac:dyDescent="0.25">
      <c r="A12" s="194"/>
      <c r="B12" s="56" t="s">
        <v>59</v>
      </c>
      <c r="C12" s="47" t="s">
        <v>72</v>
      </c>
      <c r="D12" s="47" t="s">
        <v>73</v>
      </c>
      <c r="E12" s="47" t="s">
        <v>40</v>
      </c>
      <c r="F12" s="47" t="s">
        <v>49</v>
      </c>
      <c r="G12" s="47" t="s">
        <v>53</v>
      </c>
      <c r="H12" s="47" t="s">
        <v>41</v>
      </c>
      <c r="I12" s="53">
        <v>56975684552</v>
      </c>
      <c r="J12" s="27" t="s">
        <v>74</v>
      </c>
      <c r="K12" s="27" t="s">
        <v>48</v>
      </c>
      <c r="L12" s="52" t="s">
        <v>214</v>
      </c>
      <c r="M12" s="52" t="s">
        <v>208</v>
      </c>
      <c r="N12" s="47">
        <f>SUMPRODUCT(Tabla5235[[#This Row],[Paltas]:[Empanadas]],O$26:Z$26)</f>
        <v>19500</v>
      </c>
      <c r="O12" s="52">
        <v>0</v>
      </c>
      <c r="P12" s="52">
        <v>0</v>
      </c>
      <c r="Q12" s="52">
        <v>1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2</v>
      </c>
      <c r="Y12" s="52">
        <v>0</v>
      </c>
      <c r="Z12" s="52">
        <v>0</v>
      </c>
      <c r="AA12" s="52">
        <f>SUM(Tabla5235[[#This Row],[Paltas]:[Empanadas]])</f>
        <v>3</v>
      </c>
      <c r="AB12" s="58"/>
    </row>
    <row r="13" spans="1:28" outlineLevel="1" x14ac:dyDescent="0.25">
      <c r="A13" s="194"/>
      <c r="B13" s="56" t="s">
        <v>66</v>
      </c>
      <c r="C13" s="47" t="s">
        <v>67</v>
      </c>
      <c r="D13" s="47" t="s">
        <v>68</v>
      </c>
      <c r="E13" s="47" t="s">
        <v>46</v>
      </c>
      <c r="F13" s="47" t="s">
        <v>44</v>
      </c>
      <c r="G13" s="47" t="s">
        <v>53</v>
      </c>
      <c r="H13" s="47" t="s">
        <v>41</v>
      </c>
      <c r="I13" s="53">
        <v>56967289638</v>
      </c>
      <c r="J13" s="27" t="s">
        <v>69</v>
      </c>
      <c r="K13" s="27" t="s">
        <v>54</v>
      </c>
      <c r="L13" s="52" t="s">
        <v>214</v>
      </c>
      <c r="M13" s="52" t="s">
        <v>208</v>
      </c>
      <c r="N13" s="47">
        <f>SUMPRODUCT(Tabla5235[[#This Row],[Paltas]:[Empanadas]],O$26:Z$26)</f>
        <v>22000</v>
      </c>
      <c r="O13" s="52">
        <v>1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1</v>
      </c>
      <c r="AA13" s="52">
        <f>SUM(Tabla5235[[#This Row],[Paltas]:[Empanadas]])</f>
        <v>2</v>
      </c>
      <c r="AB13" s="58"/>
    </row>
    <row r="14" spans="1:28" outlineLevel="1" x14ac:dyDescent="0.25">
      <c r="A14" s="194"/>
      <c r="B14" s="56" t="s">
        <v>209</v>
      </c>
      <c r="C14" s="47" t="s">
        <v>210</v>
      </c>
      <c r="D14" s="47" t="s">
        <v>211</v>
      </c>
      <c r="E14" s="47" t="s">
        <v>40</v>
      </c>
      <c r="F14" s="47" t="s">
        <v>75</v>
      </c>
      <c r="G14" s="47" t="s">
        <v>76</v>
      </c>
      <c r="H14" s="47" t="s">
        <v>41</v>
      </c>
      <c r="I14" s="53">
        <v>56966477967</v>
      </c>
      <c r="J14" s="27" t="s">
        <v>212</v>
      </c>
      <c r="K14" s="27" t="s">
        <v>54</v>
      </c>
      <c r="L14" s="52" t="s">
        <v>207</v>
      </c>
      <c r="M14" s="52" t="s">
        <v>208</v>
      </c>
      <c r="N14" s="47">
        <f>SUMPRODUCT(Tabla5235[[#This Row],[Paltas]:[Empanadas]],O$26:Z$26)</f>
        <v>9000</v>
      </c>
      <c r="O14" s="52">
        <v>0</v>
      </c>
      <c r="P14" s="52">
        <v>0</v>
      </c>
      <c r="Q14" s="52">
        <v>2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f>SUM(Tabla5235[[#This Row],[Paltas]:[Empanadas]])</f>
        <v>2</v>
      </c>
      <c r="AB14" s="58"/>
    </row>
    <row r="15" spans="1:28" outlineLevel="1" x14ac:dyDescent="0.25">
      <c r="A15" s="194"/>
      <c r="B15" s="50" t="s">
        <v>98</v>
      </c>
      <c r="C15" s="48" t="s">
        <v>99</v>
      </c>
      <c r="D15" s="59" t="s">
        <v>100</v>
      </c>
      <c r="E15" s="59" t="s">
        <v>40</v>
      </c>
      <c r="F15" s="59" t="s">
        <v>49</v>
      </c>
      <c r="G15" s="59" t="s">
        <v>76</v>
      </c>
      <c r="H15" s="59" t="s">
        <v>41</v>
      </c>
      <c r="I15" s="60">
        <v>56974397201</v>
      </c>
      <c r="J15" s="27" t="s">
        <v>101</v>
      </c>
      <c r="K15" s="27" t="s">
        <v>54</v>
      </c>
      <c r="L15" s="52" t="s">
        <v>207</v>
      </c>
      <c r="M15" s="52" t="s">
        <v>208</v>
      </c>
      <c r="N15" s="47">
        <f>SUMPRODUCT(Tabla5235[[#This Row],[Paltas]:[Empanadas]],O$26:Z$26)</f>
        <v>7500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1</v>
      </c>
      <c r="Y15" s="52">
        <v>0</v>
      </c>
      <c r="Z15" s="52">
        <v>0</v>
      </c>
      <c r="AA15" s="52">
        <f>SUM(Tabla5235[[#This Row],[Paltas]:[Empanadas]])</f>
        <v>1</v>
      </c>
      <c r="AB15" s="58"/>
    </row>
    <row r="16" spans="1:28" outlineLevel="1" x14ac:dyDescent="0.25">
      <c r="A16" s="194"/>
      <c r="B16" s="50" t="s">
        <v>114</v>
      </c>
      <c r="C16" s="48" t="s">
        <v>185</v>
      </c>
      <c r="D16" s="59" t="s">
        <v>206</v>
      </c>
      <c r="E16" s="59" t="s">
        <v>46</v>
      </c>
      <c r="F16" s="59" t="s">
        <v>87</v>
      </c>
      <c r="G16" s="59" t="s">
        <v>110</v>
      </c>
      <c r="H16" s="59" t="s">
        <v>41</v>
      </c>
      <c r="I16" s="60">
        <v>0</v>
      </c>
      <c r="J16" s="27" t="s">
        <v>213</v>
      </c>
      <c r="K16" s="27" t="s">
        <v>48</v>
      </c>
      <c r="L16" s="52" t="s">
        <v>208</v>
      </c>
      <c r="M16" s="52" t="s">
        <v>208</v>
      </c>
      <c r="N16" s="70">
        <f>SUMPRODUCT(Tabla5235[[#This Row],[Paltas]:[Empanadas]],O$26:Z$26)</f>
        <v>4500</v>
      </c>
      <c r="O16" s="52">
        <v>1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SUM(Tabla5235[[#This Row],[Paltas]:[Empanadas]])</f>
        <v>1</v>
      </c>
      <c r="AB16" s="58"/>
    </row>
    <row r="17" spans="1:27" outlineLevel="1" x14ac:dyDescent="0.25">
      <c r="A17" s="18"/>
      <c r="B17" s="19"/>
      <c r="C17" s="19"/>
      <c r="D17" s="19"/>
      <c r="E17" s="19"/>
      <c r="F17" s="19"/>
      <c r="G17" s="19"/>
      <c r="H17" s="19"/>
      <c r="I17" s="32"/>
      <c r="J17" s="31"/>
      <c r="K17" s="31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1:27" ht="15.75" thickBot="1" x14ac:dyDescent="0.3"/>
    <row r="19" spans="1:27" ht="14.65" customHeight="1" thickBot="1" x14ac:dyDescent="0.3">
      <c r="A19" s="172" t="s">
        <v>20</v>
      </c>
      <c r="B19" s="163" t="s">
        <v>7</v>
      </c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5"/>
      <c r="N19" s="105" t="s">
        <v>9</v>
      </c>
      <c r="O19" s="49">
        <f>SUM(Tabla5235[Paltas])</f>
        <v>11</v>
      </c>
      <c r="P19" s="49">
        <f>SUM(Tabla5235[Quesos])</f>
        <v>8</v>
      </c>
      <c r="Q19" s="49">
        <f>SUM(Tabla5235[Frutillas])</f>
        <v>8</v>
      </c>
      <c r="R19" s="49">
        <f>SUM(Tabla5235[Tomate Cherry])</f>
        <v>4</v>
      </c>
      <c r="S19" s="49">
        <f>SUM(Tabla5235[Nueces])</f>
        <v>0</v>
      </c>
      <c r="T19" s="49">
        <f>SUM(Tabla5235[Mani])</f>
        <v>0</v>
      </c>
      <c r="U19" s="49">
        <f>SUM(Tabla5235[Pistachos])</f>
        <v>0</v>
      </c>
      <c r="V19" s="49">
        <f>SUM(Tabla5235[Caju])</f>
        <v>0</v>
      </c>
      <c r="W19" s="49">
        <f>SUM(Tabla5235[Almendras])</f>
        <v>0</v>
      </c>
      <c r="X19" s="49">
        <f>SUM(Tabla5235[Cerezas])</f>
        <v>28</v>
      </c>
      <c r="Y19" s="49">
        <f>SUM(Tabla5235[Arandanos])</f>
        <v>2</v>
      </c>
      <c r="Z19" s="4">
        <f>SUM(Tabla5235[Empanadas])</f>
        <v>10</v>
      </c>
    </row>
    <row r="20" spans="1:27" ht="14.65" customHeight="1" thickBot="1" x14ac:dyDescent="0.3">
      <c r="A20" s="173"/>
      <c r="B20" s="181"/>
      <c r="C20" s="182"/>
      <c r="D20" s="182"/>
      <c r="E20" s="182"/>
      <c r="F20" s="182"/>
      <c r="G20" s="182"/>
      <c r="H20" s="182"/>
      <c r="I20" s="182"/>
      <c r="J20" s="182"/>
      <c r="K20" s="182"/>
      <c r="L20" s="182"/>
      <c r="M20" s="183"/>
      <c r="N20" s="105" t="s">
        <v>28</v>
      </c>
      <c r="O20" s="52">
        <v>2</v>
      </c>
      <c r="P20" s="37">
        <v>1</v>
      </c>
      <c r="Q20" s="37">
        <v>2</v>
      </c>
      <c r="R20" s="52">
        <v>1</v>
      </c>
      <c r="S20" s="73">
        <v>0.5</v>
      </c>
      <c r="T20" s="73">
        <v>1</v>
      </c>
      <c r="U20" s="73">
        <v>0.5</v>
      </c>
      <c r="V20" s="73">
        <v>0.4</v>
      </c>
      <c r="W20" s="73">
        <v>0.5</v>
      </c>
      <c r="X20" s="73">
        <v>5</v>
      </c>
      <c r="Y20" s="73">
        <v>0.5</v>
      </c>
      <c r="Z20" s="38">
        <v>12</v>
      </c>
    </row>
    <row r="21" spans="1:27" ht="14.65" customHeight="1" thickBot="1" x14ac:dyDescent="0.3">
      <c r="A21" s="173"/>
      <c r="B21" s="181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3"/>
      <c r="N21" s="105" t="s">
        <v>8</v>
      </c>
      <c r="O21" s="52">
        <f t="shared" ref="O21:Z21" si="0">O20*O19</f>
        <v>22</v>
      </c>
      <c r="P21" s="52">
        <f t="shared" si="0"/>
        <v>8</v>
      </c>
      <c r="Q21" s="52">
        <f>Q20*Q19</f>
        <v>16</v>
      </c>
      <c r="R21" s="52">
        <f t="shared" si="0"/>
        <v>4</v>
      </c>
      <c r="S21" s="52">
        <f t="shared" si="0"/>
        <v>0</v>
      </c>
      <c r="T21" s="52">
        <f t="shared" si="0"/>
        <v>0</v>
      </c>
      <c r="U21" s="52">
        <f t="shared" si="0"/>
        <v>0</v>
      </c>
      <c r="V21" s="52">
        <f t="shared" si="0"/>
        <v>0</v>
      </c>
      <c r="W21" s="52">
        <f t="shared" si="0"/>
        <v>0</v>
      </c>
      <c r="X21" s="52">
        <f t="shared" si="0"/>
        <v>140</v>
      </c>
      <c r="Y21" s="52">
        <f t="shared" si="0"/>
        <v>1</v>
      </c>
      <c r="Z21" s="11">
        <f t="shared" si="0"/>
        <v>120</v>
      </c>
    </row>
    <row r="22" spans="1:27" ht="15.75" thickBot="1" x14ac:dyDescent="0.3">
      <c r="A22" s="173"/>
      <c r="B22" s="166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8"/>
      <c r="N22" s="105" t="s">
        <v>10</v>
      </c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2"/>
    </row>
    <row r="23" spans="1:27" ht="15.75" thickBot="1" x14ac:dyDescent="0.3">
      <c r="A23" s="173"/>
      <c r="B23" s="107"/>
      <c r="C23" s="19"/>
      <c r="D23" s="23"/>
      <c r="E23" s="24"/>
      <c r="F23" s="24"/>
      <c r="G23" s="24"/>
      <c r="H23" s="24"/>
      <c r="I23" s="24"/>
      <c r="J23" s="24"/>
      <c r="K23" s="25"/>
      <c r="N23" s="3"/>
    </row>
    <row r="24" spans="1:27" ht="15.75" thickBot="1" x14ac:dyDescent="0.3">
      <c r="A24" s="173"/>
      <c r="B24" s="163" t="s">
        <v>12</v>
      </c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5"/>
      <c r="N24" s="105" t="s">
        <v>13</v>
      </c>
      <c r="O24" s="51">
        <f t="shared" ref="O24:Z24" si="1">O25*O20</f>
        <v>3100</v>
      </c>
      <c r="P24" s="51">
        <f t="shared" si="1"/>
        <v>6716</v>
      </c>
      <c r="Q24" s="51">
        <f>Q25*Q20</f>
        <v>2600</v>
      </c>
      <c r="R24" s="51">
        <f t="shared" si="1"/>
        <v>2300</v>
      </c>
      <c r="S24" s="51">
        <f t="shared" si="1"/>
        <v>3750</v>
      </c>
      <c r="T24" s="51">
        <f t="shared" si="1"/>
        <v>3500</v>
      </c>
      <c r="U24" s="51">
        <f t="shared" si="1"/>
        <v>7050</v>
      </c>
      <c r="V24" s="51">
        <f t="shared" si="1"/>
        <v>5320</v>
      </c>
      <c r="W24" s="51">
        <f t="shared" si="1"/>
        <v>5350</v>
      </c>
      <c r="X24" s="51">
        <f t="shared" si="1"/>
        <v>6000</v>
      </c>
      <c r="Y24" s="51">
        <f t="shared" si="1"/>
        <v>600</v>
      </c>
      <c r="Z24" s="15">
        <f t="shared" si="1"/>
        <v>12000</v>
      </c>
    </row>
    <row r="25" spans="1:27" ht="15.75" thickBot="1" x14ac:dyDescent="0.3">
      <c r="A25" s="173"/>
      <c r="B25" s="181"/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3"/>
      <c r="N25" s="105" t="s">
        <v>8</v>
      </c>
      <c r="O25" s="76">
        <v>1550</v>
      </c>
      <c r="P25" s="76">
        <v>6716</v>
      </c>
      <c r="Q25" s="76">
        <v>1300</v>
      </c>
      <c r="R25" s="76">
        <v>2300</v>
      </c>
      <c r="S25" s="76">
        <v>7500</v>
      </c>
      <c r="T25" s="76">
        <v>3500</v>
      </c>
      <c r="U25" s="76">
        <v>14100</v>
      </c>
      <c r="V25" s="76">
        <v>13300</v>
      </c>
      <c r="W25" s="76">
        <v>10700</v>
      </c>
      <c r="X25" s="76">
        <f>6000/5</f>
        <v>1200</v>
      </c>
      <c r="Y25" s="76">
        <f>6000/5</f>
        <v>1200</v>
      </c>
      <c r="Z25" s="80">
        <v>1000</v>
      </c>
    </row>
    <row r="26" spans="1:27" ht="15.75" thickBot="1" x14ac:dyDescent="0.3">
      <c r="A26" s="173"/>
      <c r="B26" s="166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8"/>
      <c r="N26" s="105" t="s">
        <v>14</v>
      </c>
      <c r="O26" s="79">
        <v>4500</v>
      </c>
      <c r="P26" s="79">
        <v>7500</v>
      </c>
      <c r="Q26" s="79">
        <v>4500</v>
      </c>
      <c r="R26" s="79">
        <v>4500</v>
      </c>
      <c r="S26" s="79">
        <v>5500</v>
      </c>
      <c r="T26" s="79">
        <v>4500</v>
      </c>
      <c r="U26" s="79">
        <v>8500</v>
      </c>
      <c r="V26" s="79">
        <v>7500</v>
      </c>
      <c r="W26" s="79">
        <v>7500</v>
      </c>
      <c r="X26" s="79">
        <v>7500</v>
      </c>
      <c r="Y26" s="79">
        <v>4500</v>
      </c>
      <c r="Z26" s="81">
        <v>17500</v>
      </c>
    </row>
    <row r="27" spans="1:27" ht="15.75" thickBot="1" x14ac:dyDescent="0.3">
      <c r="A27" s="173"/>
      <c r="B27" s="107"/>
      <c r="C27" s="19"/>
      <c r="D27" s="23"/>
      <c r="E27" s="24"/>
      <c r="F27" s="24"/>
      <c r="G27" s="24"/>
      <c r="H27" s="24"/>
      <c r="I27" s="24"/>
      <c r="J27" s="24"/>
      <c r="K27" s="25"/>
      <c r="N27" s="3"/>
    </row>
    <row r="28" spans="1:27" ht="14.65" customHeight="1" thickBot="1" x14ac:dyDescent="0.3">
      <c r="A28" s="173"/>
      <c r="B28" s="163" t="s">
        <v>15</v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5"/>
      <c r="N28" s="105" t="s">
        <v>19</v>
      </c>
      <c r="O28" s="88">
        <f t="shared" ref="O28:Z28" si="2">O19*O24</f>
        <v>34100</v>
      </c>
      <c r="P28" s="89">
        <f t="shared" si="2"/>
        <v>53728</v>
      </c>
      <c r="Q28" s="89">
        <f t="shared" si="2"/>
        <v>20800</v>
      </c>
      <c r="R28" s="88">
        <f>R19*R24</f>
        <v>9200</v>
      </c>
      <c r="S28" s="88">
        <f t="shared" si="2"/>
        <v>0</v>
      </c>
      <c r="T28" s="88">
        <f t="shared" si="2"/>
        <v>0</v>
      </c>
      <c r="U28" s="88">
        <f t="shared" si="2"/>
        <v>0</v>
      </c>
      <c r="V28" s="88">
        <f t="shared" si="2"/>
        <v>0</v>
      </c>
      <c r="W28" s="88">
        <f t="shared" si="2"/>
        <v>0</v>
      </c>
      <c r="X28" s="88">
        <f t="shared" si="2"/>
        <v>168000</v>
      </c>
      <c r="Y28" s="88">
        <f t="shared" si="2"/>
        <v>1200</v>
      </c>
      <c r="Z28" s="90">
        <f t="shared" si="2"/>
        <v>120000</v>
      </c>
    </row>
    <row r="29" spans="1:27" ht="15.75" thickBot="1" x14ac:dyDescent="0.3">
      <c r="A29" s="173"/>
      <c r="B29" s="166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8"/>
      <c r="N29" s="105" t="s">
        <v>16</v>
      </c>
      <c r="O29" s="161">
        <f>SUM(O28:Z28)</f>
        <v>407028</v>
      </c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2"/>
    </row>
    <row r="30" spans="1:27" ht="15.75" thickBot="1" x14ac:dyDescent="0.3">
      <c r="A30" s="173"/>
      <c r="B30" s="163" t="s">
        <v>17</v>
      </c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5"/>
      <c r="N30" s="105" t="s">
        <v>19</v>
      </c>
      <c r="O30" s="48">
        <f t="shared" ref="O30:Z30" si="3">O26*O19</f>
        <v>49500</v>
      </c>
      <c r="P30" s="48">
        <f t="shared" si="3"/>
        <v>60000</v>
      </c>
      <c r="Q30" s="48">
        <f t="shared" si="3"/>
        <v>36000</v>
      </c>
      <c r="R30" s="48">
        <f t="shared" si="3"/>
        <v>18000</v>
      </c>
      <c r="S30" s="48">
        <f t="shared" si="3"/>
        <v>0</v>
      </c>
      <c r="T30" s="48">
        <f t="shared" si="3"/>
        <v>0</v>
      </c>
      <c r="U30" s="48">
        <f t="shared" si="3"/>
        <v>0</v>
      </c>
      <c r="V30" s="48">
        <f t="shared" si="3"/>
        <v>0</v>
      </c>
      <c r="W30" s="48">
        <f t="shared" si="3"/>
        <v>0</v>
      </c>
      <c r="X30" s="48">
        <f t="shared" si="3"/>
        <v>210000</v>
      </c>
      <c r="Y30" s="48">
        <f t="shared" si="3"/>
        <v>9000</v>
      </c>
      <c r="Z30" s="91">
        <f t="shared" si="3"/>
        <v>175000</v>
      </c>
    </row>
    <row r="31" spans="1:27" ht="15.75" thickBot="1" x14ac:dyDescent="0.3">
      <c r="A31" s="173"/>
      <c r="B31" s="166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8"/>
      <c r="N31" s="105" t="s">
        <v>16</v>
      </c>
      <c r="O31" s="196">
        <f>SUM(O30:Z30)</f>
        <v>557500</v>
      </c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8"/>
    </row>
    <row r="32" spans="1:27" ht="14.65" customHeight="1" thickBot="1" x14ac:dyDescent="0.3">
      <c r="A32" s="173"/>
      <c r="B32" s="163" t="s">
        <v>18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5"/>
      <c r="N32" s="105" t="s">
        <v>19</v>
      </c>
      <c r="O32" s="48">
        <f t="shared" ref="O32:Y32" si="4">O30-O28</f>
        <v>15400</v>
      </c>
      <c r="P32" s="48">
        <f t="shared" si="4"/>
        <v>6272</v>
      </c>
      <c r="Q32" s="48">
        <f t="shared" si="4"/>
        <v>15200</v>
      </c>
      <c r="R32" s="48">
        <f t="shared" si="4"/>
        <v>8800</v>
      </c>
      <c r="S32" s="48">
        <f t="shared" si="4"/>
        <v>0</v>
      </c>
      <c r="T32" s="48">
        <f t="shared" si="4"/>
        <v>0</v>
      </c>
      <c r="U32" s="48">
        <f t="shared" si="4"/>
        <v>0</v>
      </c>
      <c r="V32" s="48">
        <f t="shared" si="4"/>
        <v>0</v>
      </c>
      <c r="W32" s="48">
        <f t="shared" si="4"/>
        <v>0</v>
      </c>
      <c r="X32" s="48">
        <f t="shared" si="4"/>
        <v>42000</v>
      </c>
      <c r="Y32" s="48">
        <f t="shared" si="4"/>
        <v>7800</v>
      </c>
      <c r="Z32" s="91">
        <f>Z30-Z28</f>
        <v>55000</v>
      </c>
    </row>
    <row r="33" spans="1:26" ht="29.65" customHeight="1" thickBot="1" x14ac:dyDescent="0.3">
      <c r="A33" s="173"/>
      <c r="B33" s="166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8"/>
      <c r="N33" s="105" t="s">
        <v>29</v>
      </c>
      <c r="O33" s="158">
        <f>O31-O29</f>
        <v>150472</v>
      </c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9"/>
    </row>
    <row r="34" spans="1:26" ht="15.75" thickBot="1" x14ac:dyDescent="0.3">
      <c r="A34" s="173"/>
    </row>
    <row r="35" spans="1:26" ht="14.65" customHeight="1" thickBot="1" x14ac:dyDescent="0.3">
      <c r="A35" s="173"/>
      <c r="B35" s="184" t="s">
        <v>25</v>
      </c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6"/>
      <c r="O35" s="106"/>
      <c r="P35" s="29" t="s">
        <v>27</v>
      </c>
      <c r="Q35" s="61"/>
      <c r="R35" s="5"/>
      <c r="S35" s="5"/>
      <c r="T35" s="5"/>
      <c r="U35" s="5"/>
      <c r="V35" s="5"/>
      <c r="W35" s="5"/>
      <c r="X35" s="5"/>
      <c r="Y35" s="5"/>
      <c r="Z35" s="5"/>
    </row>
    <row r="36" spans="1:26" ht="15" customHeight="1" x14ac:dyDescent="0.25">
      <c r="A36" s="173"/>
      <c r="B36" s="187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N36" s="189"/>
      <c r="O36" s="117"/>
      <c r="P36" s="33"/>
      <c r="Q36" s="62"/>
      <c r="R36" s="6"/>
      <c r="S36" s="6"/>
      <c r="T36" s="6"/>
      <c r="U36" s="6"/>
      <c r="V36" s="6"/>
      <c r="W36" s="6"/>
      <c r="X36" s="6"/>
      <c r="Y36" s="6"/>
      <c r="Z36" s="6"/>
    </row>
    <row r="37" spans="1:26" ht="15" customHeight="1" x14ac:dyDescent="0.25">
      <c r="A37" s="173"/>
      <c r="B37" s="187"/>
      <c r="C37" s="188"/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9"/>
      <c r="O37" s="118"/>
      <c r="P37" s="34"/>
      <c r="Q37" s="62"/>
      <c r="R37" s="6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25">
      <c r="A38" s="173"/>
      <c r="B38" s="187"/>
      <c r="C38" s="188"/>
      <c r="D38" s="188"/>
      <c r="E38" s="188"/>
      <c r="F38" s="188"/>
      <c r="G38" s="188"/>
      <c r="H38" s="188"/>
      <c r="I38" s="188"/>
      <c r="J38" s="188"/>
      <c r="K38" s="188"/>
      <c r="L38" s="188"/>
      <c r="M38" s="188"/>
      <c r="N38" s="189"/>
      <c r="O38" s="118"/>
      <c r="P38" s="34"/>
      <c r="Q38" s="62"/>
      <c r="R38" s="6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25">
      <c r="A39" s="173"/>
      <c r="B39" s="187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9"/>
      <c r="O39" s="118"/>
      <c r="P39" s="34"/>
      <c r="Q39" s="62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25">
      <c r="A40" s="173"/>
      <c r="B40" s="187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9"/>
      <c r="O40" s="118"/>
      <c r="P40" s="34"/>
      <c r="Q40" s="62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25">
      <c r="A41" s="173"/>
      <c r="B41" s="187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9"/>
      <c r="O41" s="118"/>
      <c r="P41" s="34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thickBot="1" x14ac:dyDescent="0.3">
      <c r="A42" s="173"/>
      <c r="B42" s="187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9"/>
      <c r="O42" s="119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.75" customHeight="1" thickBot="1" x14ac:dyDescent="0.3">
      <c r="A43" s="173"/>
      <c r="B43" s="190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2"/>
      <c r="O43" s="106"/>
      <c r="P43" s="35">
        <f>SUM(P36:P42)</f>
        <v>0</v>
      </c>
      <c r="Q43" s="63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thickBot="1" x14ac:dyDescent="0.3">
      <c r="A44" s="173"/>
    </row>
    <row r="45" spans="1:26" ht="51.75" customHeight="1" thickBot="1" x14ac:dyDescent="0.3">
      <c r="A45" s="174"/>
      <c r="B45" s="175" t="s">
        <v>18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7"/>
      <c r="M45" s="105"/>
      <c r="N45" s="104" t="s">
        <v>16</v>
      </c>
      <c r="O45" s="179"/>
      <c r="P45" s="179"/>
      <c r="Q45" s="179"/>
      <c r="R45" s="179"/>
      <c r="S45" s="180"/>
      <c r="T45" s="72"/>
      <c r="U45" s="72"/>
      <c r="V45" s="72"/>
      <c r="W45" s="72"/>
      <c r="X45" s="72"/>
      <c r="Y45" s="72"/>
      <c r="Z45" s="72"/>
    </row>
    <row r="46" spans="1:26" ht="15.75" customHeight="1" x14ac:dyDescent="0.25">
      <c r="A46" s="30"/>
      <c r="O46" s="28"/>
      <c r="P46" s="28"/>
      <c r="Q46" s="28"/>
      <c r="S46" s="108"/>
      <c r="T46" s="108"/>
      <c r="U46" s="108"/>
      <c r="V46" s="108"/>
      <c r="W46" s="108"/>
      <c r="X46" s="108"/>
      <c r="Y46" s="108"/>
      <c r="Z46" s="108"/>
    </row>
    <row r="47" spans="1:26" ht="15" customHeight="1" x14ac:dyDescent="0.25">
      <c r="A47" s="30"/>
      <c r="O47" s="28"/>
      <c r="P47" s="28"/>
      <c r="Q47" s="28"/>
      <c r="S47" s="7"/>
      <c r="T47" s="7"/>
      <c r="U47" s="7"/>
      <c r="V47" s="7"/>
      <c r="W47" s="7"/>
      <c r="X47" s="7"/>
      <c r="Y47" s="7"/>
      <c r="Z47" s="7"/>
    </row>
    <row r="48" spans="1:26" ht="15" customHeight="1" x14ac:dyDescent="0.25">
      <c r="O48" s="28"/>
      <c r="P48" s="28"/>
      <c r="Q48" s="28"/>
      <c r="S48" s="7"/>
      <c r="T48" s="7"/>
      <c r="U48" s="7"/>
      <c r="V48" s="7"/>
      <c r="W48" s="7"/>
      <c r="X48" s="7"/>
      <c r="Y48" s="7"/>
      <c r="Z48" s="7"/>
    </row>
    <row r="49" spans="15:26" ht="15" customHeight="1" x14ac:dyDescent="0.25">
      <c r="O49" s="28"/>
      <c r="P49" s="28"/>
      <c r="Q49" s="28"/>
      <c r="S49" s="7"/>
      <c r="T49" s="7"/>
      <c r="U49" s="7"/>
      <c r="V49" s="7"/>
      <c r="W49" s="7"/>
      <c r="X49" s="7"/>
      <c r="Y49" s="7"/>
      <c r="Z49" s="7"/>
    </row>
    <row r="50" spans="15:26" ht="15" customHeight="1" x14ac:dyDescent="0.25">
      <c r="O50" s="28"/>
      <c r="P50" s="28"/>
      <c r="Q50" s="28"/>
      <c r="S50" s="7"/>
      <c r="T50" s="7"/>
      <c r="U50" s="7"/>
      <c r="V50" s="7"/>
      <c r="W50" s="7"/>
      <c r="X50" s="7"/>
      <c r="Y50" s="7"/>
      <c r="Z50" s="7"/>
    </row>
    <row r="51" spans="15:26" ht="15" customHeight="1" x14ac:dyDescent="0.25">
      <c r="O51" s="28"/>
      <c r="P51" s="28"/>
      <c r="Q51" s="28"/>
      <c r="S51" s="7"/>
      <c r="T51" s="7"/>
      <c r="U51" s="7"/>
      <c r="V51" s="7"/>
      <c r="W51" s="7"/>
      <c r="X51" s="7"/>
      <c r="Y51" s="7"/>
      <c r="Z51" s="7"/>
    </row>
    <row r="52" spans="15:26" ht="15" customHeight="1" x14ac:dyDescent="0.25"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5:26" ht="15" customHeight="1" x14ac:dyDescent="0.2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5:26" ht="15.75" customHeight="1" x14ac:dyDescent="0.2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</sheetData>
  <mergeCells count="15">
    <mergeCell ref="B2:N2"/>
    <mergeCell ref="O2:Z2"/>
    <mergeCell ref="A5:A16"/>
    <mergeCell ref="A19:A45"/>
    <mergeCell ref="B19:M22"/>
    <mergeCell ref="B24:M26"/>
    <mergeCell ref="B28:M29"/>
    <mergeCell ref="O29:Z29"/>
    <mergeCell ref="B30:M31"/>
    <mergeCell ref="O31:Z31"/>
    <mergeCell ref="B45:L45"/>
    <mergeCell ref="O45:S45"/>
    <mergeCell ref="B32:M33"/>
    <mergeCell ref="O33:Z33"/>
    <mergeCell ref="B35:N43"/>
  </mergeCells>
  <conditionalFormatting sqref="AA5:AA16">
    <cfRule type="cellIs" dxfId="8" priority="1" operator="lessThan">
      <formula>20</formula>
    </cfRule>
    <cfRule type="cellIs" dxfId="7" priority="2" operator="between">
      <formula>20</formula>
      <formula>29</formula>
    </cfRule>
    <cfRule type="cellIs" dxfId="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734DD-F141-4235-A553-6D7FDC935D20}">
  <sheetPr codeName="Hoja5">
    <pageSetUpPr autoPageBreaks="0"/>
  </sheetPr>
  <dimension ref="A1:AB56"/>
  <sheetViews>
    <sheetView zoomScale="85" zoomScaleNormal="85" zoomScalePageLayoutView="85" workbookViewId="0">
      <pane xSplit="3" ySplit="4" topLeftCell="L20" activePane="bottomRight" state="frozen"/>
      <selection pane="topRight" activeCell="D1" sqref="D1"/>
      <selection pane="bottomLeft" activeCell="A5" sqref="A5"/>
      <selection pane="bottomRight" activeCell="X5" sqref="X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9" t="s">
        <v>38</v>
      </c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6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25">
      <c r="A5" s="151"/>
      <c r="B5" s="134" t="s">
        <v>159</v>
      </c>
      <c r="C5" s="88" t="s">
        <v>162</v>
      </c>
      <c r="D5" s="114" t="s">
        <v>163</v>
      </c>
      <c r="E5" s="114" t="s">
        <v>135</v>
      </c>
      <c r="F5" s="114" t="s">
        <v>151</v>
      </c>
      <c r="G5" s="114" t="s">
        <v>45</v>
      </c>
      <c r="H5" s="114" t="s">
        <v>41</v>
      </c>
      <c r="I5" s="115">
        <v>56979312762</v>
      </c>
      <c r="J5" s="26" t="s">
        <v>164</v>
      </c>
      <c r="K5" s="26" t="s">
        <v>48</v>
      </c>
      <c r="L5" s="49" t="s">
        <v>207</v>
      </c>
      <c r="M5" s="49"/>
      <c r="N5" s="116">
        <f>SUMPRODUCT(Tabla5236[[#This Row],[Paltas]:[Empanadas]],O$28:Z$28)</f>
        <v>548500</v>
      </c>
      <c r="O5" s="49">
        <v>3</v>
      </c>
      <c r="P5" s="49">
        <v>0</v>
      </c>
      <c r="Q5" s="49">
        <v>4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f>7+3</f>
        <v>10</v>
      </c>
      <c r="Y5" s="49">
        <v>1</v>
      </c>
      <c r="Z5" s="49">
        <v>25</v>
      </c>
      <c r="AA5" s="49">
        <f>SUM(Tabla5236[[#This Row],[Paltas]:[Empanadas]])</f>
        <v>43</v>
      </c>
      <c r="AB5" s="57"/>
    </row>
    <row r="6" spans="1:28" outlineLevel="1" x14ac:dyDescent="0.25">
      <c r="A6" s="152"/>
      <c r="B6" s="135" t="s">
        <v>114</v>
      </c>
      <c r="C6" s="48" t="s">
        <v>185</v>
      </c>
      <c r="D6" s="59" t="s">
        <v>206</v>
      </c>
      <c r="E6" s="59" t="s">
        <v>46</v>
      </c>
      <c r="F6" s="59" t="s">
        <v>87</v>
      </c>
      <c r="G6" s="59" t="s">
        <v>110</v>
      </c>
      <c r="H6" s="59" t="s">
        <v>41</v>
      </c>
      <c r="I6" s="60">
        <v>56990163951</v>
      </c>
      <c r="J6" s="27" t="s">
        <v>213</v>
      </c>
      <c r="K6" s="27" t="s">
        <v>48</v>
      </c>
      <c r="L6" s="52" t="s">
        <v>207</v>
      </c>
      <c r="M6" s="52"/>
      <c r="N6" s="70">
        <f>SUMPRODUCT(Tabla5236[[#This Row],[Paltas]:[Empanadas]],O$28:Z$28)</f>
        <v>97500</v>
      </c>
      <c r="O6" s="52">
        <v>1</v>
      </c>
      <c r="P6" s="52">
        <v>0</v>
      </c>
      <c r="Q6" s="52">
        <v>2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10</v>
      </c>
      <c r="Y6" s="52">
        <v>2</v>
      </c>
      <c r="Z6" s="52">
        <v>0</v>
      </c>
      <c r="AA6" s="52">
        <f>SUM(Tabla5236[[#This Row],[Paltas]:[Empanadas]])</f>
        <v>15</v>
      </c>
      <c r="AB6" s="58"/>
    </row>
    <row r="7" spans="1:28" outlineLevel="1" x14ac:dyDescent="0.25">
      <c r="A7" s="152"/>
      <c r="B7" s="135" t="s">
        <v>186</v>
      </c>
      <c r="C7" s="48" t="s">
        <v>128</v>
      </c>
      <c r="D7" s="59" t="s">
        <v>187</v>
      </c>
      <c r="E7" s="59" t="s">
        <v>46</v>
      </c>
      <c r="F7" s="59" t="s">
        <v>87</v>
      </c>
      <c r="G7" s="59">
        <v>0</v>
      </c>
      <c r="H7" s="59" t="s">
        <v>41</v>
      </c>
      <c r="I7" s="60">
        <v>0</v>
      </c>
      <c r="J7" s="27" t="s">
        <v>138</v>
      </c>
      <c r="K7" s="27" t="s">
        <v>48</v>
      </c>
      <c r="L7" s="52" t="s">
        <v>208</v>
      </c>
      <c r="M7" s="52"/>
      <c r="N7" s="70">
        <f>SUMPRODUCT(Tabla5236[[#This Row],[Paltas]:[Empanadas]],O$28:Z$28)</f>
        <v>90500</v>
      </c>
      <c r="O7" s="52">
        <v>7</v>
      </c>
      <c r="P7" s="52">
        <v>0</v>
      </c>
      <c r="Q7" s="52">
        <v>1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2</v>
      </c>
      <c r="Y7" s="52">
        <v>1</v>
      </c>
      <c r="Z7" s="52">
        <v>2</v>
      </c>
      <c r="AA7" s="52">
        <f>SUM(Tabla5236[[#This Row],[Paltas]:[Empanadas]])</f>
        <v>13</v>
      </c>
      <c r="AB7" s="58"/>
    </row>
    <row r="8" spans="1:28" outlineLevel="1" x14ac:dyDescent="0.25">
      <c r="A8" s="152"/>
      <c r="B8" s="135" t="s">
        <v>169</v>
      </c>
      <c r="C8" s="48" t="s">
        <v>170</v>
      </c>
      <c r="D8" s="59" t="s">
        <v>174</v>
      </c>
      <c r="E8" s="59" t="s">
        <v>46</v>
      </c>
      <c r="F8" s="59" t="s">
        <v>87</v>
      </c>
      <c r="G8" s="59" t="s">
        <v>45</v>
      </c>
      <c r="H8" s="59" t="s">
        <v>41</v>
      </c>
      <c r="I8" s="60">
        <v>56966685970</v>
      </c>
      <c r="J8" s="27" t="s">
        <v>175</v>
      </c>
      <c r="K8" s="27" t="s">
        <v>42</v>
      </c>
      <c r="L8" s="52" t="s">
        <v>207</v>
      </c>
      <c r="M8" s="52"/>
      <c r="N8" s="70">
        <f>SUMPRODUCT(Tabla5236[[#This Row],[Paltas]:[Empanadas]],O$28:Z$28)</f>
        <v>160000</v>
      </c>
      <c r="O8" s="52">
        <v>0</v>
      </c>
      <c r="P8" s="52">
        <v>5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7</v>
      </c>
      <c r="AA8" s="52">
        <f>SUM(Tabla5236[[#This Row],[Paltas]:[Empanadas]])</f>
        <v>12</v>
      </c>
      <c r="AB8" s="58"/>
    </row>
    <row r="9" spans="1:28" outlineLevel="1" x14ac:dyDescent="0.25">
      <c r="A9" s="152"/>
      <c r="B9" s="135" t="s">
        <v>122</v>
      </c>
      <c r="C9" s="48" t="s">
        <v>143</v>
      </c>
      <c r="D9" s="59" t="s">
        <v>160</v>
      </c>
      <c r="E9" s="59" t="s">
        <v>40</v>
      </c>
      <c r="F9" s="59" t="s">
        <v>49</v>
      </c>
      <c r="G9" s="59" t="s">
        <v>45</v>
      </c>
      <c r="H9" s="59" t="s">
        <v>41</v>
      </c>
      <c r="I9" s="60">
        <v>56997594184</v>
      </c>
      <c r="J9" s="27" t="s">
        <v>161</v>
      </c>
      <c r="K9" s="27" t="s">
        <v>48</v>
      </c>
      <c r="L9" s="52" t="s">
        <v>207</v>
      </c>
      <c r="M9" s="52"/>
      <c r="N9" s="70">
        <f>SUMPRODUCT(Tabla5236[[#This Row],[Paltas]:[Empanadas]],O$28:Z$28)</f>
        <v>54000</v>
      </c>
      <c r="O9" s="52">
        <v>7</v>
      </c>
      <c r="P9" s="52">
        <v>0</v>
      </c>
      <c r="Q9" s="52">
        <v>5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f>SUM(Tabla5236[[#This Row],[Paltas]:[Empanadas]])</f>
        <v>12</v>
      </c>
      <c r="AB9" s="58"/>
    </row>
    <row r="10" spans="1:28" outlineLevel="1" x14ac:dyDescent="0.25">
      <c r="A10" s="152"/>
      <c r="B10" s="136" t="s">
        <v>114</v>
      </c>
      <c r="C10" s="47" t="s">
        <v>119</v>
      </c>
      <c r="D10" s="47" t="s">
        <v>120</v>
      </c>
      <c r="E10" s="47" t="s">
        <v>40</v>
      </c>
      <c r="F10" s="47" t="s">
        <v>75</v>
      </c>
      <c r="G10" s="47" t="s">
        <v>113</v>
      </c>
      <c r="H10" s="47" t="s">
        <v>41</v>
      </c>
      <c r="I10" s="53">
        <v>56988587944</v>
      </c>
      <c r="J10" s="27" t="s">
        <v>121</v>
      </c>
      <c r="K10" s="27" t="s">
        <v>48</v>
      </c>
      <c r="L10" s="52" t="s">
        <v>207</v>
      </c>
      <c r="M10" s="52"/>
      <c r="N10" s="47">
        <f>SUMPRODUCT(Tabla5236[[#This Row],[Paltas]:[Empanadas]],O$28:Z$28)</f>
        <v>75000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10</v>
      </c>
      <c r="Y10" s="52">
        <v>0</v>
      </c>
      <c r="Z10" s="52">
        <v>0</v>
      </c>
      <c r="AA10" s="52">
        <f>SUM(Tabla5236[[#This Row],[Paltas]:[Empanadas]])</f>
        <v>10</v>
      </c>
      <c r="AB10" s="58"/>
    </row>
    <row r="11" spans="1:28" outlineLevel="1" x14ac:dyDescent="0.25">
      <c r="A11" s="152"/>
      <c r="B11" s="136" t="s">
        <v>55</v>
      </c>
      <c r="C11" s="47" t="s">
        <v>56</v>
      </c>
      <c r="D11" s="47" t="s">
        <v>57</v>
      </c>
      <c r="E11" s="47" t="s">
        <v>40</v>
      </c>
      <c r="F11" s="47" t="s">
        <v>49</v>
      </c>
      <c r="G11" s="47" t="s">
        <v>45</v>
      </c>
      <c r="H11" s="47" t="s">
        <v>41</v>
      </c>
      <c r="I11" s="53">
        <v>56967898535</v>
      </c>
      <c r="J11" s="27" t="s">
        <v>58</v>
      </c>
      <c r="K11" s="27" t="s">
        <v>54</v>
      </c>
      <c r="L11" s="52" t="s">
        <v>207</v>
      </c>
      <c r="M11" s="52"/>
      <c r="N11" s="47">
        <f>SUMPRODUCT(Tabla5236[[#This Row],[Paltas]:[Empanadas]],O$28:Z$28)</f>
        <v>35500</v>
      </c>
      <c r="O11" s="52">
        <v>4</v>
      </c>
      <c r="P11" s="52">
        <v>0</v>
      </c>
      <c r="Q11" s="52">
        <v>1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0</v>
      </c>
      <c r="X11" s="52">
        <v>1</v>
      </c>
      <c r="Y11" s="52">
        <v>0</v>
      </c>
      <c r="Z11" s="52">
        <v>0</v>
      </c>
      <c r="AA11" s="52">
        <f>SUM(Tabla5236[[#This Row],[Paltas]:[Empanadas]])</f>
        <v>7</v>
      </c>
      <c r="AB11" s="58"/>
    </row>
    <row r="12" spans="1:28" outlineLevel="1" x14ac:dyDescent="0.25">
      <c r="A12" s="152"/>
      <c r="B12" s="136" t="s">
        <v>122</v>
      </c>
      <c r="C12" s="47" t="s">
        <v>123</v>
      </c>
      <c r="D12" s="47" t="s">
        <v>124</v>
      </c>
      <c r="E12" s="47" t="s">
        <v>40</v>
      </c>
      <c r="F12" s="47" t="s">
        <v>49</v>
      </c>
      <c r="G12" s="47" t="s">
        <v>125</v>
      </c>
      <c r="H12" s="47" t="s">
        <v>41</v>
      </c>
      <c r="I12" s="53">
        <v>56968320616</v>
      </c>
      <c r="J12" s="27" t="s">
        <v>126</v>
      </c>
      <c r="K12" s="27" t="s">
        <v>54</v>
      </c>
      <c r="L12" s="52" t="s">
        <v>207</v>
      </c>
      <c r="M12" s="52"/>
      <c r="N12" s="47">
        <f>SUMPRODUCT(Tabla5236[[#This Row],[Paltas]:[Empanadas]],O$28:Z$28)</f>
        <v>27000</v>
      </c>
      <c r="O12" s="52">
        <v>1</v>
      </c>
      <c r="P12" s="52">
        <v>0</v>
      </c>
      <c r="Q12" s="52">
        <v>5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f>SUM(Tabla5236[[#This Row],[Paltas]:[Empanadas]])</f>
        <v>6</v>
      </c>
      <c r="AB12" s="58"/>
    </row>
    <row r="13" spans="1:28" outlineLevel="1" x14ac:dyDescent="0.25">
      <c r="A13" s="152"/>
      <c r="B13" s="135" t="s">
        <v>150</v>
      </c>
      <c r="C13" s="48" t="s">
        <v>203</v>
      </c>
      <c r="D13" s="59" t="s">
        <v>204</v>
      </c>
      <c r="E13" s="59" t="s">
        <v>40</v>
      </c>
      <c r="F13" s="59" t="s">
        <v>49</v>
      </c>
      <c r="G13" s="59" t="s">
        <v>113</v>
      </c>
      <c r="H13" s="59" t="s">
        <v>41</v>
      </c>
      <c r="I13" s="60">
        <v>56976994719</v>
      </c>
      <c r="J13" s="27" t="s">
        <v>205</v>
      </c>
      <c r="K13" s="27" t="s">
        <v>48</v>
      </c>
      <c r="L13" s="52" t="s">
        <v>207</v>
      </c>
      <c r="M13" s="52"/>
      <c r="N13" s="70">
        <f>SUMPRODUCT(Tabla5236[[#This Row],[Paltas]:[Empanadas]],O$28:Z$28)</f>
        <v>34000</v>
      </c>
      <c r="O13" s="52">
        <v>1</v>
      </c>
      <c r="P13" s="52">
        <v>0</v>
      </c>
      <c r="Q13" s="52">
        <v>0</v>
      </c>
      <c r="R13" s="52">
        <v>1</v>
      </c>
      <c r="S13" s="52">
        <v>1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1</v>
      </c>
      <c r="Z13" s="52">
        <v>0</v>
      </c>
      <c r="AA13" s="52">
        <f>SUM(Tabla5236[[#This Row],[Paltas]:[Empanadas]])</f>
        <v>6</v>
      </c>
      <c r="AB13" s="58"/>
    </row>
    <row r="14" spans="1:28" outlineLevel="1" x14ac:dyDescent="0.25">
      <c r="A14" s="152"/>
      <c r="B14" s="135" t="s">
        <v>103</v>
      </c>
      <c r="C14" s="48" t="s">
        <v>104</v>
      </c>
      <c r="D14" s="59" t="s">
        <v>106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56997792386</v>
      </c>
      <c r="J14" s="27" t="s">
        <v>105</v>
      </c>
      <c r="K14" s="27" t="s">
        <v>42</v>
      </c>
      <c r="L14" s="52" t="s">
        <v>207</v>
      </c>
      <c r="M14" s="52"/>
      <c r="N14" s="70">
        <f>SUMPRODUCT(Tabla5236[[#This Row],[Paltas]:[Empanadas]],O$28:Z$28)</f>
        <v>37500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5</v>
      </c>
      <c r="Y14" s="52">
        <v>0</v>
      </c>
      <c r="Z14" s="52">
        <v>0</v>
      </c>
      <c r="AA14" s="52">
        <f>SUM(Tabla5236[[#This Row],[Paltas]:[Empanadas]])</f>
        <v>5</v>
      </c>
      <c r="AB14" s="58"/>
    </row>
    <row r="15" spans="1:28" outlineLevel="1" x14ac:dyDescent="0.25">
      <c r="A15" s="152"/>
      <c r="B15" s="136" t="s">
        <v>145</v>
      </c>
      <c r="C15" s="47" t="s">
        <v>152</v>
      </c>
      <c r="D15" s="47" t="s">
        <v>153</v>
      </c>
      <c r="E15" s="47" t="s">
        <v>46</v>
      </c>
      <c r="F15" s="47" t="s">
        <v>89</v>
      </c>
      <c r="G15" s="47">
        <v>0</v>
      </c>
      <c r="H15" s="47" t="s">
        <v>41</v>
      </c>
      <c r="I15" s="53">
        <v>56954243532</v>
      </c>
      <c r="J15" s="27" t="s">
        <v>154</v>
      </c>
      <c r="K15" s="27" t="s">
        <v>42</v>
      </c>
      <c r="L15" s="52" t="s">
        <v>207</v>
      </c>
      <c r="M15" s="52"/>
      <c r="N15" s="47">
        <f>SUMPRODUCT(Tabla5236[[#This Row],[Paltas]:[Empanadas]],O$28:Z$28)</f>
        <v>31000</v>
      </c>
      <c r="O15" s="52">
        <v>2</v>
      </c>
      <c r="P15" s="52">
        <v>0</v>
      </c>
      <c r="Q15" s="52">
        <v>1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1</v>
      </c>
      <c r="AA15" s="52">
        <f>SUM(Tabla5236[[#This Row],[Paltas]:[Empanadas]])</f>
        <v>4</v>
      </c>
      <c r="AB15" s="58"/>
    </row>
    <row r="16" spans="1:28" outlineLevel="1" x14ac:dyDescent="0.25">
      <c r="A16" s="152"/>
      <c r="B16" s="136" t="s">
        <v>85</v>
      </c>
      <c r="C16" s="47" t="s">
        <v>83</v>
      </c>
      <c r="D16" s="47" t="s">
        <v>84</v>
      </c>
      <c r="E16" s="47" t="s">
        <v>40</v>
      </c>
      <c r="F16" s="47" t="s">
        <v>49</v>
      </c>
      <c r="G16" s="47" t="s">
        <v>76</v>
      </c>
      <c r="H16" s="47" t="s">
        <v>41</v>
      </c>
      <c r="I16" s="53">
        <v>56982328251</v>
      </c>
      <c r="J16" s="27" t="s">
        <v>86</v>
      </c>
      <c r="K16" s="27" t="s">
        <v>54</v>
      </c>
      <c r="L16" s="52" t="s">
        <v>207</v>
      </c>
      <c r="M16" s="52"/>
      <c r="N16" s="47">
        <f>SUMPRODUCT(Tabla5236[[#This Row],[Paltas]:[Empanadas]],O$28:Z$28)</f>
        <v>13500</v>
      </c>
      <c r="O16" s="52">
        <v>1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SUM(Tabla5236[[#This Row],[Paltas]:[Empanadas]])</f>
        <v>3</v>
      </c>
      <c r="AB16" s="58"/>
    </row>
    <row r="17" spans="1:28" outlineLevel="1" x14ac:dyDescent="0.25">
      <c r="A17" s="152"/>
      <c r="B17" s="135" t="s">
        <v>215</v>
      </c>
      <c r="C17" s="48" t="s">
        <v>216</v>
      </c>
      <c r="D17" s="59" t="s">
        <v>218</v>
      </c>
      <c r="E17" s="59" t="s">
        <v>46</v>
      </c>
      <c r="F17" s="59">
        <v>0</v>
      </c>
      <c r="G17" s="59">
        <v>0</v>
      </c>
      <c r="H17" s="59" t="s">
        <v>41</v>
      </c>
      <c r="I17" s="60">
        <v>56977895588</v>
      </c>
      <c r="J17" s="27" t="s">
        <v>217</v>
      </c>
      <c r="K17" s="27" t="s">
        <v>48</v>
      </c>
      <c r="L17" s="52" t="s">
        <v>207</v>
      </c>
      <c r="M17" s="52"/>
      <c r="N17" s="70">
        <f>SUMPRODUCT(Tabla5236[[#This Row],[Paltas]:[Empanadas]],O$28:Z$28)</f>
        <v>12000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1</v>
      </c>
      <c r="Y17" s="52">
        <v>1</v>
      </c>
      <c r="Z17" s="52">
        <v>0</v>
      </c>
      <c r="AA17" s="52">
        <f>SUM(Tabla5236[[#This Row],[Paltas]:[Empanadas]])</f>
        <v>2</v>
      </c>
      <c r="AB17" s="58"/>
    </row>
    <row r="18" spans="1:28" ht="15.75" outlineLevel="1" thickBot="1" x14ac:dyDescent="0.3">
      <c r="A18" s="153"/>
      <c r="B18" s="137" t="s">
        <v>62</v>
      </c>
      <c r="C18" s="14" t="s">
        <v>63</v>
      </c>
      <c r="D18" s="65" t="s">
        <v>64</v>
      </c>
      <c r="E18" s="65" t="s">
        <v>40</v>
      </c>
      <c r="F18" s="65" t="s">
        <v>49</v>
      </c>
      <c r="G18" s="65" t="s">
        <v>51</v>
      </c>
      <c r="H18" s="65" t="s">
        <v>41</v>
      </c>
      <c r="I18" s="66">
        <v>56952304675</v>
      </c>
      <c r="J18" s="46" t="s">
        <v>65</v>
      </c>
      <c r="K18" s="46" t="s">
        <v>48</v>
      </c>
      <c r="L18" s="16" t="s">
        <v>207</v>
      </c>
      <c r="M18" s="16"/>
      <c r="N18" s="70">
        <f>SUMPRODUCT(Tabla5236[[#This Row],[Paltas]:[Empanadas]],O$28:Z$28)</f>
        <v>75000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10</v>
      </c>
      <c r="Y18" s="16">
        <v>0</v>
      </c>
      <c r="Z18" s="16">
        <v>0</v>
      </c>
      <c r="AA18" s="16">
        <f>SUM(Tabla5236[[#This Row],[Paltas]:[Empanadas]])</f>
        <v>10</v>
      </c>
      <c r="AB18" s="45"/>
    </row>
    <row r="19" spans="1:28" outlineLevel="1" x14ac:dyDescent="0.25">
      <c r="A19" s="18"/>
      <c r="B19" s="19"/>
      <c r="C19" s="19"/>
      <c r="D19" s="19"/>
      <c r="E19" s="19"/>
      <c r="F19" s="19"/>
      <c r="G19" s="19"/>
      <c r="H19" s="19"/>
      <c r="I19" s="32"/>
      <c r="J19" s="31"/>
      <c r="K19" s="31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1:28" ht="15.75" thickBot="1" x14ac:dyDescent="0.3"/>
    <row r="21" spans="1:28" ht="14.65" customHeight="1" thickBot="1" x14ac:dyDescent="0.3">
      <c r="A21" s="172" t="s">
        <v>20</v>
      </c>
      <c r="B21" s="163" t="s">
        <v>7</v>
      </c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  <c r="N21" s="130" t="s">
        <v>9</v>
      </c>
      <c r="O21" s="8">
        <f>SUM(Tabla5236[Paltas])</f>
        <v>27</v>
      </c>
      <c r="P21" s="49">
        <f>SUM(Tabla5236[Quesos])</f>
        <v>5</v>
      </c>
      <c r="Q21" s="49">
        <f>SUM(Tabla5236[Frutillas])</f>
        <v>21</v>
      </c>
      <c r="R21" s="49">
        <f>SUM(Tabla5236[Tomate Cherry])</f>
        <v>1</v>
      </c>
      <c r="S21" s="49">
        <f>SUM(Tabla5236[Nueces])</f>
        <v>2</v>
      </c>
      <c r="T21" s="49">
        <f>SUM(Tabla5236[Mani])</f>
        <v>0</v>
      </c>
      <c r="U21" s="49">
        <f>SUM(Tabla5236[Pistachos])</f>
        <v>0</v>
      </c>
      <c r="V21" s="49">
        <f>SUM(Tabla5236[Caju])</f>
        <v>0</v>
      </c>
      <c r="W21" s="49">
        <f>SUM(Tabla5236[Almendras])</f>
        <v>0</v>
      </c>
      <c r="X21" s="49">
        <f>SUM(Tabla5236[Cerezas])</f>
        <v>51</v>
      </c>
      <c r="Y21" s="49">
        <f>SUM(Tabla5236[Arandanos])</f>
        <v>6</v>
      </c>
      <c r="Z21" s="4">
        <f>SUM(Tabla5236[Empanadas])</f>
        <v>35</v>
      </c>
    </row>
    <row r="22" spans="1:28" ht="14.65" customHeight="1" thickBot="1" x14ac:dyDescent="0.3">
      <c r="A22" s="173"/>
      <c r="B22" s="181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3"/>
      <c r="N22" s="129" t="s">
        <v>28</v>
      </c>
      <c r="O22" s="9">
        <v>2</v>
      </c>
      <c r="P22" s="37">
        <v>1</v>
      </c>
      <c r="Q22" s="37">
        <v>2</v>
      </c>
      <c r="R22" s="52">
        <v>1</v>
      </c>
      <c r="S22" s="73">
        <v>0.5</v>
      </c>
      <c r="T22" s="73">
        <v>1</v>
      </c>
      <c r="U22" s="73">
        <v>0.5</v>
      </c>
      <c r="V22" s="73">
        <v>0.4</v>
      </c>
      <c r="W22" s="73">
        <v>0.5</v>
      </c>
      <c r="X22" s="73">
        <v>5</v>
      </c>
      <c r="Y22" s="73">
        <v>0.5</v>
      </c>
      <c r="Z22" s="38">
        <v>12</v>
      </c>
    </row>
    <row r="23" spans="1:28" ht="14.65" customHeight="1" thickBot="1" x14ac:dyDescent="0.3">
      <c r="A23" s="173"/>
      <c r="B23" s="181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3"/>
      <c r="N23" s="121" t="s">
        <v>8</v>
      </c>
      <c r="O23" s="9">
        <f t="shared" ref="O23:Z23" si="0">O22*O21</f>
        <v>54</v>
      </c>
      <c r="P23" s="52">
        <f t="shared" si="0"/>
        <v>5</v>
      </c>
      <c r="Q23" s="52">
        <f>Q22*Q21</f>
        <v>42</v>
      </c>
      <c r="R23" s="52">
        <f t="shared" si="0"/>
        <v>1</v>
      </c>
      <c r="S23" s="52">
        <f t="shared" si="0"/>
        <v>1</v>
      </c>
      <c r="T23" s="52">
        <f t="shared" si="0"/>
        <v>0</v>
      </c>
      <c r="U23" s="52">
        <f t="shared" si="0"/>
        <v>0</v>
      </c>
      <c r="V23" s="52">
        <f t="shared" si="0"/>
        <v>0</v>
      </c>
      <c r="W23" s="52">
        <f t="shared" si="0"/>
        <v>0</v>
      </c>
      <c r="X23" s="52">
        <f t="shared" si="0"/>
        <v>255</v>
      </c>
      <c r="Y23" s="52">
        <f t="shared" si="0"/>
        <v>3</v>
      </c>
      <c r="Z23" s="11">
        <f t="shared" si="0"/>
        <v>420</v>
      </c>
    </row>
    <row r="24" spans="1:28" ht="15.75" thickBot="1" x14ac:dyDescent="0.3">
      <c r="A24" s="173"/>
      <c r="B24" s="166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8"/>
      <c r="N24" s="121" t="s">
        <v>10</v>
      </c>
      <c r="O24" s="10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2"/>
    </row>
    <row r="25" spans="1:28" ht="15.75" thickBot="1" x14ac:dyDescent="0.3">
      <c r="A25" s="173"/>
      <c r="B25" s="127"/>
      <c r="C25" s="19"/>
      <c r="D25" s="23"/>
      <c r="E25" s="24"/>
      <c r="F25" s="24"/>
      <c r="G25" s="24"/>
      <c r="H25" s="24"/>
      <c r="I25" s="24"/>
      <c r="J25" s="24"/>
      <c r="K25" s="25"/>
      <c r="N25" s="3"/>
    </row>
    <row r="26" spans="1:28" ht="15.75" thickBot="1" x14ac:dyDescent="0.3">
      <c r="A26" s="173"/>
      <c r="B26" s="163" t="s">
        <v>12</v>
      </c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5"/>
      <c r="N26" s="121" t="s">
        <v>13</v>
      </c>
      <c r="O26" s="54">
        <f t="shared" ref="O26:Z26" si="1">O27*O22</f>
        <v>3100</v>
      </c>
      <c r="P26" s="51">
        <f t="shared" si="1"/>
        <v>6716</v>
      </c>
      <c r="Q26" s="51">
        <f>Q27*Q22</f>
        <v>2600</v>
      </c>
      <c r="R26" s="51">
        <f t="shared" si="1"/>
        <v>2300</v>
      </c>
      <c r="S26" s="51">
        <f t="shared" si="1"/>
        <v>3750</v>
      </c>
      <c r="T26" s="51">
        <f t="shared" si="1"/>
        <v>3500</v>
      </c>
      <c r="U26" s="51">
        <f t="shared" si="1"/>
        <v>7050</v>
      </c>
      <c r="V26" s="51">
        <f t="shared" si="1"/>
        <v>5320</v>
      </c>
      <c r="W26" s="51">
        <f t="shared" si="1"/>
        <v>5350</v>
      </c>
      <c r="X26" s="51">
        <f t="shared" si="1"/>
        <v>6000</v>
      </c>
      <c r="Y26" s="51">
        <f t="shared" si="1"/>
        <v>600</v>
      </c>
      <c r="Z26" s="15">
        <f t="shared" si="1"/>
        <v>15500</v>
      </c>
    </row>
    <row r="27" spans="1:28" ht="15.75" thickBot="1" x14ac:dyDescent="0.3">
      <c r="A27" s="173"/>
      <c r="B27" s="181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3"/>
      <c r="N27" s="121" t="s">
        <v>8</v>
      </c>
      <c r="O27" s="77">
        <v>1550</v>
      </c>
      <c r="P27" s="76">
        <v>6716</v>
      </c>
      <c r="Q27" s="76">
        <v>1300</v>
      </c>
      <c r="R27" s="76">
        <v>2300</v>
      </c>
      <c r="S27" s="76">
        <v>7500</v>
      </c>
      <c r="T27" s="76">
        <v>3500</v>
      </c>
      <c r="U27" s="76">
        <v>14100</v>
      </c>
      <c r="V27" s="76">
        <v>13300</v>
      </c>
      <c r="W27" s="76">
        <v>10700</v>
      </c>
      <c r="X27" s="76">
        <f>6000/5</f>
        <v>1200</v>
      </c>
      <c r="Y27" s="76">
        <f>6000/5</f>
        <v>1200</v>
      </c>
      <c r="Z27" s="80">
        <f>15500/12</f>
        <v>1291.6666666666667</v>
      </c>
    </row>
    <row r="28" spans="1:28" ht="15.75" thickBot="1" x14ac:dyDescent="0.3">
      <c r="A28" s="173"/>
      <c r="B28" s="166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8"/>
      <c r="N28" s="121" t="s">
        <v>14</v>
      </c>
      <c r="O28" s="78">
        <v>4500</v>
      </c>
      <c r="P28" s="79">
        <v>7500</v>
      </c>
      <c r="Q28" s="79">
        <v>4500</v>
      </c>
      <c r="R28" s="79">
        <v>4500</v>
      </c>
      <c r="S28" s="79">
        <v>5500</v>
      </c>
      <c r="T28" s="79">
        <v>4500</v>
      </c>
      <c r="U28" s="79">
        <v>8500</v>
      </c>
      <c r="V28" s="79">
        <v>7500</v>
      </c>
      <c r="W28" s="79">
        <v>7500</v>
      </c>
      <c r="X28" s="79">
        <v>7500</v>
      </c>
      <c r="Y28" s="79">
        <v>4500</v>
      </c>
      <c r="Z28" s="81">
        <v>17500</v>
      </c>
    </row>
    <row r="29" spans="1:28" ht="15.75" thickBot="1" x14ac:dyDescent="0.3">
      <c r="A29" s="173"/>
      <c r="B29" s="127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4.65" customHeight="1" thickBot="1" x14ac:dyDescent="0.3">
      <c r="A30" s="173"/>
      <c r="B30" s="163" t="s">
        <v>15</v>
      </c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5"/>
      <c r="N30" s="121" t="s">
        <v>19</v>
      </c>
      <c r="O30" s="87">
        <f t="shared" ref="O30:Z30" si="2">O21*O26</f>
        <v>83700</v>
      </c>
      <c r="P30" s="89">
        <f t="shared" si="2"/>
        <v>33580</v>
      </c>
      <c r="Q30" s="89">
        <f t="shared" si="2"/>
        <v>54600</v>
      </c>
      <c r="R30" s="88">
        <f>R21*R26</f>
        <v>2300</v>
      </c>
      <c r="S30" s="88">
        <f t="shared" si="2"/>
        <v>7500</v>
      </c>
      <c r="T30" s="88">
        <f t="shared" si="2"/>
        <v>0</v>
      </c>
      <c r="U30" s="88">
        <f t="shared" si="2"/>
        <v>0</v>
      </c>
      <c r="V30" s="88">
        <f t="shared" si="2"/>
        <v>0</v>
      </c>
      <c r="W30" s="88">
        <f t="shared" si="2"/>
        <v>0</v>
      </c>
      <c r="X30" s="88">
        <f t="shared" si="2"/>
        <v>306000</v>
      </c>
      <c r="Y30" s="88">
        <f t="shared" si="2"/>
        <v>3600</v>
      </c>
      <c r="Z30" s="90">
        <f t="shared" si="2"/>
        <v>542500</v>
      </c>
    </row>
    <row r="31" spans="1:28" ht="15.75" thickBot="1" x14ac:dyDescent="0.3">
      <c r="A31" s="173"/>
      <c r="B31" s="166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8"/>
      <c r="N31" s="121" t="s">
        <v>16</v>
      </c>
      <c r="O31" s="160">
        <f>SUM(O30:Z30)</f>
        <v>1033780</v>
      </c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2"/>
    </row>
    <row r="32" spans="1:28" ht="15.75" thickBot="1" x14ac:dyDescent="0.3">
      <c r="A32" s="173"/>
      <c r="B32" s="163" t="s">
        <v>17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5"/>
      <c r="N32" s="121" t="s">
        <v>19</v>
      </c>
      <c r="O32" s="50">
        <f t="shared" ref="O32:Z32" si="3">O28*O21</f>
        <v>121500</v>
      </c>
      <c r="P32" s="48">
        <f t="shared" si="3"/>
        <v>37500</v>
      </c>
      <c r="Q32" s="48">
        <f t="shared" si="3"/>
        <v>94500</v>
      </c>
      <c r="R32" s="48">
        <f t="shared" si="3"/>
        <v>4500</v>
      </c>
      <c r="S32" s="48">
        <f t="shared" si="3"/>
        <v>11000</v>
      </c>
      <c r="T32" s="48">
        <f t="shared" si="3"/>
        <v>0</v>
      </c>
      <c r="U32" s="48">
        <f t="shared" si="3"/>
        <v>0</v>
      </c>
      <c r="V32" s="48">
        <f t="shared" si="3"/>
        <v>0</v>
      </c>
      <c r="W32" s="48">
        <f t="shared" si="3"/>
        <v>0</v>
      </c>
      <c r="X32" s="48">
        <f t="shared" si="3"/>
        <v>382500</v>
      </c>
      <c r="Y32" s="48">
        <f t="shared" si="3"/>
        <v>27000</v>
      </c>
      <c r="Z32" s="91">
        <f t="shared" si="3"/>
        <v>612500</v>
      </c>
    </row>
    <row r="33" spans="1:26" ht="15.75" thickBot="1" x14ac:dyDescent="0.3">
      <c r="A33" s="173"/>
      <c r="B33" s="166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8"/>
      <c r="N33" s="121" t="s">
        <v>16</v>
      </c>
      <c r="O33" s="160">
        <f>SUM(O32:Z32)</f>
        <v>1291000</v>
      </c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2"/>
    </row>
    <row r="34" spans="1:26" ht="14.65" customHeight="1" thickBot="1" x14ac:dyDescent="0.3">
      <c r="A34" s="173"/>
      <c r="B34" s="163" t="s">
        <v>18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5"/>
      <c r="N34" s="121" t="s">
        <v>19</v>
      </c>
      <c r="O34" s="50">
        <f t="shared" ref="O34:Y34" si="4">O32-O30</f>
        <v>37800</v>
      </c>
      <c r="P34" s="48">
        <f t="shared" si="4"/>
        <v>3920</v>
      </c>
      <c r="Q34" s="48">
        <f t="shared" si="4"/>
        <v>39900</v>
      </c>
      <c r="R34" s="48">
        <f t="shared" si="4"/>
        <v>2200</v>
      </c>
      <c r="S34" s="48">
        <f t="shared" si="4"/>
        <v>3500</v>
      </c>
      <c r="T34" s="48">
        <f t="shared" si="4"/>
        <v>0</v>
      </c>
      <c r="U34" s="48">
        <f t="shared" si="4"/>
        <v>0</v>
      </c>
      <c r="V34" s="48">
        <f t="shared" si="4"/>
        <v>0</v>
      </c>
      <c r="W34" s="48">
        <f t="shared" si="4"/>
        <v>0</v>
      </c>
      <c r="X34" s="48">
        <f t="shared" si="4"/>
        <v>76500</v>
      </c>
      <c r="Y34" s="48">
        <f t="shared" si="4"/>
        <v>23400</v>
      </c>
      <c r="Z34" s="91">
        <f>Z32-Z30</f>
        <v>70000</v>
      </c>
    </row>
    <row r="35" spans="1:26" ht="29.65" customHeight="1" thickBot="1" x14ac:dyDescent="0.3">
      <c r="A35" s="173"/>
      <c r="B35" s="166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8"/>
      <c r="N35" s="121" t="s">
        <v>29</v>
      </c>
      <c r="O35" s="157">
        <f>O33-O31</f>
        <v>257220</v>
      </c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9"/>
    </row>
    <row r="36" spans="1:26" ht="15.75" thickBot="1" x14ac:dyDescent="0.3">
      <c r="A36" s="173"/>
    </row>
    <row r="37" spans="1:26" ht="14.65" customHeight="1" thickBot="1" x14ac:dyDescent="0.3">
      <c r="A37" s="173"/>
      <c r="B37" s="184" t="s">
        <v>25</v>
      </c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6"/>
      <c r="O37" s="122"/>
      <c r="P37" s="29" t="s">
        <v>27</v>
      </c>
      <c r="Q37" s="61"/>
      <c r="R37" s="5"/>
      <c r="S37" s="5"/>
      <c r="T37" s="5"/>
      <c r="U37" s="5"/>
      <c r="V37" s="5"/>
      <c r="W37" s="5"/>
      <c r="X37" s="5"/>
      <c r="Y37" s="5"/>
      <c r="Z37" s="5"/>
    </row>
    <row r="38" spans="1:26" ht="15" customHeight="1" x14ac:dyDescent="0.25">
      <c r="A38" s="173"/>
      <c r="B38" s="187"/>
      <c r="C38" s="188"/>
      <c r="D38" s="188"/>
      <c r="E38" s="188"/>
      <c r="F38" s="188"/>
      <c r="G38" s="188"/>
      <c r="H38" s="188"/>
      <c r="I38" s="188"/>
      <c r="J38" s="188"/>
      <c r="K38" s="188"/>
      <c r="L38" s="188"/>
      <c r="M38" s="188"/>
      <c r="N38" s="189"/>
      <c r="O38" s="123"/>
      <c r="P38" s="33"/>
      <c r="Q38" s="62"/>
      <c r="R38" s="6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25">
      <c r="A39" s="173"/>
      <c r="B39" s="187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9"/>
      <c r="O39" s="124"/>
      <c r="P39" s="34"/>
      <c r="Q39" s="62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25">
      <c r="A40" s="173"/>
      <c r="B40" s="187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9"/>
      <c r="O40" s="124"/>
      <c r="P40" s="34"/>
      <c r="Q40" s="62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25">
      <c r="A41" s="173"/>
      <c r="B41" s="187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9"/>
      <c r="O41" s="124"/>
      <c r="P41" s="34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25">
      <c r="A42" s="173"/>
      <c r="B42" s="187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9"/>
      <c r="O42" s="124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73"/>
      <c r="B43" s="187"/>
      <c r="C43" s="188"/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9"/>
      <c r="O43" s="124"/>
      <c r="P43" s="34"/>
      <c r="Q43" s="62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 thickBot="1" x14ac:dyDescent="0.3">
      <c r="A44" s="173"/>
      <c r="B44" s="187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9"/>
      <c r="O44" s="125"/>
      <c r="P44" s="34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.75" customHeight="1" thickBot="1" x14ac:dyDescent="0.3">
      <c r="A45" s="173"/>
      <c r="B45" s="190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2"/>
      <c r="O45" s="126"/>
      <c r="P45" s="35">
        <f>SUM(P38:P44)</f>
        <v>0</v>
      </c>
      <c r="Q45" s="63"/>
      <c r="R45" s="6"/>
      <c r="S45" s="6"/>
      <c r="T45" s="6"/>
      <c r="U45" s="6"/>
      <c r="V45" s="6"/>
      <c r="W45" s="6"/>
      <c r="X45" s="6"/>
      <c r="Y45" s="6"/>
      <c r="Z45" s="6"/>
    </row>
    <row r="46" spans="1:26" ht="15.75" thickBot="1" x14ac:dyDescent="0.3">
      <c r="A46" s="173"/>
    </row>
    <row r="47" spans="1:26" ht="51.75" customHeight="1" thickBot="1" x14ac:dyDescent="0.3">
      <c r="A47" s="174"/>
      <c r="B47" s="175" t="s">
        <v>18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7"/>
      <c r="N47" s="120" t="s">
        <v>16</v>
      </c>
      <c r="O47" s="179"/>
      <c r="P47" s="179"/>
      <c r="Q47" s="179"/>
      <c r="R47" s="179"/>
      <c r="S47" s="180"/>
      <c r="T47" s="72"/>
      <c r="U47" s="72"/>
      <c r="V47" s="72"/>
      <c r="W47" s="72"/>
      <c r="X47" s="72"/>
      <c r="Y47" s="72"/>
      <c r="Z47" s="72"/>
    </row>
    <row r="48" spans="1:26" ht="15.75" customHeight="1" x14ac:dyDescent="0.25">
      <c r="A48" s="30"/>
      <c r="O48" s="28"/>
      <c r="P48" s="28"/>
      <c r="Q48" s="28"/>
      <c r="S48" s="128"/>
      <c r="T48" s="128"/>
      <c r="U48" s="128"/>
      <c r="V48" s="128"/>
      <c r="W48" s="128"/>
      <c r="X48" s="128"/>
      <c r="Y48" s="128"/>
      <c r="Z48" s="128"/>
    </row>
    <row r="49" spans="1:26" ht="15" customHeight="1" x14ac:dyDescent="0.25">
      <c r="A49" s="30"/>
      <c r="O49" s="28"/>
      <c r="P49" s="28"/>
      <c r="Q49" s="28"/>
      <c r="S49" s="7"/>
      <c r="T49" s="7"/>
      <c r="U49" s="7"/>
      <c r="V49" s="7"/>
      <c r="W49" s="7"/>
      <c r="X49" s="7"/>
      <c r="Y49" s="7"/>
      <c r="Z49" s="7"/>
    </row>
    <row r="50" spans="1:26" ht="15" customHeight="1" x14ac:dyDescent="0.25">
      <c r="O50" s="28"/>
      <c r="P50" s="28"/>
      <c r="Q50" s="28"/>
      <c r="S50" s="7"/>
      <c r="T50" s="7"/>
      <c r="U50" s="7"/>
      <c r="V50" s="7"/>
      <c r="W50" s="7"/>
      <c r="X50" s="7"/>
      <c r="Y50" s="7"/>
      <c r="Z50" s="7"/>
    </row>
    <row r="51" spans="1:26" ht="15" customHeight="1" x14ac:dyDescent="0.25">
      <c r="O51" s="28"/>
      <c r="P51" s="28"/>
      <c r="Q51" s="28"/>
      <c r="S51" s="7"/>
      <c r="T51" s="7"/>
      <c r="U51" s="7"/>
      <c r="V51" s="7"/>
      <c r="W51" s="7"/>
      <c r="X51" s="7"/>
      <c r="Y51" s="7"/>
      <c r="Z51" s="7"/>
    </row>
    <row r="52" spans="1:26" ht="15" customHeight="1" x14ac:dyDescent="0.25"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:26" ht="15" customHeight="1" x14ac:dyDescent="0.2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2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25"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.75" customHeight="1" x14ac:dyDescent="0.2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</sheetData>
  <mergeCells count="15">
    <mergeCell ref="B2:N2"/>
    <mergeCell ref="O2:Z2"/>
    <mergeCell ref="A21:A47"/>
    <mergeCell ref="B21:M24"/>
    <mergeCell ref="B26:M28"/>
    <mergeCell ref="B30:M31"/>
    <mergeCell ref="O31:Z31"/>
    <mergeCell ref="B32:M33"/>
    <mergeCell ref="O33:Z33"/>
    <mergeCell ref="B47:M47"/>
    <mergeCell ref="A5:A18"/>
    <mergeCell ref="O47:S47"/>
    <mergeCell ref="B34:M35"/>
    <mergeCell ref="O35:Z35"/>
    <mergeCell ref="B37:N45"/>
  </mergeCells>
  <conditionalFormatting sqref="AA5:AA18">
    <cfRule type="cellIs" dxfId="5" priority="1" operator="lessThan">
      <formula>20</formula>
    </cfRule>
    <cfRule type="cellIs" dxfId="4" priority="2" operator="between">
      <formula>20</formula>
      <formula>29</formula>
    </cfRule>
    <cfRule type="cellIs" dxfId="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E122B-9CDC-40CE-B318-2C4BD127A1B8}">
  <sheetPr codeName="Hoja6">
    <pageSetUpPr autoPageBreaks="0"/>
  </sheetPr>
  <dimension ref="A1:AB130"/>
  <sheetViews>
    <sheetView tabSelected="1" zoomScale="85" zoomScaleNormal="85" zoomScalePageLayoutView="85" workbookViewId="0">
      <pane xSplit="3" ySplit="4" topLeftCell="D80" activePane="bottomRight" state="frozen"/>
      <selection pane="topRight" activeCell="D1" sqref="D1"/>
      <selection pane="bottomLeft" activeCell="A5" sqref="A5"/>
      <selection pane="bottomRight" activeCell="M102" sqref="M102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6">
      <c r="A2" s="202"/>
      <c r="B2" s="199" t="s">
        <v>38</v>
      </c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1"/>
      <c r="O2" s="203" t="s">
        <v>11</v>
      </c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5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51" t="s">
        <v>39</v>
      </c>
      <c r="B5" s="138" t="s">
        <v>219</v>
      </c>
      <c r="C5" s="51" t="s">
        <v>220</v>
      </c>
      <c r="D5" s="51" t="s">
        <v>221</v>
      </c>
      <c r="E5" s="51" t="s">
        <v>135</v>
      </c>
      <c r="F5" s="51" t="s">
        <v>189</v>
      </c>
      <c r="G5" s="51" t="s">
        <v>222</v>
      </c>
      <c r="H5" s="51" t="s">
        <v>41</v>
      </c>
      <c r="I5" s="55">
        <v>56982328250</v>
      </c>
      <c r="J5" s="26" t="s">
        <v>223</v>
      </c>
      <c r="K5" s="26" t="s">
        <v>42</v>
      </c>
      <c r="L5" s="49"/>
      <c r="M5" s="49"/>
      <c r="N5" s="51">
        <f>SUMPRODUCT(Tabla5237[[#This Row],[Paltas]:[Empanadas]],O$102:Z$102)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>
        <f>SUM(Tabla5237[[#This Row],[Paltas]:[Empanadas]])</f>
        <v>0</v>
      </c>
      <c r="AB5" s="57"/>
    </row>
    <row r="6" spans="1:28" outlineLevel="1" x14ac:dyDescent="0.25">
      <c r="A6" s="152"/>
      <c r="B6" s="136" t="s">
        <v>224</v>
      </c>
      <c r="C6" s="47" t="s">
        <v>225</v>
      </c>
      <c r="D6" s="47" t="s">
        <v>226</v>
      </c>
      <c r="E6" s="47" t="s">
        <v>46</v>
      </c>
      <c r="F6" s="47" t="s">
        <v>144</v>
      </c>
      <c r="G6" s="47" t="s">
        <v>227</v>
      </c>
      <c r="H6" s="47" t="s">
        <v>41</v>
      </c>
      <c r="I6" s="53">
        <v>56954219968</v>
      </c>
      <c r="J6" s="27" t="s">
        <v>228</v>
      </c>
      <c r="K6" s="27" t="s">
        <v>42</v>
      </c>
      <c r="L6" s="52"/>
      <c r="M6" s="52"/>
      <c r="N6" s="47">
        <f>SUMPRODUCT(Tabla5237[[#This Row],[Paltas]:[Empanadas]],O$102:Z$102)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>
        <f>SUM(Tabla5237[[#This Row],[Paltas]:[Empanadas]])</f>
        <v>0</v>
      </c>
      <c r="AB6" s="58"/>
    </row>
    <row r="7" spans="1:28" outlineLevel="1" x14ac:dyDescent="0.25">
      <c r="A7" s="152"/>
      <c r="B7" s="136" t="s">
        <v>229</v>
      </c>
      <c r="C7" s="47" t="s">
        <v>230</v>
      </c>
      <c r="D7" s="47" t="s">
        <v>231</v>
      </c>
      <c r="E7" s="47" t="s">
        <v>46</v>
      </c>
      <c r="F7" s="47" t="s">
        <v>144</v>
      </c>
      <c r="G7" s="47" t="s">
        <v>53</v>
      </c>
      <c r="H7" s="47" t="s">
        <v>41</v>
      </c>
      <c r="I7" s="53">
        <v>56976237859</v>
      </c>
      <c r="J7" s="27" t="s">
        <v>232</v>
      </c>
      <c r="K7" s="27" t="s">
        <v>48</v>
      </c>
      <c r="L7" s="52"/>
      <c r="M7" s="52"/>
      <c r="N7" s="47">
        <f>SUMPRODUCT(Tabla5237[[#This Row],[Paltas]:[Empanadas]],O$102:Z$102)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>
        <f>SUM(Tabla5237[[#This Row],[Paltas]:[Empanadas]])</f>
        <v>0</v>
      </c>
      <c r="AB7" s="58"/>
    </row>
    <row r="8" spans="1:28" outlineLevel="1" x14ac:dyDescent="0.25">
      <c r="A8" s="152"/>
      <c r="B8" s="136" t="s">
        <v>233</v>
      </c>
      <c r="C8" s="47" t="s">
        <v>234</v>
      </c>
      <c r="D8" s="47" t="s">
        <v>235</v>
      </c>
      <c r="E8" s="47" t="s">
        <v>135</v>
      </c>
      <c r="F8" s="47" t="s">
        <v>236</v>
      </c>
      <c r="G8" s="47" t="s">
        <v>237</v>
      </c>
      <c r="H8" s="47" t="s">
        <v>41</v>
      </c>
      <c r="I8" s="53">
        <v>56962094749</v>
      </c>
      <c r="J8" s="27" t="s">
        <v>238</v>
      </c>
      <c r="K8" s="27" t="s">
        <v>48</v>
      </c>
      <c r="L8" s="52"/>
      <c r="M8" s="52"/>
      <c r="N8" s="47">
        <f>SUMPRODUCT(Tabla5237[[#This Row],[Paltas]:[Empanadas]],O$102:Z$102)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>
        <f>SUM(Tabla5237[[#This Row],[Paltas]:[Empanadas]])</f>
        <v>0</v>
      </c>
      <c r="AB8" s="58"/>
    </row>
    <row r="9" spans="1:28" outlineLevel="1" x14ac:dyDescent="0.25">
      <c r="A9" s="152"/>
      <c r="B9" s="136" t="s">
        <v>55</v>
      </c>
      <c r="C9" s="47" t="s">
        <v>239</v>
      </c>
      <c r="D9" s="47" t="s">
        <v>240</v>
      </c>
      <c r="E9" s="47" t="s">
        <v>40</v>
      </c>
      <c r="F9" s="47" t="s">
        <v>49</v>
      </c>
      <c r="G9" s="47" t="s">
        <v>113</v>
      </c>
      <c r="H9" s="47" t="s">
        <v>41</v>
      </c>
      <c r="I9" s="53">
        <v>56993333225</v>
      </c>
      <c r="J9" s="27" t="s">
        <v>241</v>
      </c>
      <c r="K9" s="27" t="s">
        <v>54</v>
      </c>
      <c r="L9" s="52"/>
      <c r="M9" s="52"/>
      <c r="N9" s="47">
        <f>SUMPRODUCT(Tabla5237[[#This Row],[Paltas]:[Empanadas]],O$102:Z$102)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>
        <f>SUM(Tabla5237[[#This Row],[Paltas]:[Empanadas]])</f>
        <v>0</v>
      </c>
      <c r="AB9" s="58"/>
    </row>
    <row r="10" spans="1:28" outlineLevel="1" x14ac:dyDescent="0.25">
      <c r="A10" s="152"/>
      <c r="B10" s="136" t="s">
        <v>242</v>
      </c>
      <c r="C10" s="47" t="s">
        <v>243</v>
      </c>
      <c r="D10" s="47">
        <v>0</v>
      </c>
      <c r="E10" s="47">
        <v>0</v>
      </c>
      <c r="F10" s="47">
        <v>0</v>
      </c>
      <c r="G10" s="47" t="s">
        <v>45</v>
      </c>
      <c r="H10" s="47" t="s">
        <v>41</v>
      </c>
      <c r="I10" s="53">
        <v>56977051605</v>
      </c>
      <c r="J10" s="27" t="s">
        <v>244</v>
      </c>
      <c r="K10" s="27" t="s">
        <v>42</v>
      </c>
      <c r="L10" s="52"/>
      <c r="M10" s="52"/>
      <c r="N10" s="47">
        <f>SUMPRODUCT(Tabla5237[[#This Row],[Paltas]:[Empanadas]],O$102:Z$102)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>
        <f>SUM(Tabla5237[[#This Row],[Paltas]:[Empanadas]])</f>
        <v>0</v>
      </c>
      <c r="AB10" s="58"/>
    </row>
    <row r="11" spans="1:28" outlineLevel="1" x14ac:dyDescent="0.25">
      <c r="A11" s="152"/>
      <c r="B11" s="136" t="s">
        <v>190</v>
      </c>
      <c r="C11" s="47" t="s">
        <v>191</v>
      </c>
      <c r="D11" s="47" t="s">
        <v>192</v>
      </c>
      <c r="E11" s="47" t="s">
        <v>46</v>
      </c>
      <c r="F11" s="47" t="s">
        <v>193</v>
      </c>
      <c r="G11" s="47" t="s">
        <v>53</v>
      </c>
      <c r="H11" s="47" t="s">
        <v>41</v>
      </c>
      <c r="I11" s="53">
        <v>56955324629</v>
      </c>
      <c r="J11" s="27" t="s">
        <v>194</v>
      </c>
      <c r="K11" s="27" t="s">
        <v>48</v>
      </c>
      <c r="L11" s="52"/>
      <c r="M11" s="52"/>
      <c r="N11" s="47">
        <f>SUMPRODUCT(Tabla5237[[#This Row],[Paltas]:[Empanadas]],O$102:Z$102)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>
        <f>SUM(Tabla5237[[#This Row],[Paltas]:[Empanadas]])</f>
        <v>0</v>
      </c>
      <c r="AB11" s="58"/>
    </row>
    <row r="12" spans="1:28" outlineLevel="1" x14ac:dyDescent="0.25">
      <c r="A12" s="152"/>
      <c r="B12" s="136" t="s">
        <v>81</v>
      </c>
      <c r="C12" s="47" t="s">
        <v>97</v>
      </c>
      <c r="D12" s="47" t="s">
        <v>82</v>
      </c>
      <c r="E12" s="47" t="s">
        <v>40</v>
      </c>
      <c r="F12" s="47" t="s">
        <v>49</v>
      </c>
      <c r="G12" s="47" t="s">
        <v>45</v>
      </c>
      <c r="H12" s="47" t="s">
        <v>41</v>
      </c>
      <c r="I12" s="53">
        <v>56963033603</v>
      </c>
      <c r="J12" s="27" t="s">
        <v>102</v>
      </c>
      <c r="K12" s="27" t="s">
        <v>42</v>
      </c>
      <c r="L12" s="52"/>
      <c r="M12" s="52"/>
      <c r="N12" s="47">
        <f>SUMPRODUCT(Tabla5237[[#This Row],[Paltas]:[Empanadas]],O$102:Z$102)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>
        <f>SUM(Tabla5237[[#This Row],[Paltas]:[Empanadas]])</f>
        <v>0</v>
      </c>
      <c r="AB12" s="58"/>
    </row>
    <row r="13" spans="1:28" outlineLevel="1" x14ac:dyDescent="0.25">
      <c r="A13" s="152"/>
      <c r="B13" s="136" t="s">
        <v>145</v>
      </c>
      <c r="C13" s="47" t="s">
        <v>83</v>
      </c>
      <c r="D13" s="47" t="s">
        <v>84</v>
      </c>
      <c r="E13" s="47" t="s">
        <v>40</v>
      </c>
      <c r="F13" s="47" t="s">
        <v>49</v>
      </c>
      <c r="G13" s="47" t="s">
        <v>45</v>
      </c>
      <c r="H13" s="47" t="s">
        <v>245</v>
      </c>
      <c r="I13" s="53">
        <v>56982328250</v>
      </c>
      <c r="J13" s="27" t="s">
        <v>246</v>
      </c>
      <c r="K13" s="27" t="s">
        <v>54</v>
      </c>
      <c r="L13" s="52"/>
      <c r="M13" s="52"/>
      <c r="N13" s="47">
        <f>SUMPRODUCT(Tabla5237[[#This Row],[Paltas]:[Empanadas]],O$102:Z$102)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>
        <f>SUM(Tabla5237[[#This Row],[Paltas]:[Empanadas]])</f>
        <v>0</v>
      </c>
      <c r="AB13" s="58"/>
    </row>
    <row r="14" spans="1:28" outlineLevel="1" x14ac:dyDescent="0.25">
      <c r="A14" s="152"/>
      <c r="B14" s="136" t="s">
        <v>85</v>
      </c>
      <c r="C14" s="47" t="s">
        <v>83</v>
      </c>
      <c r="D14" s="47" t="s">
        <v>84</v>
      </c>
      <c r="E14" s="47" t="s">
        <v>40</v>
      </c>
      <c r="F14" s="47" t="s">
        <v>49</v>
      </c>
      <c r="G14" s="47" t="s">
        <v>76</v>
      </c>
      <c r="H14" s="47" t="s">
        <v>41</v>
      </c>
      <c r="I14" s="53">
        <v>56982328251</v>
      </c>
      <c r="J14" s="27" t="s">
        <v>86</v>
      </c>
      <c r="K14" s="27" t="s">
        <v>54</v>
      </c>
      <c r="L14" s="52"/>
      <c r="M14" s="52"/>
      <c r="N14" s="47">
        <f>SUMPRODUCT(Tabla5237[[#This Row],[Paltas]:[Empanadas]],O$102:Z$102)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>
        <f>SUM(Tabla5237[[#This Row],[Paltas]:[Empanadas]])</f>
        <v>0</v>
      </c>
      <c r="AB14" s="58"/>
    </row>
    <row r="15" spans="1:28" outlineLevel="1" x14ac:dyDescent="0.25">
      <c r="A15" s="152"/>
      <c r="B15" s="136" t="s">
        <v>247</v>
      </c>
      <c r="C15" s="47" t="s">
        <v>248</v>
      </c>
      <c r="D15" s="47" t="s">
        <v>249</v>
      </c>
      <c r="E15" s="47" t="s">
        <v>43</v>
      </c>
      <c r="F15" s="47" t="s">
        <v>47</v>
      </c>
      <c r="G15" s="47" t="s">
        <v>53</v>
      </c>
      <c r="H15" s="47" t="s">
        <v>41</v>
      </c>
      <c r="I15" s="53">
        <v>56968348679</v>
      </c>
      <c r="J15" s="27" t="s">
        <v>250</v>
      </c>
      <c r="K15" s="27" t="s">
        <v>54</v>
      </c>
      <c r="L15" s="52"/>
      <c r="M15" s="52"/>
      <c r="N15" s="47">
        <f>SUMPRODUCT(Tabla5237[[#This Row],[Paltas]:[Empanadas]],O$102:Z$102)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>
        <f>SUM(Tabla5237[[#This Row],[Paltas]:[Empanadas]])</f>
        <v>0</v>
      </c>
      <c r="AB15" s="58"/>
    </row>
    <row r="16" spans="1:28" outlineLevel="1" x14ac:dyDescent="0.25">
      <c r="A16" s="152"/>
      <c r="B16" s="136" t="s">
        <v>251</v>
      </c>
      <c r="C16" s="47" t="s">
        <v>252</v>
      </c>
      <c r="D16" s="47" t="s">
        <v>253</v>
      </c>
      <c r="E16" s="47" t="s">
        <v>40</v>
      </c>
      <c r="F16" s="47" t="s">
        <v>49</v>
      </c>
      <c r="G16" s="47">
        <v>0</v>
      </c>
      <c r="H16" s="47" t="s">
        <v>41</v>
      </c>
      <c r="I16" s="53">
        <v>56944346775</v>
      </c>
      <c r="J16" s="27" t="s">
        <v>254</v>
      </c>
      <c r="K16" s="27" t="s">
        <v>48</v>
      </c>
      <c r="L16" s="52"/>
      <c r="M16" s="52"/>
      <c r="N16" s="47">
        <f>SUMPRODUCT(Tabla5237[[#This Row],[Paltas]:[Empanadas]],O$102:Z$102)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>
        <f>SUM(Tabla5237[[#This Row],[Paltas]:[Empanadas]])</f>
        <v>0</v>
      </c>
      <c r="AB16" s="58"/>
    </row>
    <row r="17" spans="1:28" outlineLevel="1" x14ac:dyDescent="0.25">
      <c r="A17" s="152"/>
      <c r="B17" s="136" t="s">
        <v>255</v>
      </c>
      <c r="C17" s="47" t="s">
        <v>256</v>
      </c>
      <c r="D17" s="47" t="s">
        <v>257</v>
      </c>
      <c r="E17" s="47" t="s">
        <v>46</v>
      </c>
      <c r="F17" s="47" t="s">
        <v>87</v>
      </c>
      <c r="G17" s="47" t="s">
        <v>258</v>
      </c>
      <c r="H17" s="47" t="s">
        <v>41</v>
      </c>
      <c r="I17" s="53">
        <v>56995346870</v>
      </c>
      <c r="J17" s="27" t="s">
        <v>259</v>
      </c>
      <c r="K17" s="27" t="s">
        <v>42</v>
      </c>
      <c r="L17" s="52"/>
      <c r="M17" s="52"/>
      <c r="N17" s="47">
        <f>SUMPRODUCT(Tabla5237[[#This Row],[Paltas]:[Empanadas]],O$102:Z$102)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>
        <f>SUM(Tabla5237[[#This Row],[Paltas]:[Empanadas]])</f>
        <v>0</v>
      </c>
      <c r="AB17" s="58"/>
    </row>
    <row r="18" spans="1:28" outlineLevel="1" x14ac:dyDescent="0.25">
      <c r="A18" s="152"/>
      <c r="B18" s="136" t="s">
        <v>176</v>
      </c>
      <c r="C18" s="47" t="s">
        <v>177</v>
      </c>
      <c r="D18" s="47" t="s">
        <v>178</v>
      </c>
      <c r="E18" s="47" t="s">
        <v>46</v>
      </c>
      <c r="F18" s="47" t="s">
        <v>87</v>
      </c>
      <c r="G18" s="47" t="s">
        <v>45</v>
      </c>
      <c r="H18" s="47" t="s">
        <v>41</v>
      </c>
      <c r="I18" s="53">
        <v>56963061299</v>
      </c>
      <c r="J18" s="27" t="s">
        <v>179</v>
      </c>
      <c r="K18" s="27" t="s">
        <v>42</v>
      </c>
      <c r="L18" s="52"/>
      <c r="M18" s="52"/>
      <c r="N18" s="47">
        <f>SUMPRODUCT(Tabla5237[[#This Row],[Paltas]:[Empanadas]],O$102:Z$102)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>
        <f>SUM(Tabla5237[[#This Row],[Paltas]:[Empanadas]])</f>
        <v>0</v>
      </c>
      <c r="AB18" s="58"/>
    </row>
    <row r="19" spans="1:28" outlineLevel="1" x14ac:dyDescent="0.25">
      <c r="A19" s="152"/>
      <c r="B19" s="136" t="s">
        <v>195</v>
      </c>
      <c r="C19" s="47" t="s">
        <v>196</v>
      </c>
      <c r="D19" s="47" t="s">
        <v>197</v>
      </c>
      <c r="E19" s="47" t="s">
        <v>135</v>
      </c>
      <c r="F19" s="47" t="s">
        <v>189</v>
      </c>
      <c r="G19" s="47" t="s">
        <v>198</v>
      </c>
      <c r="H19" s="47" t="s">
        <v>41</v>
      </c>
      <c r="I19" s="53">
        <v>56979987750</v>
      </c>
      <c r="J19" s="27" t="s">
        <v>199</v>
      </c>
      <c r="K19" s="27" t="s">
        <v>48</v>
      </c>
      <c r="L19" s="52"/>
      <c r="M19" s="52"/>
      <c r="N19" s="47">
        <f>SUMPRODUCT(Tabla5237[[#This Row],[Paltas]:[Empanadas]],O$102:Z$102)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>
        <f>SUM(Tabla5237[[#This Row],[Paltas]:[Empanadas]])</f>
        <v>0</v>
      </c>
      <c r="AB19" s="58"/>
    </row>
    <row r="20" spans="1:28" outlineLevel="1" x14ac:dyDescent="0.25">
      <c r="A20" s="152"/>
      <c r="B20" s="136" t="s">
        <v>260</v>
      </c>
      <c r="C20" s="47" t="s">
        <v>261</v>
      </c>
      <c r="D20" s="47" t="s">
        <v>262</v>
      </c>
      <c r="E20" s="47" t="s">
        <v>135</v>
      </c>
      <c r="F20" s="47" t="s">
        <v>44</v>
      </c>
      <c r="G20" s="47" t="s">
        <v>263</v>
      </c>
      <c r="H20" s="47" t="s">
        <v>41</v>
      </c>
      <c r="I20" s="53">
        <v>56974474437</v>
      </c>
      <c r="J20" s="27" t="s">
        <v>264</v>
      </c>
      <c r="K20" s="27" t="s">
        <v>54</v>
      </c>
      <c r="L20" s="52"/>
      <c r="M20" s="52"/>
      <c r="N20" s="47">
        <f>SUMPRODUCT(Tabla5237[[#This Row],[Paltas]:[Empanadas]],O$102:Z$102)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>
        <f>SUM(Tabla5237[[#This Row],[Paltas]:[Empanadas]])</f>
        <v>0</v>
      </c>
      <c r="AB20" s="58"/>
    </row>
    <row r="21" spans="1:28" outlineLevel="1" x14ac:dyDescent="0.25">
      <c r="A21" s="152"/>
      <c r="B21" s="136" t="s">
        <v>66</v>
      </c>
      <c r="C21" s="47" t="s">
        <v>67</v>
      </c>
      <c r="D21" s="47" t="s">
        <v>68</v>
      </c>
      <c r="E21" s="47" t="s">
        <v>46</v>
      </c>
      <c r="F21" s="47" t="s">
        <v>44</v>
      </c>
      <c r="G21" s="47" t="s">
        <v>53</v>
      </c>
      <c r="H21" s="47" t="s">
        <v>41</v>
      </c>
      <c r="I21" s="53">
        <v>56967289638</v>
      </c>
      <c r="J21" s="27" t="s">
        <v>69</v>
      </c>
      <c r="K21" s="27" t="s">
        <v>54</v>
      </c>
      <c r="L21" s="52"/>
      <c r="M21" s="52"/>
      <c r="N21" s="47">
        <f>SUMPRODUCT(Tabla5237[[#This Row],[Paltas]:[Empanadas]],O$102:Z$102)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>
        <f>SUM(Tabla5237[[#This Row],[Paltas]:[Empanadas]])</f>
        <v>0</v>
      </c>
      <c r="AB21" s="58"/>
    </row>
    <row r="22" spans="1:28" outlineLevel="1" x14ac:dyDescent="0.25">
      <c r="A22" s="152"/>
      <c r="B22" s="136" t="s">
        <v>265</v>
      </c>
      <c r="C22" s="47" t="s">
        <v>56</v>
      </c>
      <c r="D22" s="47" t="s">
        <v>266</v>
      </c>
      <c r="E22" s="47" t="s">
        <v>43</v>
      </c>
      <c r="F22" s="47" t="s">
        <v>144</v>
      </c>
      <c r="G22" s="47" t="s">
        <v>88</v>
      </c>
      <c r="H22" s="47" t="s">
        <v>41</v>
      </c>
      <c r="I22" s="53">
        <v>56998222891</v>
      </c>
      <c r="J22" s="27" t="s">
        <v>267</v>
      </c>
      <c r="K22" s="27" t="s">
        <v>54</v>
      </c>
      <c r="L22" s="52"/>
      <c r="M22" s="52"/>
      <c r="N22" s="47">
        <f>SUMPRODUCT(Tabla5237[[#This Row],[Paltas]:[Empanadas]],O$102:Z$102)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>
        <f>SUM(Tabla5237[[#This Row],[Paltas]:[Empanadas]])</f>
        <v>0</v>
      </c>
      <c r="AB22" s="58"/>
    </row>
    <row r="23" spans="1:28" outlineLevel="1" x14ac:dyDescent="0.25">
      <c r="A23" s="152"/>
      <c r="B23" s="136" t="s">
        <v>55</v>
      </c>
      <c r="C23" s="47" t="s">
        <v>56</v>
      </c>
      <c r="D23" s="47" t="s">
        <v>57</v>
      </c>
      <c r="E23" s="47" t="s">
        <v>40</v>
      </c>
      <c r="F23" s="47" t="s">
        <v>49</v>
      </c>
      <c r="G23" s="47" t="s">
        <v>45</v>
      </c>
      <c r="H23" s="47" t="s">
        <v>41</v>
      </c>
      <c r="I23" s="53">
        <v>56967898535</v>
      </c>
      <c r="J23" s="27" t="s">
        <v>58</v>
      </c>
      <c r="K23" s="27" t="s">
        <v>54</v>
      </c>
      <c r="L23" s="52"/>
      <c r="M23" s="52"/>
      <c r="N23" s="47">
        <f>SUMPRODUCT(Tabla5237[[#This Row],[Paltas]:[Empanadas]],O$102:Z$102)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>
        <f>SUM(Tabla5237[[#This Row],[Paltas]:[Empanadas]])</f>
        <v>0</v>
      </c>
      <c r="AB23" s="58"/>
    </row>
    <row r="24" spans="1:28" outlineLevel="1" x14ac:dyDescent="0.25">
      <c r="A24" s="152"/>
      <c r="B24" s="136" t="s">
        <v>268</v>
      </c>
      <c r="C24" s="47" t="s">
        <v>269</v>
      </c>
      <c r="D24" s="47" t="s">
        <v>270</v>
      </c>
      <c r="E24" s="47" t="s">
        <v>40</v>
      </c>
      <c r="F24" s="47" t="s">
        <v>75</v>
      </c>
      <c r="G24" s="47" t="s">
        <v>45</v>
      </c>
      <c r="H24" s="47" t="s">
        <v>41</v>
      </c>
      <c r="I24" s="53">
        <v>56991889995</v>
      </c>
      <c r="J24" s="27" t="s">
        <v>271</v>
      </c>
      <c r="K24" s="27" t="s">
        <v>54</v>
      </c>
      <c r="L24" s="52"/>
      <c r="M24" s="52"/>
      <c r="N24" s="47">
        <f>SUMPRODUCT(Tabla5237[[#This Row],[Paltas]:[Empanadas]],O$102:Z$102)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>
        <f>SUM(Tabla5237[[#This Row],[Paltas]:[Empanadas]])</f>
        <v>0</v>
      </c>
      <c r="AB24" s="58"/>
    </row>
    <row r="25" spans="1:28" outlineLevel="1" x14ac:dyDescent="0.25">
      <c r="A25" s="152"/>
      <c r="B25" s="136" t="s">
        <v>146</v>
      </c>
      <c r="C25" s="47" t="s">
        <v>147</v>
      </c>
      <c r="D25" s="47" t="s">
        <v>148</v>
      </c>
      <c r="E25" s="47" t="s">
        <v>46</v>
      </c>
      <c r="F25" s="47" t="s">
        <v>144</v>
      </c>
      <c r="G25" s="47" t="s">
        <v>110</v>
      </c>
      <c r="H25" s="47" t="s">
        <v>41</v>
      </c>
      <c r="I25" s="53">
        <v>56997267212</v>
      </c>
      <c r="J25" s="27" t="s">
        <v>149</v>
      </c>
      <c r="K25" s="27" t="s">
        <v>48</v>
      </c>
      <c r="L25" s="52"/>
      <c r="M25" s="52"/>
      <c r="N25" s="47">
        <f>SUMPRODUCT(Tabla5237[[#This Row],[Paltas]:[Empanadas]],O$102:Z$102)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>
        <f>SUM(Tabla5237[[#This Row],[Paltas]:[Empanadas]])</f>
        <v>0</v>
      </c>
      <c r="AB25" s="58"/>
    </row>
    <row r="26" spans="1:28" outlineLevel="1" x14ac:dyDescent="0.25">
      <c r="A26" s="152"/>
      <c r="B26" s="136" t="s">
        <v>272</v>
      </c>
      <c r="C26" s="47" t="s">
        <v>273</v>
      </c>
      <c r="D26" s="47" t="s">
        <v>274</v>
      </c>
      <c r="E26" s="47" t="s">
        <v>40</v>
      </c>
      <c r="F26" s="47" t="s">
        <v>49</v>
      </c>
      <c r="G26" s="47" t="s">
        <v>53</v>
      </c>
      <c r="H26" s="47" t="s">
        <v>41</v>
      </c>
      <c r="I26" s="53">
        <v>56983708702</v>
      </c>
      <c r="J26" s="27" t="s">
        <v>275</v>
      </c>
      <c r="K26" s="27" t="s">
        <v>42</v>
      </c>
      <c r="L26" s="52"/>
      <c r="M26" s="52"/>
      <c r="N26" s="47">
        <f>SUMPRODUCT(Tabla5237[[#This Row],[Paltas]:[Empanadas]],O$102:Z$102)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>
        <f>SUM(Tabla5237[[#This Row],[Paltas]:[Empanadas]])</f>
        <v>0</v>
      </c>
      <c r="AB26" s="58"/>
    </row>
    <row r="27" spans="1:28" outlineLevel="1" x14ac:dyDescent="0.25">
      <c r="A27" s="152"/>
      <c r="B27" s="136" t="s">
        <v>195</v>
      </c>
      <c r="C27" s="47" t="s">
        <v>276</v>
      </c>
      <c r="D27" s="47" t="s">
        <v>277</v>
      </c>
      <c r="E27" s="47" t="s">
        <v>46</v>
      </c>
      <c r="F27" s="47" t="s">
        <v>278</v>
      </c>
      <c r="G27" s="47" t="s">
        <v>45</v>
      </c>
      <c r="H27" s="47" t="s">
        <v>245</v>
      </c>
      <c r="I27" s="53">
        <v>56996324787</v>
      </c>
      <c r="J27" s="27" t="s">
        <v>279</v>
      </c>
      <c r="K27" s="27" t="s">
        <v>42</v>
      </c>
      <c r="L27" s="52"/>
      <c r="M27" s="52"/>
      <c r="N27" s="47">
        <f>SUMPRODUCT(Tabla5237[[#This Row],[Paltas]:[Empanadas]],O$102:Z$102)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>
        <f>SUM(Tabla5237[[#This Row],[Paltas]:[Empanadas]])</f>
        <v>0</v>
      </c>
      <c r="AB27" s="58"/>
    </row>
    <row r="28" spans="1:28" outlineLevel="1" x14ac:dyDescent="0.25">
      <c r="A28" s="152"/>
      <c r="B28" s="136" t="s">
        <v>280</v>
      </c>
      <c r="C28" s="47" t="s">
        <v>281</v>
      </c>
      <c r="D28" s="47" t="s">
        <v>282</v>
      </c>
      <c r="E28" s="47" t="s">
        <v>46</v>
      </c>
      <c r="F28" s="47" t="s">
        <v>144</v>
      </c>
      <c r="G28" s="47" t="s">
        <v>53</v>
      </c>
      <c r="H28" s="47" t="s">
        <v>41</v>
      </c>
      <c r="I28" s="53">
        <v>56958589916</v>
      </c>
      <c r="J28" s="27" t="s">
        <v>283</v>
      </c>
      <c r="K28" s="27" t="s">
        <v>48</v>
      </c>
      <c r="L28" s="52"/>
      <c r="M28" s="52"/>
      <c r="N28" s="47">
        <f>SUMPRODUCT(Tabla5237[[#This Row],[Paltas]:[Empanadas]],O$102:Z$102)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>
        <f>SUM(Tabla5237[[#This Row],[Paltas]:[Empanadas]])</f>
        <v>0</v>
      </c>
      <c r="AB28" s="58"/>
    </row>
    <row r="29" spans="1:28" outlineLevel="1" x14ac:dyDescent="0.25">
      <c r="A29" s="152"/>
      <c r="B29" s="136" t="s">
        <v>284</v>
      </c>
      <c r="C29" s="47" t="s">
        <v>285</v>
      </c>
      <c r="D29" s="47" t="s">
        <v>286</v>
      </c>
      <c r="E29" s="47" t="s">
        <v>43</v>
      </c>
      <c r="F29" s="47" t="s">
        <v>89</v>
      </c>
      <c r="G29" s="47" t="s">
        <v>53</v>
      </c>
      <c r="H29" s="47" t="s">
        <v>41</v>
      </c>
      <c r="I29" s="53">
        <v>56995483434</v>
      </c>
      <c r="J29" s="27" t="s">
        <v>287</v>
      </c>
      <c r="K29" s="27" t="s">
        <v>42</v>
      </c>
      <c r="L29" s="52"/>
      <c r="M29" s="52"/>
      <c r="N29" s="47">
        <f>SUMPRODUCT(Tabla5237[[#This Row],[Paltas]:[Empanadas]],O$102:Z$102)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>
        <f>SUM(Tabla5237[[#This Row],[Paltas]:[Empanadas]])</f>
        <v>0</v>
      </c>
      <c r="AB29" s="58"/>
    </row>
    <row r="30" spans="1:28" outlineLevel="1" x14ac:dyDescent="0.25">
      <c r="A30" s="152"/>
      <c r="B30" s="136" t="s">
        <v>150</v>
      </c>
      <c r="C30" s="47" t="s">
        <v>52</v>
      </c>
      <c r="D30" s="47" t="s">
        <v>288</v>
      </c>
      <c r="E30" s="47" t="s">
        <v>46</v>
      </c>
      <c r="F30" s="47" t="s">
        <v>87</v>
      </c>
      <c r="G30" s="47" t="s">
        <v>76</v>
      </c>
      <c r="H30" s="47" t="s">
        <v>41</v>
      </c>
      <c r="I30" s="53">
        <v>56997550244</v>
      </c>
      <c r="J30" s="27" t="s">
        <v>289</v>
      </c>
      <c r="K30" s="27" t="s">
        <v>42</v>
      </c>
      <c r="L30" s="52"/>
      <c r="M30" s="52"/>
      <c r="N30" s="47">
        <f>SUMPRODUCT(Tabla5237[[#This Row],[Paltas]:[Empanadas]],O$102:Z$102)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>
        <f>SUM(Tabla5237[[#This Row],[Paltas]:[Empanadas]])</f>
        <v>0</v>
      </c>
      <c r="AB30" s="58"/>
    </row>
    <row r="31" spans="1:28" outlineLevel="1" x14ac:dyDescent="0.25">
      <c r="A31" s="152"/>
      <c r="B31" s="136" t="s">
        <v>90</v>
      </c>
      <c r="C31" s="47" t="s">
        <v>52</v>
      </c>
      <c r="D31" s="47" t="s">
        <v>91</v>
      </c>
      <c r="E31" s="47" t="s">
        <v>43</v>
      </c>
      <c r="F31" s="47" t="s">
        <v>47</v>
      </c>
      <c r="G31" s="47" t="s">
        <v>88</v>
      </c>
      <c r="H31" s="47" t="s">
        <v>41</v>
      </c>
      <c r="I31" s="53">
        <v>56982978895</v>
      </c>
      <c r="J31" s="27" t="s">
        <v>92</v>
      </c>
      <c r="K31" s="27" t="s">
        <v>48</v>
      </c>
      <c r="L31" s="52"/>
      <c r="M31" s="52"/>
      <c r="N31" s="47">
        <f>SUMPRODUCT(Tabla5237[[#This Row],[Paltas]:[Empanadas]],O$102:Z$102)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>
        <f>SUM(Tabla5237[[#This Row],[Paltas]:[Empanadas]])</f>
        <v>0</v>
      </c>
      <c r="AB31" s="58"/>
    </row>
    <row r="32" spans="1:28" outlineLevel="1" x14ac:dyDescent="0.25">
      <c r="A32" s="152"/>
      <c r="B32" s="136" t="s">
        <v>59</v>
      </c>
      <c r="C32" s="47" t="s">
        <v>52</v>
      </c>
      <c r="D32" s="47" t="s">
        <v>60</v>
      </c>
      <c r="E32" s="47" t="s">
        <v>40</v>
      </c>
      <c r="F32" s="47" t="s">
        <v>49</v>
      </c>
      <c r="G32" s="47" t="s">
        <v>45</v>
      </c>
      <c r="H32" s="47" t="s">
        <v>41</v>
      </c>
      <c r="I32" s="53">
        <v>56986194003</v>
      </c>
      <c r="J32" s="27" t="s">
        <v>61</v>
      </c>
      <c r="K32" s="27" t="s">
        <v>48</v>
      </c>
      <c r="L32" s="52"/>
      <c r="M32" s="52"/>
      <c r="N32" s="47">
        <f>SUMPRODUCT(Tabla5237[[#This Row],[Paltas]:[Empanadas]],O$102:Z$102)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>
        <f>SUM(Tabla5237[[#This Row],[Paltas]:[Empanadas]])</f>
        <v>0</v>
      </c>
      <c r="AB32" s="58"/>
    </row>
    <row r="33" spans="1:28" outlineLevel="1" x14ac:dyDescent="0.25">
      <c r="A33" s="152"/>
      <c r="B33" s="136" t="s">
        <v>290</v>
      </c>
      <c r="C33" s="47" t="s">
        <v>52</v>
      </c>
      <c r="D33" s="47" t="s">
        <v>291</v>
      </c>
      <c r="E33" s="47" t="s">
        <v>135</v>
      </c>
      <c r="F33" s="47" t="s">
        <v>151</v>
      </c>
      <c r="G33" s="47" t="s">
        <v>263</v>
      </c>
      <c r="H33" s="47" t="s">
        <v>41</v>
      </c>
      <c r="I33" s="53">
        <v>56965542496</v>
      </c>
      <c r="J33" s="27" t="s">
        <v>292</v>
      </c>
      <c r="K33" s="27" t="s">
        <v>48</v>
      </c>
      <c r="L33" s="52"/>
      <c r="M33" s="52"/>
      <c r="N33" s="47">
        <f>SUMPRODUCT(Tabla5237[[#This Row],[Paltas]:[Empanadas]],O$102:Z$102)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>
        <f>SUM(Tabla5237[[#This Row],[Paltas]:[Empanadas]])</f>
        <v>0</v>
      </c>
      <c r="AB33" s="58"/>
    </row>
    <row r="34" spans="1:28" outlineLevel="1" x14ac:dyDescent="0.25">
      <c r="A34" s="152"/>
      <c r="B34" s="136" t="s">
        <v>293</v>
      </c>
      <c r="C34" s="47" t="s">
        <v>294</v>
      </c>
      <c r="D34" s="47" t="s">
        <v>295</v>
      </c>
      <c r="E34" s="47" t="s">
        <v>46</v>
      </c>
      <c r="F34" s="47" t="s">
        <v>87</v>
      </c>
      <c r="G34" s="47">
        <v>0</v>
      </c>
      <c r="H34" s="47" t="s">
        <v>41</v>
      </c>
      <c r="I34" s="53">
        <v>56979579233</v>
      </c>
      <c r="J34" s="27" t="s">
        <v>296</v>
      </c>
      <c r="K34" s="27" t="s">
        <v>42</v>
      </c>
      <c r="L34" s="52"/>
      <c r="M34" s="52"/>
      <c r="N34" s="47">
        <f>SUMPRODUCT(Tabla5237[[#This Row],[Paltas]:[Empanadas]],O$102:Z$102)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>
        <f>SUM(Tabla5237[[#This Row],[Paltas]:[Empanadas]])</f>
        <v>0</v>
      </c>
      <c r="AB34" s="58"/>
    </row>
    <row r="35" spans="1:28" outlineLevel="1" x14ac:dyDescent="0.25">
      <c r="A35" s="152"/>
      <c r="B35" s="136" t="s">
        <v>114</v>
      </c>
      <c r="C35" s="47" t="s">
        <v>297</v>
      </c>
      <c r="D35" s="47" t="s">
        <v>298</v>
      </c>
      <c r="E35" s="47" t="s">
        <v>135</v>
      </c>
      <c r="F35" s="47" t="s">
        <v>299</v>
      </c>
      <c r="G35" s="47" t="s">
        <v>53</v>
      </c>
      <c r="H35" s="47" t="s">
        <v>41</v>
      </c>
      <c r="I35" s="53">
        <v>56986351953</v>
      </c>
      <c r="J35" s="27" t="s">
        <v>300</v>
      </c>
      <c r="K35" s="27" t="s">
        <v>54</v>
      </c>
      <c r="L35" s="52"/>
      <c r="M35" s="52"/>
      <c r="N35" s="47">
        <f>SUMPRODUCT(Tabla5237[[#This Row],[Paltas]:[Empanadas]],O$102:Z$102)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>
        <f>SUM(Tabla5237[[#This Row],[Paltas]:[Empanadas]])</f>
        <v>0</v>
      </c>
      <c r="AB35" s="58"/>
    </row>
    <row r="36" spans="1:28" outlineLevel="1" x14ac:dyDescent="0.25">
      <c r="A36" s="152"/>
      <c r="B36" s="136" t="s">
        <v>301</v>
      </c>
      <c r="C36" s="47" t="s">
        <v>302</v>
      </c>
      <c r="D36" s="47" t="s">
        <v>303</v>
      </c>
      <c r="E36" s="47" t="s">
        <v>46</v>
      </c>
      <c r="F36" s="47" t="s">
        <v>87</v>
      </c>
      <c r="G36" s="47" t="s">
        <v>45</v>
      </c>
      <c r="H36" s="47" t="s">
        <v>41</v>
      </c>
      <c r="I36" s="53">
        <v>56982958975</v>
      </c>
      <c r="J36" s="27" t="s">
        <v>304</v>
      </c>
      <c r="K36" s="27" t="s">
        <v>54</v>
      </c>
      <c r="L36" s="52"/>
      <c r="M36" s="52"/>
      <c r="N36" s="47">
        <f>SUMPRODUCT(Tabla5237[[#This Row],[Paltas]:[Empanadas]],O$102:Z$102)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>
        <f>SUM(Tabla5237[[#This Row],[Paltas]:[Empanadas]])</f>
        <v>0</v>
      </c>
      <c r="AB36" s="58"/>
    </row>
    <row r="37" spans="1:28" outlineLevel="1" x14ac:dyDescent="0.25">
      <c r="A37" s="152"/>
      <c r="B37" s="136" t="s">
        <v>305</v>
      </c>
      <c r="C37" s="47" t="s">
        <v>306</v>
      </c>
      <c r="D37" s="47" t="s">
        <v>307</v>
      </c>
      <c r="E37" s="47" t="s">
        <v>308</v>
      </c>
      <c r="F37" s="47" t="s">
        <v>308</v>
      </c>
      <c r="G37" s="47" t="s">
        <v>88</v>
      </c>
      <c r="H37" s="47" t="s">
        <v>41</v>
      </c>
      <c r="I37" s="53">
        <v>56965951459</v>
      </c>
      <c r="J37" s="27" t="s">
        <v>309</v>
      </c>
      <c r="K37" s="27" t="s">
        <v>48</v>
      </c>
      <c r="L37" s="52"/>
      <c r="M37" s="52"/>
      <c r="N37" s="47">
        <f>SUMPRODUCT(Tabla5237[[#This Row],[Paltas]:[Empanadas]],O$102:Z$102)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>
        <f>SUM(Tabla5237[[#This Row],[Paltas]:[Empanadas]])</f>
        <v>0</v>
      </c>
      <c r="AB37" s="58"/>
    </row>
    <row r="38" spans="1:28" outlineLevel="1" x14ac:dyDescent="0.25">
      <c r="A38" s="152"/>
      <c r="B38" s="136" t="s">
        <v>115</v>
      </c>
      <c r="C38" s="47" t="s">
        <v>116</v>
      </c>
      <c r="D38" s="47" t="s">
        <v>117</v>
      </c>
      <c r="E38" s="47" t="s">
        <v>40</v>
      </c>
      <c r="F38" s="47" t="s">
        <v>49</v>
      </c>
      <c r="G38" s="47" t="s">
        <v>113</v>
      </c>
      <c r="H38" s="47" t="s">
        <v>41</v>
      </c>
      <c r="I38" s="53">
        <v>56979891544</v>
      </c>
      <c r="J38" s="27" t="s">
        <v>118</v>
      </c>
      <c r="K38" s="27" t="s">
        <v>48</v>
      </c>
      <c r="L38" s="52"/>
      <c r="M38" s="52"/>
      <c r="N38" s="47">
        <f>SUMPRODUCT(Tabla5237[[#This Row],[Paltas]:[Empanadas]],O$102:Z$102)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>
        <f>SUM(Tabla5237[[#This Row],[Paltas]:[Empanadas]])</f>
        <v>0</v>
      </c>
      <c r="AB38" s="58"/>
    </row>
    <row r="39" spans="1:28" outlineLevel="1" x14ac:dyDescent="0.25">
      <c r="A39" s="152"/>
      <c r="B39" s="136" t="s">
        <v>310</v>
      </c>
      <c r="C39" s="47" t="s">
        <v>311</v>
      </c>
      <c r="D39" s="47" t="s">
        <v>312</v>
      </c>
      <c r="E39" s="47" t="s">
        <v>46</v>
      </c>
      <c r="F39" s="47" t="s">
        <v>87</v>
      </c>
      <c r="G39" s="47" t="s">
        <v>313</v>
      </c>
      <c r="H39" s="47" t="s">
        <v>41</v>
      </c>
      <c r="I39" s="53">
        <v>56995952212</v>
      </c>
      <c r="J39" s="27" t="s">
        <v>314</v>
      </c>
      <c r="K39" s="27" t="s">
        <v>48</v>
      </c>
      <c r="L39" s="52"/>
      <c r="M39" s="52"/>
      <c r="N39" s="47">
        <f>SUMPRODUCT(Tabla5237[[#This Row],[Paltas]:[Empanadas]],O$102:Z$102)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>
        <f>SUM(Tabla5237[[#This Row],[Paltas]:[Empanadas]])</f>
        <v>0</v>
      </c>
      <c r="AB39" s="58"/>
    </row>
    <row r="40" spans="1:28" outlineLevel="1" x14ac:dyDescent="0.25">
      <c r="A40" s="152"/>
      <c r="B40" s="136" t="s">
        <v>315</v>
      </c>
      <c r="C40" s="47" t="s">
        <v>316</v>
      </c>
      <c r="D40" s="47" t="s">
        <v>317</v>
      </c>
      <c r="E40" s="47" t="s">
        <v>40</v>
      </c>
      <c r="F40" s="47" t="s">
        <v>49</v>
      </c>
      <c r="G40" s="47">
        <v>0</v>
      </c>
      <c r="H40" s="47" t="s">
        <v>41</v>
      </c>
      <c r="I40" s="53">
        <v>56963124612</v>
      </c>
      <c r="J40" s="27" t="s">
        <v>318</v>
      </c>
      <c r="K40" s="27" t="s">
        <v>48</v>
      </c>
      <c r="L40" s="52"/>
      <c r="M40" s="52"/>
      <c r="N40" s="47">
        <f>SUMPRODUCT(Tabla5237[[#This Row],[Paltas]:[Empanadas]],O$102:Z$102)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>
        <f>SUM(Tabla5237[[#This Row],[Paltas]:[Empanadas]])</f>
        <v>0</v>
      </c>
      <c r="AB40" s="58"/>
    </row>
    <row r="41" spans="1:28" outlineLevel="1" x14ac:dyDescent="0.25">
      <c r="A41" s="152"/>
      <c r="B41" s="136" t="s">
        <v>209</v>
      </c>
      <c r="C41" s="47" t="s">
        <v>210</v>
      </c>
      <c r="D41" s="47" t="s">
        <v>211</v>
      </c>
      <c r="E41" s="47" t="s">
        <v>40</v>
      </c>
      <c r="F41" s="47" t="s">
        <v>75</v>
      </c>
      <c r="G41" s="47" t="s">
        <v>76</v>
      </c>
      <c r="H41" s="47" t="s">
        <v>41</v>
      </c>
      <c r="I41" s="53">
        <v>56966477967</v>
      </c>
      <c r="J41" s="27" t="s">
        <v>212</v>
      </c>
      <c r="K41" s="27" t="s">
        <v>54</v>
      </c>
      <c r="L41" s="52"/>
      <c r="M41" s="52"/>
      <c r="N41" s="47">
        <f>SUMPRODUCT(Tabla5237[[#This Row],[Paltas]:[Empanadas]],O$102:Z$102)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>
        <f>SUM(Tabla5237[[#This Row],[Paltas]:[Empanadas]])</f>
        <v>0</v>
      </c>
      <c r="AB41" s="58"/>
    </row>
    <row r="42" spans="1:28" outlineLevel="1" x14ac:dyDescent="0.25">
      <c r="A42" s="152"/>
      <c r="B42" s="136" t="s">
        <v>114</v>
      </c>
      <c r="C42" s="47" t="s">
        <v>119</v>
      </c>
      <c r="D42" s="47" t="s">
        <v>120</v>
      </c>
      <c r="E42" s="47" t="s">
        <v>40</v>
      </c>
      <c r="F42" s="47" t="s">
        <v>75</v>
      </c>
      <c r="G42" s="47" t="s">
        <v>113</v>
      </c>
      <c r="H42" s="47" t="s">
        <v>41</v>
      </c>
      <c r="I42" s="53">
        <v>56988587944</v>
      </c>
      <c r="J42" s="27" t="s">
        <v>121</v>
      </c>
      <c r="K42" s="27" t="s">
        <v>48</v>
      </c>
      <c r="L42" s="52"/>
      <c r="M42" s="52"/>
      <c r="N42" s="47">
        <f>SUMPRODUCT(Tabla5237[[#This Row],[Paltas]:[Empanadas]],O$102:Z$102)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>
        <f>SUM(Tabla5237[[#This Row],[Paltas]:[Empanadas]])</f>
        <v>0</v>
      </c>
      <c r="AB42" s="58"/>
    </row>
    <row r="43" spans="1:28" outlineLevel="1" x14ac:dyDescent="0.25">
      <c r="A43" s="152"/>
      <c r="B43" s="136" t="s">
        <v>319</v>
      </c>
      <c r="C43" s="47" t="s">
        <v>320</v>
      </c>
      <c r="D43" s="47" t="s">
        <v>321</v>
      </c>
      <c r="E43" s="47" t="s">
        <v>43</v>
      </c>
      <c r="F43" s="47" t="s">
        <v>89</v>
      </c>
      <c r="G43" s="47" t="s">
        <v>76</v>
      </c>
      <c r="H43" s="47" t="s">
        <v>41</v>
      </c>
      <c r="I43" s="53">
        <v>56977684576</v>
      </c>
      <c r="J43" s="27" t="s">
        <v>322</v>
      </c>
      <c r="K43" s="27" t="s">
        <v>42</v>
      </c>
      <c r="L43" s="52"/>
      <c r="M43" s="52"/>
      <c r="N43" s="47">
        <f>SUMPRODUCT(Tabla5237[[#This Row],[Paltas]:[Empanadas]],O$102:Z$102)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>
        <f>SUM(Tabla5237[[#This Row],[Paltas]:[Empanadas]])</f>
        <v>0</v>
      </c>
      <c r="AB43" s="58"/>
    </row>
    <row r="44" spans="1:28" outlineLevel="1" x14ac:dyDescent="0.25">
      <c r="A44" s="152"/>
      <c r="B44" s="136" t="s">
        <v>323</v>
      </c>
      <c r="C44" s="47" t="s">
        <v>324</v>
      </c>
      <c r="D44" s="47" t="s">
        <v>325</v>
      </c>
      <c r="E44" s="47" t="s">
        <v>46</v>
      </c>
      <c r="F44" s="47" t="s">
        <v>87</v>
      </c>
      <c r="G44" s="47" t="s">
        <v>45</v>
      </c>
      <c r="H44" s="47" t="s">
        <v>41</v>
      </c>
      <c r="I44" s="53">
        <v>56978785698</v>
      </c>
      <c r="J44" s="27" t="s">
        <v>326</v>
      </c>
      <c r="K44" s="27" t="s">
        <v>42</v>
      </c>
      <c r="L44" s="52"/>
      <c r="M44" s="52"/>
      <c r="N44" s="47">
        <f>SUMPRODUCT(Tabla5237[[#This Row],[Paltas]:[Empanadas]],O$102:Z$102)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>
        <f>SUM(Tabla5237[[#This Row],[Paltas]:[Empanadas]])</f>
        <v>0</v>
      </c>
      <c r="AB44" s="58"/>
    </row>
    <row r="45" spans="1:28" outlineLevel="1" x14ac:dyDescent="0.25">
      <c r="A45" s="152"/>
      <c r="B45" s="136" t="s">
        <v>327</v>
      </c>
      <c r="C45" s="47" t="s">
        <v>328</v>
      </c>
      <c r="D45" s="47" t="s">
        <v>329</v>
      </c>
      <c r="E45" s="47" t="s">
        <v>46</v>
      </c>
      <c r="F45" s="47" t="s">
        <v>193</v>
      </c>
      <c r="G45" s="47" t="s">
        <v>45</v>
      </c>
      <c r="H45" s="47" t="s">
        <v>41</v>
      </c>
      <c r="I45" s="53">
        <v>56979878976</v>
      </c>
      <c r="J45" s="27" t="s">
        <v>330</v>
      </c>
      <c r="K45" s="27" t="s">
        <v>42</v>
      </c>
      <c r="L45" s="52"/>
      <c r="M45" s="52"/>
      <c r="N45" s="47">
        <f>SUMPRODUCT(Tabla5237[[#This Row],[Paltas]:[Empanadas]],O$102:Z$102)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>
        <f>SUM(Tabla5237[[#This Row],[Paltas]:[Empanadas]])</f>
        <v>0</v>
      </c>
      <c r="AB45" s="58"/>
    </row>
    <row r="46" spans="1:28" outlineLevel="1" x14ac:dyDescent="0.25">
      <c r="A46" s="152"/>
      <c r="B46" s="136" t="s">
        <v>331</v>
      </c>
      <c r="C46" s="47" t="s">
        <v>332</v>
      </c>
      <c r="D46" s="47" t="s">
        <v>333</v>
      </c>
      <c r="E46" s="47" t="s">
        <v>40</v>
      </c>
      <c r="F46" s="47" t="s">
        <v>49</v>
      </c>
      <c r="G46" s="47" t="s">
        <v>51</v>
      </c>
      <c r="H46" s="47" t="s">
        <v>41</v>
      </c>
      <c r="I46" s="53">
        <v>56978189115</v>
      </c>
      <c r="J46" s="27" t="s">
        <v>334</v>
      </c>
      <c r="K46" s="27" t="s">
        <v>48</v>
      </c>
      <c r="L46" s="52"/>
      <c r="M46" s="52"/>
      <c r="N46" s="47">
        <f>SUMPRODUCT(Tabla5237[[#This Row],[Paltas]:[Empanadas]],O$102:Z$102)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>
        <f>SUM(Tabla5237[[#This Row],[Paltas]:[Empanadas]])</f>
        <v>0</v>
      </c>
      <c r="AB46" s="58"/>
    </row>
    <row r="47" spans="1:28" outlineLevel="1" x14ac:dyDescent="0.25">
      <c r="A47" s="152"/>
      <c r="B47" s="136" t="s">
        <v>335</v>
      </c>
      <c r="C47" s="47" t="s">
        <v>336</v>
      </c>
      <c r="D47" s="47" t="s">
        <v>337</v>
      </c>
      <c r="E47" s="47" t="s">
        <v>40</v>
      </c>
      <c r="F47" s="47" t="s">
        <v>49</v>
      </c>
      <c r="G47" s="47" t="s">
        <v>338</v>
      </c>
      <c r="H47" s="47" t="s">
        <v>41</v>
      </c>
      <c r="I47" s="53">
        <v>56971837517</v>
      </c>
      <c r="J47" s="27" t="s">
        <v>339</v>
      </c>
      <c r="K47" s="27" t="s">
        <v>42</v>
      </c>
      <c r="L47" s="52"/>
      <c r="M47" s="52"/>
      <c r="N47" s="47">
        <f>SUMPRODUCT(Tabla5237[[#This Row],[Paltas]:[Empanadas]],O$102:Z$102)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>
        <f>SUM(Tabla5237[[#This Row],[Paltas]:[Empanadas]])</f>
        <v>0</v>
      </c>
      <c r="AB47" s="58"/>
    </row>
    <row r="48" spans="1:28" outlineLevel="1" x14ac:dyDescent="0.25">
      <c r="A48" s="152"/>
      <c r="B48" s="136" t="s">
        <v>145</v>
      </c>
      <c r="C48" s="47" t="s">
        <v>152</v>
      </c>
      <c r="D48" s="47" t="s">
        <v>153</v>
      </c>
      <c r="E48" s="47" t="s">
        <v>46</v>
      </c>
      <c r="F48" s="47" t="s">
        <v>89</v>
      </c>
      <c r="G48" s="47">
        <v>0</v>
      </c>
      <c r="H48" s="47" t="s">
        <v>41</v>
      </c>
      <c r="I48" s="53">
        <v>56954243532</v>
      </c>
      <c r="J48" s="27" t="s">
        <v>154</v>
      </c>
      <c r="K48" s="27" t="s">
        <v>42</v>
      </c>
      <c r="L48" s="52"/>
      <c r="M48" s="52"/>
      <c r="N48" s="47">
        <f>SUMPRODUCT(Tabla5237[[#This Row],[Paltas]:[Empanadas]],O$102:Z$102)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>
        <f>SUM(Tabla5237[[#This Row],[Paltas]:[Empanadas]])</f>
        <v>0</v>
      </c>
      <c r="AB48" s="58"/>
    </row>
    <row r="49" spans="1:28" outlineLevel="1" x14ac:dyDescent="0.25">
      <c r="A49" s="152"/>
      <c r="B49" s="136" t="s">
        <v>145</v>
      </c>
      <c r="C49" s="47" t="s">
        <v>72</v>
      </c>
      <c r="D49" s="47" t="s">
        <v>340</v>
      </c>
      <c r="E49" s="47" t="s">
        <v>46</v>
      </c>
      <c r="F49" s="47" t="s">
        <v>341</v>
      </c>
      <c r="G49" s="47" t="s">
        <v>45</v>
      </c>
      <c r="H49" s="47" t="s">
        <v>41</v>
      </c>
      <c r="I49" s="53">
        <v>56993024442</v>
      </c>
      <c r="J49" s="27" t="s">
        <v>342</v>
      </c>
      <c r="K49" s="27" t="s">
        <v>48</v>
      </c>
      <c r="L49" s="52"/>
      <c r="M49" s="52"/>
      <c r="N49" s="47">
        <f>SUMPRODUCT(Tabla5237[[#This Row],[Paltas]:[Empanadas]],O$102:Z$102)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>
        <f>SUM(Tabla5237[[#This Row],[Paltas]:[Empanadas]])</f>
        <v>0</v>
      </c>
      <c r="AB49" s="58"/>
    </row>
    <row r="50" spans="1:28" outlineLevel="1" x14ac:dyDescent="0.25">
      <c r="A50" s="152"/>
      <c r="B50" s="136" t="s">
        <v>59</v>
      </c>
      <c r="C50" s="47" t="s">
        <v>72</v>
      </c>
      <c r="D50" s="47" t="s">
        <v>73</v>
      </c>
      <c r="E50" s="47" t="s">
        <v>40</v>
      </c>
      <c r="F50" s="47" t="s">
        <v>49</v>
      </c>
      <c r="G50" s="47" t="s">
        <v>53</v>
      </c>
      <c r="H50" s="47" t="s">
        <v>41</v>
      </c>
      <c r="I50" s="53">
        <v>56975684552</v>
      </c>
      <c r="J50" s="27" t="s">
        <v>74</v>
      </c>
      <c r="K50" s="27" t="s">
        <v>48</v>
      </c>
      <c r="L50" s="52"/>
      <c r="M50" s="52"/>
      <c r="N50" s="47">
        <f>SUMPRODUCT(Tabla5237[[#This Row],[Paltas]:[Empanadas]],O$102:Z$102)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>
        <f>SUM(Tabla5237[[#This Row],[Paltas]:[Empanadas]])</f>
        <v>0</v>
      </c>
      <c r="AB50" s="58"/>
    </row>
    <row r="51" spans="1:28" outlineLevel="1" x14ac:dyDescent="0.25">
      <c r="A51" s="152"/>
      <c r="B51" s="136" t="s">
        <v>343</v>
      </c>
      <c r="C51" s="47" t="s">
        <v>344</v>
      </c>
      <c r="D51" s="47" t="s">
        <v>345</v>
      </c>
      <c r="E51" s="47" t="s">
        <v>40</v>
      </c>
      <c r="F51" s="47" t="s">
        <v>75</v>
      </c>
      <c r="G51" s="47" t="s">
        <v>93</v>
      </c>
      <c r="H51" s="47" t="s">
        <v>41</v>
      </c>
      <c r="I51" s="53">
        <v>56998246537</v>
      </c>
      <c r="J51" s="27" t="s">
        <v>346</v>
      </c>
      <c r="K51" s="27" t="s">
        <v>48</v>
      </c>
      <c r="L51" s="52"/>
      <c r="M51" s="52"/>
      <c r="N51" s="47">
        <f>SUMPRODUCT(Tabla5237[[#This Row],[Paltas]:[Empanadas]],O$102:Z$102)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>
        <f>SUM(Tabla5237[[#This Row],[Paltas]:[Empanadas]])</f>
        <v>0</v>
      </c>
      <c r="AB51" s="58"/>
    </row>
    <row r="52" spans="1:28" outlineLevel="1" x14ac:dyDescent="0.25">
      <c r="A52" s="152"/>
      <c r="B52" s="136" t="s">
        <v>62</v>
      </c>
      <c r="C52" s="47" t="s">
        <v>63</v>
      </c>
      <c r="D52" s="47" t="s">
        <v>64</v>
      </c>
      <c r="E52" s="47" t="s">
        <v>40</v>
      </c>
      <c r="F52" s="47" t="s">
        <v>49</v>
      </c>
      <c r="G52" s="47" t="s">
        <v>51</v>
      </c>
      <c r="H52" s="47" t="s">
        <v>41</v>
      </c>
      <c r="I52" s="53">
        <v>56952304675</v>
      </c>
      <c r="J52" s="27" t="s">
        <v>65</v>
      </c>
      <c r="K52" s="27" t="s">
        <v>48</v>
      </c>
      <c r="L52" s="52"/>
      <c r="M52" s="52"/>
      <c r="N52" s="47">
        <f>SUMPRODUCT(Tabla5237[[#This Row],[Paltas]:[Empanadas]],O$102:Z$102)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>
        <f>SUM(Tabla5237[[#This Row],[Paltas]:[Empanadas]])</f>
        <v>0</v>
      </c>
      <c r="AB52" s="58"/>
    </row>
    <row r="53" spans="1:28" outlineLevel="1" x14ac:dyDescent="0.25">
      <c r="A53" s="152"/>
      <c r="B53" s="136" t="s">
        <v>331</v>
      </c>
      <c r="C53" s="47" t="s">
        <v>63</v>
      </c>
      <c r="D53" s="47" t="s">
        <v>64</v>
      </c>
      <c r="E53" s="47" t="s">
        <v>40</v>
      </c>
      <c r="F53" s="47" t="s">
        <v>49</v>
      </c>
      <c r="G53" s="47" t="s">
        <v>51</v>
      </c>
      <c r="H53" s="47" t="s">
        <v>41</v>
      </c>
      <c r="I53" s="53">
        <v>56994178481</v>
      </c>
      <c r="J53" s="27" t="s">
        <v>347</v>
      </c>
      <c r="K53" s="27" t="s">
        <v>48</v>
      </c>
      <c r="L53" s="52"/>
      <c r="M53" s="52"/>
      <c r="N53" s="47">
        <f>SUMPRODUCT(Tabla5237[[#This Row],[Paltas]:[Empanadas]],O$102:Z$102)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>
        <f>SUM(Tabla5237[[#This Row],[Paltas]:[Empanadas]])</f>
        <v>0</v>
      </c>
      <c r="AB53" s="58"/>
    </row>
    <row r="54" spans="1:28" outlineLevel="1" x14ac:dyDescent="0.25">
      <c r="A54" s="152"/>
      <c r="B54" s="136" t="s">
        <v>122</v>
      </c>
      <c r="C54" s="47" t="s">
        <v>348</v>
      </c>
      <c r="D54" s="47" t="s">
        <v>349</v>
      </c>
      <c r="E54" s="47" t="s">
        <v>43</v>
      </c>
      <c r="F54" s="47" t="s">
        <v>44</v>
      </c>
      <c r="G54" s="47">
        <v>0</v>
      </c>
      <c r="H54" s="47" t="s">
        <v>41</v>
      </c>
      <c r="I54" s="53">
        <v>56978647106</v>
      </c>
      <c r="J54" s="27" t="s">
        <v>350</v>
      </c>
      <c r="K54" s="27" t="s">
        <v>54</v>
      </c>
      <c r="L54" s="52"/>
      <c r="M54" s="52"/>
      <c r="N54" s="47">
        <f>SUMPRODUCT(Tabla5237[[#This Row],[Paltas]:[Empanadas]],O$102:Z$102)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>
        <f>SUM(Tabla5237[[#This Row],[Paltas]:[Empanadas]])</f>
        <v>0</v>
      </c>
      <c r="AB54" s="58"/>
    </row>
    <row r="55" spans="1:28" outlineLevel="1" x14ac:dyDescent="0.25">
      <c r="A55" s="152"/>
      <c r="B55" s="136" t="s">
        <v>155</v>
      </c>
      <c r="C55" s="47" t="s">
        <v>156</v>
      </c>
      <c r="D55" s="47" t="s">
        <v>157</v>
      </c>
      <c r="E55" s="47" t="s">
        <v>40</v>
      </c>
      <c r="F55" s="47" t="s">
        <v>49</v>
      </c>
      <c r="G55" s="47" t="s">
        <v>53</v>
      </c>
      <c r="H55" s="47" t="s">
        <v>41</v>
      </c>
      <c r="I55" s="53">
        <v>56987143347</v>
      </c>
      <c r="J55" s="27" t="s">
        <v>158</v>
      </c>
      <c r="K55" s="27" t="s">
        <v>48</v>
      </c>
      <c r="L55" s="52"/>
      <c r="M55" s="52"/>
      <c r="N55" s="47">
        <f>SUMPRODUCT(Tabla5237[[#This Row],[Paltas]:[Empanadas]],O$102:Z$102)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>
        <f>SUM(Tabla5237[[#This Row],[Paltas]:[Empanadas]])</f>
        <v>0</v>
      </c>
      <c r="AB55" s="58"/>
    </row>
    <row r="56" spans="1:28" outlineLevel="1" x14ac:dyDescent="0.25">
      <c r="A56" s="152"/>
      <c r="B56" s="136" t="s">
        <v>351</v>
      </c>
      <c r="C56" s="47" t="s">
        <v>352</v>
      </c>
      <c r="D56" s="47" t="s">
        <v>353</v>
      </c>
      <c r="E56" s="47" t="s">
        <v>135</v>
      </c>
      <c r="F56" s="47" t="s">
        <v>189</v>
      </c>
      <c r="G56" s="47" t="s">
        <v>53</v>
      </c>
      <c r="H56" s="47" t="s">
        <v>41</v>
      </c>
      <c r="I56" s="53">
        <v>56984695829</v>
      </c>
      <c r="J56" s="27" t="s">
        <v>354</v>
      </c>
      <c r="K56" s="27" t="s">
        <v>48</v>
      </c>
      <c r="L56" s="52"/>
      <c r="M56" s="52"/>
      <c r="N56" s="47">
        <f>SUMPRODUCT(Tabla5237[[#This Row],[Paltas]:[Empanadas]],O$102:Z$102)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>
        <f>SUM(Tabla5237[[#This Row],[Paltas]:[Empanadas]])</f>
        <v>0</v>
      </c>
      <c r="AB56" s="58"/>
    </row>
    <row r="57" spans="1:28" outlineLevel="1" x14ac:dyDescent="0.25">
      <c r="A57" s="152"/>
      <c r="B57" s="136" t="s">
        <v>122</v>
      </c>
      <c r="C57" s="47" t="s">
        <v>123</v>
      </c>
      <c r="D57" s="47" t="s">
        <v>124</v>
      </c>
      <c r="E57" s="47" t="s">
        <v>40</v>
      </c>
      <c r="F57" s="47" t="s">
        <v>49</v>
      </c>
      <c r="G57" s="47" t="s">
        <v>125</v>
      </c>
      <c r="H57" s="47" t="s">
        <v>41</v>
      </c>
      <c r="I57" s="53">
        <v>56968320616</v>
      </c>
      <c r="J57" s="27" t="s">
        <v>126</v>
      </c>
      <c r="K57" s="27" t="s">
        <v>54</v>
      </c>
      <c r="L57" s="52"/>
      <c r="M57" s="52"/>
      <c r="N57" s="47">
        <f>SUMPRODUCT(Tabla5237[[#This Row],[Paltas]:[Empanadas]],O$102:Z$102)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>
        <f>SUM(Tabla5237[[#This Row],[Paltas]:[Empanadas]])</f>
        <v>0</v>
      </c>
      <c r="AB57" s="58"/>
    </row>
    <row r="58" spans="1:28" outlineLevel="1" x14ac:dyDescent="0.25">
      <c r="A58" s="152"/>
      <c r="B58" s="136" t="s">
        <v>355</v>
      </c>
      <c r="C58" s="47" t="s">
        <v>356</v>
      </c>
      <c r="D58" s="47" t="s">
        <v>357</v>
      </c>
      <c r="E58" s="47" t="s">
        <v>43</v>
      </c>
      <c r="F58" s="47" t="s">
        <v>47</v>
      </c>
      <c r="G58" s="47" t="s">
        <v>358</v>
      </c>
      <c r="H58" s="47" t="s">
        <v>41</v>
      </c>
      <c r="I58" s="53">
        <v>56991997991</v>
      </c>
      <c r="J58" s="27" t="s">
        <v>359</v>
      </c>
      <c r="K58" s="27" t="s">
        <v>48</v>
      </c>
      <c r="L58" s="52"/>
      <c r="M58" s="52"/>
      <c r="N58" s="47">
        <f>SUMPRODUCT(Tabla5237[[#This Row],[Paltas]:[Empanadas]],O$102:Z$102)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>
        <f>SUM(Tabla5237[[#This Row],[Paltas]:[Empanadas]])</f>
        <v>0</v>
      </c>
      <c r="AB58" s="58"/>
    </row>
    <row r="59" spans="1:28" outlineLevel="1" x14ac:dyDescent="0.25">
      <c r="A59" s="152"/>
      <c r="B59" s="136" t="s">
        <v>301</v>
      </c>
      <c r="C59" s="47" t="s">
        <v>360</v>
      </c>
      <c r="D59" s="47" t="s">
        <v>361</v>
      </c>
      <c r="E59" s="47" t="s">
        <v>40</v>
      </c>
      <c r="F59" s="47" t="s">
        <v>75</v>
      </c>
      <c r="G59" s="47" t="s">
        <v>362</v>
      </c>
      <c r="H59" s="47" t="s">
        <v>41</v>
      </c>
      <c r="I59" s="53">
        <v>56974529859</v>
      </c>
      <c r="J59" s="27" t="s">
        <v>363</v>
      </c>
      <c r="K59" s="27" t="s">
        <v>54</v>
      </c>
      <c r="L59" s="52"/>
      <c r="M59" s="52"/>
      <c r="N59" s="47">
        <f>SUMPRODUCT(Tabla5237[[#This Row],[Paltas]:[Empanadas]],O$102:Z$102)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>
        <f>SUM(Tabla5237[[#This Row],[Paltas]:[Empanadas]])</f>
        <v>0</v>
      </c>
      <c r="AB59" s="58"/>
    </row>
    <row r="60" spans="1:28" outlineLevel="1" x14ac:dyDescent="0.25">
      <c r="A60" s="152"/>
      <c r="B60" s="136" t="s">
        <v>364</v>
      </c>
      <c r="C60" s="47" t="s">
        <v>365</v>
      </c>
      <c r="D60" s="47" t="s">
        <v>366</v>
      </c>
      <c r="E60" s="47" t="s">
        <v>40</v>
      </c>
      <c r="F60" s="47" t="s">
        <v>49</v>
      </c>
      <c r="G60" s="47" t="s">
        <v>45</v>
      </c>
      <c r="H60" s="47" t="s">
        <v>245</v>
      </c>
      <c r="I60" s="53">
        <v>56987217393</v>
      </c>
      <c r="J60" s="27" t="s">
        <v>367</v>
      </c>
      <c r="K60" s="27" t="s">
        <v>48</v>
      </c>
      <c r="L60" s="52"/>
      <c r="M60" s="52"/>
      <c r="N60" s="47">
        <f>SUMPRODUCT(Tabla5237[[#This Row],[Paltas]:[Empanadas]],O$102:Z$102)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>
        <f>SUM(Tabla5237[[#This Row],[Paltas]:[Empanadas]])</f>
        <v>0</v>
      </c>
      <c r="AB60" s="58"/>
    </row>
    <row r="61" spans="1:28" outlineLevel="1" x14ac:dyDescent="0.25">
      <c r="A61" s="152"/>
      <c r="B61" s="136" t="s">
        <v>343</v>
      </c>
      <c r="C61" s="47" t="s">
        <v>368</v>
      </c>
      <c r="D61" s="47" t="s">
        <v>369</v>
      </c>
      <c r="E61" s="47" t="s">
        <v>46</v>
      </c>
      <c r="F61" s="47" t="s">
        <v>87</v>
      </c>
      <c r="G61" s="47" t="s">
        <v>45</v>
      </c>
      <c r="H61" s="47" t="s">
        <v>41</v>
      </c>
      <c r="I61" s="53">
        <v>56981207671</v>
      </c>
      <c r="J61" s="27" t="s">
        <v>370</v>
      </c>
      <c r="K61" s="27" t="s">
        <v>54</v>
      </c>
      <c r="L61" s="52"/>
      <c r="M61" s="52"/>
      <c r="N61" s="47">
        <f>SUMPRODUCT(Tabla5237[[#This Row],[Paltas]:[Empanadas]],O$102:Z$102)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>
        <f>SUM(Tabla5237[[#This Row],[Paltas]:[Empanadas]])</f>
        <v>0</v>
      </c>
      <c r="AB61" s="58"/>
    </row>
    <row r="62" spans="1:28" outlineLevel="1" x14ac:dyDescent="0.25">
      <c r="A62" s="152"/>
      <c r="B62" s="136" t="s">
        <v>371</v>
      </c>
      <c r="C62" s="47" t="s">
        <v>368</v>
      </c>
      <c r="D62" s="47" t="s">
        <v>369</v>
      </c>
      <c r="E62" s="47" t="s">
        <v>46</v>
      </c>
      <c r="F62" s="47" t="s">
        <v>87</v>
      </c>
      <c r="G62" s="47" t="s">
        <v>372</v>
      </c>
      <c r="H62" s="47" t="s">
        <v>41</v>
      </c>
      <c r="I62" s="53">
        <v>56995408498</v>
      </c>
      <c r="J62" s="27" t="s">
        <v>373</v>
      </c>
      <c r="K62" s="27" t="s">
        <v>54</v>
      </c>
      <c r="L62" s="52"/>
      <c r="M62" s="52"/>
      <c r="N62" s="47">
        <f>SUMPRODUCT(Tabla5237[[#This Row],[Paltas]:[Empanadas]],O$102:Z$102)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>
        <f>SUM(Tabla5237[[#This Row],[Paltas]:[Empanadas]])</f>
        <v>0</v>
      </c>
      <c r="AB62" s="58"/>
    </row>
    <row r="63" spans="1:28" outlineLevel="1" x14ac:dyDescent="0.25">
      <c r="A63" s="152"/>
      <c r="B63" s="136" t="s">
        <v>127</v>
      </c>
      <c r="C63" s="47" t="s">
        <v>128</v>
      </c>
      <c r="D63" s="47" t="s">
        <v>129</v>
      </c>
      <c r="E63" s="47" t="s">
        <v>43</v>
      </c>
      <c r="F63" s="47" t="s">
        <v>47</v>
      </c>
      <c r="G63" s="47" t="s">
        <v>110</v>
      </c>
      <c r="H63" s="47" t="s">
        <v>41</v>
      </c>
      <c r="I63" s="53">
        <v>56956481962</v>
      </c>
      <c r="J63" s="27" t="s">
        <v>130</v>
      </c>
      <c r="K63" s="27" t="s">
        <v>48</v>
      </c>
      <c r="L63" s="52"/>
      <c r="M63" s="52"/>
      <c r="N63" s="47">
        <f>SUMPRODUCT(Tabla5237[[#This Row],[Paltas]:[Empanadas]],O$102:Z$102)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>
        <f>SUM(Tabla5237[[#This Row],[Paltas]:[Empanadas]])</f>
        <v>0</v>
      </c>
      <c r="AB63" s="58"/>
    </row>
    <row r="64" spans="1:28" outlineLevel="1" x14ac:dyDescent="0.25">
      <c r="A64" s="152"/>
      <c r="B64" s="136" t="s">
        <v>374</v>
      </c>
      <c r="C64" s="47" t="s">
        <v>375</v>
      </c>
      <c r="D64" s="47" t="s">
        <v>376</v>
      </c>
      <c r="E64" s="47" t="s">
        <v>43</v>
      </c>
      <c r="F64" s="47" t="s">
        <v>144</v>
      </c>
      <c r="G64" s="47" t="s">
        <v>110</v>
      </c>
      <c r="H64" s="47" t="s">
        <v>41</v>
      </c>
      <c r="I64" s="53">
        <v>56979980568</v>
      </c>
      <c r="J64" s="27" t="s">
        <v>377</v>
      </c>
      <c r="K64" s="27" t="s">
        <v>48</v>
      </c>
      <c r="L64" s="52"/>
      <c r="M64" s="52"/>
      <c r="N64" s="47">
        <f>SUMPRODUCT(Tabla5237[[#This Row],[Paltas]:[Empanadas]],O$102:Z$102)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>
        <f>SUM(Tabla5237[[#This Row],[Paltas]:[Empanadas]])</f>
        <v>0</v>
      </c>
      <c r="AB64" s="58"/>
    </row>
    <row r="65" spans="1:28" outlineLevel="1" x14ac:dyDescent="0.25">
      <c r="A65" s="152"/>
      <c r="B65" s="136" t="s">
        <v>378</v>
      </c>
      <c r="C65" s="47" t="s">
        <v>379</v>
      </c>
      <c r="D65" s="47" t="s">
        <v>380</v>
      </c>
      <c r="E65" s="47" t="s">
        <v>43</v>
      </c>
      <c r="F65" s="47" t="s">
        <v>144</v>
      </c>
      <c r="G65" s="47" t="s">
        <v>113</v>
      </c>
      <c r="H65" s="47" t="s">
        <v>41</v>
      </c>
      <c r="I65" s="53">
        <v>56998263560</v>
      </c>
      <c r="J65" s="27" t="s">
        <v>381</v>
      </c>
      <c r="K65" s="27" t="s">
        <v>54</v>
      </c>
      <c r="L65" s="52"/>
      <c r="M65" s="52"/>
      <c r="N65" s="47">
        <f>SUMPRODUCT(Tabla5237[[#This Row],[Paltas]:[Empanadas]],O$102:Z$102)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>
        <f>SUM(Tabla5237[[#This Row],[Paltas]:[Empanadas]])</f>
        <v>0</v>
      </c>
      <c r="AB65" s="58"/>
    </row>
    <row r="66" spans="1:28" outlineLevel="1" x14ac:dyDescent="0.25">
      <c r="A66" s="152"/>
      <c r="B66" s="136" t="s">
        <v>310</v>
      </c>
      <c r="C66" s="47" t="s">
        <v>382</v>
      </c>
      <c r="D66" s="47" t="s">
        <v>383</v>
      </c>
      <c r="E66" s="47" t="s">
        <v>43</v>
      </c>
      <c r="F66" s="47" t="s">
        <v>44</v>
      </c>
      <c r="G66" s="47" t="s">
        <v>45</v>
      </c>
      <c r="H66" s="47" t="s">
        <v>41</v>
      </c>
      <c r="I66" s="53">
        <v>56942723186</v>
      </c>
      <c r="J66" s="27" t="s">
        <v>384</v>
      </c>
      <c r="K66" s="27" t="s">
        <v>42</v>
      </c>
      <c r="L66" s="52"/>
      <c r="M66" s="52"/>
      <c r="N66" s="47">
        <f>SUMPRODUCT(Tabla5237[[#This Row],[Paltas]:[Empanadas]],O$102:Z$102)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>
        <f>SUM(Tabla5237[[#This Row],[Paltas]:[Empanadas]])</f>
        <v>0</v>
      </c>
      <c r="AB66" s="58"/>
    </row>
    <row r="67" spans="1:28" outlineLevel="1" x14ac:dyDescent="0.25">
      <c r="A67" s="152"/>
      <c r="B67" s="136" t="s">
        <v>385</v>
      </c>
      <c r="C67" s="47" t="s">
        <v>386</v>
      </c>
      <c r="D67" s="47" t="s">
        <v>387</v>
      </c>
      <c r="E67" s="47" t="s">
        <v>135</v>
      </c>
      <c r="F67" s="47" t="s">
        <v>189</v>
      </c>
      <c r="G67" s="47" t="s">
        <v>53</v>
      </c>
      <c r="H67" s="47" t="s">
        <v>41</v>
      </c>
      <c r="I67" s="53">
        <v>56996310424</v>
      </c>
      <c r="J67" s="27" t="s">
        <v>388</v>
      </c>
      <c r="K67" s="27" t="s">
        <v>48</v>
      </c>
      <c r="L67" s="52"/>
      <c r="M67" s="52"/>
      <c r="N67" s="47">
        <f>SUMPRODUCT(Tabla5237[[#This Row],[Paltas]:[Empanadas]],O$102:Z$102)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>
        <f>SUM(Tabla5237[[#This Row],[Paltas]:[Empanadas]])</f>
        <v>0</v>
      </c>
      <c r="AB67" s="58"/>
    </row>
    <row r="68" spans="1:28" outlineLevel="1" x14ac:dyDescent="0.25">
      <c r="A68" s="152"/>
      <c r="B68" s="135" t="s">
        <v>98</v>
      </c>
      <c r="C68" s="48" t="s">
        <v>99</v>
      </c>
      <c r="D68" s="59" t="s">
        <v>100</v>
      </c>
      <c r="E68" s="59" t="s">
        <v>40</v>
      </c>
      <c r="F68" s="59" t="s">
        <v>49</v>
      </c>
      <c r="G68" s="59" t="s">
        <v>76</v>
      </c>
      <c r="H68" s="59" t="s">
        <v>41</v>
      </c>
      <c r="I68" s="60">
        <v>56974397201</v>
      </c>
      <c r="J68" s="27" t="s">
        <v>101</v>
      </c>
      <c r="K68" s="27" t="s">
        <v>54</v>
      </c>
      <c r="L68" s="52"/>
      <c r="M68" s="52"/>
      <c r="N68" s="47">
        <f>SUMPRODUCT(Tabla5237[[#This Row],[Paltas]:[Empanadas]],O$102:Z$102)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>
        <f>SUM(Tabla5237[[#This Row],[Paltas]:[Empanadas]])</f>
        <v>0</v>
      </c>
      <c r="AB68" s="58"/>
    </row>
    <row r="69" spans="1:28" outlineLevel="1" x14ac:dyDescent="0.25">
      <c r="A69" s="152"/>
      <c r="B69" s="135" t="s">
        <v>180</v>
      </c>
      <c r="C69" s="48" t="s">
        <v>181</v>
      </c>
      <c r="D69" s="59" t="s">
        <v>182</v>
      </c>
      <c r="E69" s="59" t="s">
        <v>40</v>
      </c>
      <c r="F69" s="59" t="s">
        <v>49</v>
      </c>
      <c r="G69" s="59" t="s">
        <v>183</v>
      </c>
      <c r="H69" s="59" t="s">
        <v>41</v>
      </c>
      <c r="I69" s="60">
        <v>56964829508</v>
      </c>
      <c r="J69" s="27" t="s">
        <v>184</v>
      </c>
      <c r="K69" s="27" t="s">
        <v>48</v>
      </c>
      <c r="L69" s="52"/>
      <c r="M69" s="52"/>
      <c r="N69" s="47">
        <f>SUMPRODUCT(Tabla5237[[#This Row],[Paltas]:[Empanadas]],O$102:Z$102)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>
        <f>SUM(Tabla5237[[#This Row],[Paltas]:[Empanadas]])</f>
        <v>0</v>
      </c>
      <c r="AB69" s="58"/>
    </row>
    <row r="70" spans="1:28" outlineLevel="1" x14ac:dyDescent="0.25">
      <c r="A70" s="152"/>
      <c r="B70" s="135" t="s">
        <v>251</v>
      </c>
      <c r="C70" s="48" t="s">
        <v>389</v>
      </c>
      <c r="D70" s="59" t="s">
        <v>390</v>
      </c>
      <c r="E70" s="59" t="s">
        <v>135</v>
      </c>
      <c r="F70" s="59" t="s">
        <v>189</v>
      </c>
      <c r="G70" s="59" t="s">
        <v>76</v>
      </c>
      <c r="H70" s="59" t="s">
        <v>41</v>
      </c>
      <c r="I70" s="60">
        <v>56979769748</v>
      </c>
      <c r="J70" s="27" t="s">
        <v>391</v>
      </c>
      <c r="K70" s="27" t="s">
        <v>42</v>
      </c>
      <c r="L70" s="52"/>
      <c r="M70" s="52"/>
      <c r="N70" s="47">
        <f>SUMPRODUCT(Tabla5237[[#This Row],[Paltas]:[Empanadas]],O$102:Z$102)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>
        <f>SUM(Tabla5237[[#This Row],[Paltas]:[Empanadas]])</f>
        <v>0</v>
      </c>
      <c r="AB70" s="58"/>
    </row>
    <row r="71" spans="1:28" outlineLevel="1" x14ac:dyDescent="0.25">
      <c r="A71" s="152"/>
      <c r="B71" s="135" t="s">
        <v>335</v>
      </c>
      <c r="C71" s="48" t="s">
        <v>392</v>
      </c>
      <c r="D71" s="59" t="s">
        <v>393</v>
      </c>
      <c r="E71" s="59" t="s">
        <v>46</v>
      </c>
      <c r="F71" s="59" t="s">
        <v>278</v>
      </c>
      <c r="G71" s="59" t="s">
        <v>45</v>
      </c>
      <c r="H71" s="59" t="s">
        <v>41</v>
      </c>
      <c r="I71" s="60">
        <v>56999699652</v>
      </c>
      <c r="J71" s="27" t="s">
        <v>394</v>
      </c>
      <c r="K71" s="27" t="s">
        <v>42</v>
      </c>
      <c r="L71" s="52"/>
      <c r="M71" s="52"/>
      <c r="N71" s="47">
        <f>SUMPRODUCT(Tabla5237[[#This Row],[Paltas]:[Empanadas]],O$102:Z$102)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>
        <f>SUM(Tabla5237[[#This Row],[Paltas]:[Empanadas]])</f>
        <v>0</v>
      </c>
      <c r="AB71" s="58"/>
    </row>
    <row r="72" spans="1:28" outlineLevel="1" x14ac:dyDescent="0.25">
      <c r="A72" s="152"/>
      <c r="B72" s="135" t="s">
        <v>395</v>
      </c>
      <c r="C72" s="48" t="s">
        <v>50</v>
      </c>
      <c r="D72" s="59" t="s">
        <v>396</v>
      </c>
      <c r="E72" s="59" t="s">
        <v>46</v>
      </c>
      <c r="F72" s="59" t="s">
        <v>341</v>
      </c>
      <c r="G72" s="59" t="s">
        <v>53</v>
      </c>
      <c r="H72" s="59" t="s">
        <v>41</v>
      </c>
      <c r="I72" s="60">
        <v>56957230044</v>
      </c>
      <c r="J72" s="27" t="s">
        <v>397</v>
      </c>
      <c r="K72" s="27" t="s">
        <v>42</v>
      </c>
      <c r="L72" s="52"/>
      <c r="M72" s="52"/>
      <c r="N72" s="47">
        <f>SUMPRODUCT(Tabla5237[[#This Row],[Paltas]:[Empanadas]],O$102:Z$102)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>
        <f>SUM(Tabla5237[[#This Row],[Paltas]:[Empanadas]])</f>
        <v>0</v>
      </c>
      <c r="AB72" s="58"/>
    </row>
    <row r="73" spans="1:28" outlineLevel="1" x14ac:dyDescent="0.25">
      <c r="A73" s="152"/>
      <c r="B73" s="135" t="s">
        <v>94</v>
      </c>
      <c r="C73" s="48" t="s">
        <v>50</v>
      </c>
      <c r="D73" s="59" t="s">
        <v>95</v>
      </c>
      <c r="E73" s="59" t="s">
        <v>40</v>
      </c>
      <c r="F73" s="59" t="s">
        <v>49</v>
      </c>
      <c r="G73" s="59" t="s">
        <v>51</v>
      </c>
      <c r="H73" s="59" t="s">
        <v>41</v>
      </c>
      <c r="I73" s="60">
        <v>56966640363</v>
      </c>
      <c r="J73" s="27" t="s">
        <v>96</v>
      </c>
      <c r="K73" s="27" t="s">
        <v>48</v>
      </c>
      <c r="L73" s="52"/>
      <c r="M73" s="52"/>
      <c r="N73" s="70">
        <f>SUMPRODUCT(Tabla5237[[#This Row],[Paltas]:[Empanadas]],O$102:Z$102)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>
        <f>SUM(Tabla5237[[#This Row],[Paltas]:[Empanadas]])</f>
        <v>0</v>
      </c>
      <c r="AB73" s="58"/>
    </row>
    <row r="74" spans="1:28" outlineLevel="1" x14ac:dyDescent="0.25">
      <c r="A74" s="152"/>
      <c r="B74" s="135" t="s">
        <v>229</v>
      </c>
      <c r="C74" s="48" t="s">
        <v>398</v>
      </c>
      <c r="D74" s="59" t="s">
        <v>399</v>
      </c>
      <c r="E74" s="59" t="s">
        <v>46</v>
      </c>
      <c r="F74" s="59" t="s">
        <v>193</v>
      </c>
      <c r="G74" s="59" t="s">
        <v>400</v>
      </c>
      <c r="H74" s="59" t="s">
        <v>41</v>
      </c>
      <c r="I74" s="60">
        <v>56973979384</v>
      </c>
      <c r="J74" s="27" t="s">
        <v>401</v>
      </c>
      <c r="K74" s="27" t="s">
        <v>48</v>
      </c>
      <c r="L74" s="52"/>
      <c r="M74" s="52"/>
      <c r="N74" s="70">
        <f>SUMPRODUCT(Tabla5237[[#This Row],[Paltas]:[Empanadas]],O$102:Z$102)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>
        <f>SUM(Tabla5237[[#This Row],[Paltas]:[Empanadas]])</f>
        <v>0</v>
      </c>
      <c r="AB74" s="58"/>
    </row>
    <row r="75" spans="1:28" outlineLevel="1" x14ac:dyDescent="0.25">
      <c r="A75" s="152"/>
      <c r="B75" s="135" t="s">
        <v>402</v>
      </c>
      <c r="C75" s="48" t="s">
        <v>398</v>
      </c>
      <c r="D75" s="59" t="s">
        <v>403</v>
      </c>
      <c r="E75" s="59" t="s">
        <v>46</v>
      </c>
      <c r="F75" s="59" t="s">
        <v>87</v>
      </c>
      <c r="G75" s="59">
        <v>0</v>
      </c>
      <c r="H75" s="59" t="s">
        <v>41</v>
      </c>
      <c r="I75" s="60">
        <v>56957850035</v>
      </c>
      <c r="J75" s="27" t="s">
        <v>404</v>
      </c>
      <c r="K75" s="27" t="s">
        <v>42</v>
      </c>
      <c r="L75" s="52"/>
      <c r="M75" s="52"/>
      <c r="N75" s="70">
        <f>SUMPRODUCT(Tabla5237[[#This Row],[Paltas]:[Empanadas]],O$102:Z$102)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>
        <f>SUM(Tabla5237[[#This Row],[Paltas]:[Empanadas]])</f>
        <v>0</v>
      </c>
      <c r="AB75" s="58"/>
    </row>
    <row r="76" spans="1:28" outlineLevel="1" x14ac:dyDescent="0.25">
      <c r="A76" s="152"/>
      <c r="B76" s="135" t="s">
        <v>107</v>
      </c>
      <c r="C76" s="48" t="s">
        <v>108</v>
      </c>
      <c r="D76" s="59" t="s">
        <v>109</v>
      </c>
      <c r="E76" s="59" t="s">
        <v>43</v>
      </c>
      <c r="F76" s="59" t="s">
        <v>47</v>
      </c>
      <c r="G76" s="59" t="s">
        <v>110</v>
      </c>
      <c r="H76" s="59" t="s">
        <v>41</v>
      </c>
      <c r="I76" s="60">
        <v>56975580528</v>
      </c>
      <c r="J76" s="27" t="s">
        <v>111</v>
      </c>
      <c r="K76" s="27" t="s">
        <v>42</v>
      </c>
      <c r="L76" s="52"/>
      <c r="M76" s="52"/>
      <c r="N76" s="70">
        <f>SUMPRODUCT(Tabla5237[[#This Row],[Paltas]:[Empanadas]],O$102:Z$102)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>
        <f>SUM(Tabla5237[[#This Row],[Paltas]:[Empanadas]])</f>
        <v>0</v>
      </c>
      <c r="AB76" s="58"/>
    </row>
    <row r="77" spans="1:28" outlineLevel="1" x14ac:dyDescent="0.25">
      <c r="A77" s="152"/>
      <c r="B77" s="135" t="s">
        <v>159</v>
      </c>
      <c r="C77" s="48" t="s">
        <v>156</v>
      </c>
      <c r="D77" s="59">
        <v>0</v>
      </c>
      <c r="E77" s="59">
        <v>0</v>
      </c>
      <c r="F77" s="59">
        <v>0</v>
      </c>
      <c r="G77" s="59">
        <v>0</v>
      </c>
      <c r="H77" s="59" t="s">
        <v>41</v>
      </c>
      <c r="I77" s="60">
        <v>0</v>
      </c>
      <c r="J77" s="27">
        <v>0</v>
      </c>
      <c r="K77" s="27" t="s">
        <v>48</v>
      </c>
      <c r="L77" s="52"/>
      <c r="M77" s="52"/>
      <c r="N77" s="70">
        <f>SUMPRODUCT(Tabla5237[[#This Row],[Paltas]:[Empanadas]],O$102:Z$102)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>
        <f>SUM(Tabla5237[[#This Row],[Paltas]:[Empanadas]])</f>
        <v>0</v>
      </c>
      <c r="AB77" s="58"/>
    </row>
    <row r="78" spans="1:28" outlineLevel="1" x14ac:dyDescent="0.25">
      <c r="A78" s="152"/>
      <c r="B78" s="135" t="s">
        <v>103</v>
      </c>
      <c r="C78" s="48" t="s">
        <v>104</v>
      </c>
      <c r="D78" s="59" t="s">
        <v>106</v>
      </c>
      <c r="E78" s="59" t="s">
        <v>46</v>
      </c>
      <c r="F78" s="59" t="s">
        <v>87</v>
      </c>
      <c r="G78" s="59" t="s">
        <v>45</v>
      </c>
      <c r="H78" s="59" t="s">
        <v>41</v>
      </c>
      <c r="I78" s="60">
        <v>56997792386</v>
      </c>
      <c r="J78" s="27" t="s">
        <v>105</v>
      </c>
      <c r="K78" s="27" t="s">
        <v>42</v>
      </c>
      <c r="L78" s="52"/>
      <c r="M78" s="52"/>
      <c r="N78" s="70">
        <f>SUMPRODUCT(Tabla5237[[#This Row],[Paltas]:[Empanadas]],O$102:Z$102)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>
        <f>SUM(Tabla5237[[#This Row],[Paltas]:[Empanadas]])</f>
        <v>0</v>
      </c>
      <c r="AB78" s="58"/>
    </row>
    <row r="79" spans="1:28" outlineLevel="1" x14ac:dyDescent="0.25">
      <c r="A79" s="152"/>
      <c r="B79" s="135" t="s">
        <v>131</v>
      </c>
      <c r="C79" s="48" t="s">
        <v>132</v>
      </c>
      <c r="D79" s="59" t="s">
        <v>133</v>
      </c>
      <c r="E79" s="59" t="s">
        <v>46</v>
      </c>
      <c r="F79" s="59" t="s">
        <v>44</v>
      </c>
      <c r="G79" s="59" t="s">
        <v>88</v>
      </c>
      <c r="H79" s="59" t="s">
        <v>41</v>
      </c>
      <c r="I79" s="60">
        <v>56994792301</v>
      </c>
      <c r="J79" s="27" t="s">
        <v>134</v>
      </c>
      <c r="K79" s="27" t="s">
        <v>54</v>
      </c>
      <c r="L79" s="52"/>
      <c r="M79" s="52"/>
      <c r="N79" s="70">
        <f>SUMPRODUCT(Tabla5237[[#This Row],[Paltas]:[Empanadas]],O$102:Z$102)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>
        <f>SUM(Tabla5237[[#This Row],[Paltas]:[Empanadas]])</f>
        <v>0</v>
      </c>
      <c r="AB79" s="58"/>
    </row>
    <row r="80" spans="1:28" outlineLevel="1" x14ac:dyDescent="0.25">
      <c r="A80" s="152"/>
      <c r="B80" s="135" t="s">
        <v>139</v>
      </c>
      <c r="C80" s="48" t="s">
        <v>140</v>
      </c>
      <c r="D80" s="59" t="s">
        <v>141</v>
      </c>
      <c r="E80" s="59" t="s">
        <v>40</v>
      </c>
      <c r="F80" s="59" t="s">
        <v>75</v>
      </c>
      <c r="G80" s="59" t="s">
        <v>93</v>
      </c>
      <c r="H80" s="59" t="s">
        <v>41</v>
      </c>
      <c r="I80" s="60">
        <v>56991592586</v>
      </c>
      <c r="J80" s="27" t="s">
        <v>142</v>
      </c>
      <c r="K80" s="27" t="s">
        <v>42</v>
      </c>
      <c r="L80" s="52"/>
      <c r="M80" s="52"/>
      <c r="N80" s="70">
        <f>SUMPRODUCT(Tabla5237[[#This Row],[Paltas]:[Empanadas]],O$102:Z$102)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>
        <f>SUM(Tabla5237[[#This Row],[Paltas]:[Empanadas]])</f>
        <v>0</v>
      </c>
      <c r="AB80" s="58"/>
    </row>
    <row r="81" spans="1:28" outlineLevel="1" x14ac:dyDescent="0.25">
      <c r="A81" s="152"/>
      <c r="B81" s="135" t="s">
        <v>136</v>
      </c>
      <c r="C81" s="48" t="s">
        <v>137</v>
      </c>
      <c r="D81" s="59" t="s">
        <v>172</v>
      </c>
      <c r="E81" s="59" t="s">
        <v>40</v>
      </c>
      <c r="F81" s="59" t="s">
        <v>75</v>
      </c>
      <c r="G81" s="59" t="s">
        <v>113</v>
      </c>
      <c r="H81" s="59" t="s">
        <v>41</v>
      </c>
      <c r="I81" s="60">
        <v>56992704205</v>
      </c>
      <c r="J81" s="27" t="s">
        <v>173</v>
      </c>
      <c r="K81" s="27" t="s">
        <v>54</v>
      </c>
      <c r="L81" s="52"/>
      <c r="M81" s="52"/>
      <c r="N81" s="70">
        <f>SUMPRODUCT(Tabla5237[[#This Row],[Paltas]:[Empanadas]],O$102:Z$102)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>
        <f>SUM(Tabla5237[[#This Row],[Paltas]:[Empanadas]])</f>
        <v>0</v>
      </c>
      <c r="AB81" s="58"/>
    </row>
    <row r="82" spans="1:28" outlineLevel="1" x14ac:dyDescent="0.25">
      <c r="A82" s="152"/>
      <c r="B82" s="135" t="s">
        <v>122</v>
      </c>
      <c r="C82" s="48" t="s">
        <v>143</v>
      </c>
      <c r="D82" s="59" t="s">
        <v>160</v>
      </c>
      <c r="E82" s="59" t="s">
        <v>40</v>
      </c>
      <c r="F82" s="59" t="s">
        <v>49</v>
      </c>
      <c r="G82" s="59" t="s">
        <v>45</v>
      </c>
      <c r="H82" s="59" t="s">
        <v>41</v>
      </c>
      <c r="I82" s="60">
        <v>56997594184</v>
      </c>
      <c r="J82" s="27" t="s">
        <v>161</v>
      </c>
      <c r="K82" s="27" t="s">
        <v>48</v>
      </c>
      <c r="L82" s="52"/>
      <c r="M82" s="52"/>
      <c r="N82" s="70">
        <f>SUMPRODUCT(Tabla5237[[#This Row],[Paltas]:[Empanadas]],O$102:Z$102)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>
        <f>SUM(Tabla5237[[#This Row],[Paltas]:[Empanadas]])</f>
        <v>0</v>
      </c>
      <c r="AB82" s="58"/>
    </row>
    <row r="83" spans="1:28" outlineLevel="1" x14ac:dyDescent="0.25">
      <c r="A83" s="152"/>
      <c r="B83" s="135" t="s">
        <v>405</v>
      </c>
      <c r="C83" s="48" t="s">
        <v>406</v>
      </c>
      <c r="D83" s="59" t="s">
        <v>407</v>
      </c>
      <c r="E83" s="59" t="s">
        <v>40</v>
      </c>
      <c r="F83" s="59" t="s">
        <v>75</v>
      </c>
      <c r="G83" s="59">
        <v>0</v>
      </c>
      <c r="H83" s="59" t="s">
        <v>41</v>
      </c>
      <c r="I83" s="60">
        <v>56966082903</v>
      </c>
      <c r="J83" s="27" t="s">
        <v>408</v>
      </c>
      <c r="K83" s="27" t="s">
        <v>54</v>
      </c>
      <c r="L83" s="52"/>
      <c r="M83" s="52"/>
      <c r="N83" s="70">
        <f>SUMPRODUCT(Tabla5237[[#This Row],[Paltas]:[Empanadas]],O$102:Z$102)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>
        <f>SUM(Tabla5237[[#This Row],[Paltas]:[Empanadas]])</f>
        <v>0</v>
      </c>
      <c r="AB83" s="58"/>
    </row>
    <row r="84" spans="1:28" outlineLevel="1" x14ac:dyDescent="0.25">
      <c r="A84" s="152"/>
      <c r="B84" s="135" t="s">
        <v>159</v>
      </c>
      <c r="C84" s="48" t="s">
        <v>162</v>
      </c>
      <c r="D84" s="59" t="s">
        <v>163</v>
      </c>
      <c r="E84" s="59" t="s">
        <v>135</v>
      </c>
      <c r="F84" s="59" t="s">
        <v>151</v>
      </c>
      <c r="G84" s="59" t="s">
        <v>45</v>
      </c>
      <c r="H84" s="59" t="s">
        <v>41</v>
      </c>
      <c r="I84" s="60">
        <v>56979312762</v>
      </c>
      <c r="J84" s="27" t="s">
        <v>164</v>
      </c>
      <c r="K84" s="27" t="s">
        <v>48</v>
      </c>
      <c r="L84" s="52"/>
      <c r="M84" s="52"/>
      <c r="N84" s="70">
        <f>SUMPRODUCT(Tabla5237[[#This Row],[Paltas]:[Empanadas]],O$102:Z$102)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>
        <f>SUM(Tabla5237[[#This Row],[Paltas]:[Empanadas]])</f>
        <v>0</v>
      </c>
      <c r="AB84" s="58"/>
    </row>
    <row r="85" spans="1:28" outlineLevel="1" x14ac:dyDescent="0.25">
      <c r="A85" s="152"/>
      <c r="B85" s="135" t="s">
        <v>115</v>
      </c>
      <c r="C85" s="48" t="s">
        <v>409</v>
      </c>
      <c r="D85" s="59" t="s">
        <v>410</v>
      </c>
      <c r="E85" s="59" t="s">
        <v>43</v>
      </c>
      <c r="F85" s="59">
        <v>0</v>
      </c>
      <c r="G85" s="59" t="s">
        <v>53</v>
      </c>
      <c r="H85" s="59" t="s">
        <v>41</v>
      </c>
      <c r="I85" s="60">
        <v>56982930856</v>
      </c>
      <c r="J85" s="27" t="s">
        <v>411</v>
      </c>
      <c r="K85" s="27" t="s">
        <v>42</v>
      </c>
      <c r="L85" s="52"/>
      <c r="M85" s="52"/>
      <c r="N85" s="70">
        <f>SUMPRODUCT(Tabla5237[[#This Row],[Paltas]:[Empanadas]],O$102:Z$102)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>
        <f>SUM(Tabla5237[[#This Row],[Paltas]:[Empanadas]])</f>
        <v>0</v>
      </c>
      <c r="AB85" s="58"/>
    </row>
    <row r="86" spans="1:28" outlineLevel="1" x14ac:dyDescent="0.25">
      <c r="A86" s="152"/>
      <c r="B86" s="135" t="s">
        <v>150</v>
      </c>
      <c r="C86" s="48" t="s">
        <v>165</v>
      </c>
      <c r="D86" s="59" t="s">
        <v>200</v>
      </c>
      <c r="E86" s="59" t="s">
        <v>43</v>
      </c>
      <c r="F86" s="59" t="s">
        <v>47</v>
      </c>
      <c r="G86" s="59" t="s">
        <v>167</v>
      </c>
      <c r="H86" s="59" t="s">
        <v>41</v>
      </c>
      <c r="I86" s="60">
        <v>56999194650</v>
      </c>
      <c r="J86" s="27" t="s">
        <v>168</v>
      </c>
      <c r="K86" s="27" t="s">
        <v>42</v>
      </c>
      <c r="L86" s="52"/>
      <c r="M86" s="52"/>
      <c r="N86" s="70">
        <f>SUMPRODUCT(Tabla5237[[#This Row],[Paltas]:[Empanadas]],O$102:Z$102)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>
        <f>SUM(Tabla5237[[#This Row],[Paltas]:[Empanadas]])</f>
        <v>0</v>
      </c>
      <c r="AB86" s="58"/>
    </row>
    <row r="87" spans="1:28" outlineLevel="1" x14ac:dyDescent="0.25">
      <c r="A87" s="152"/>
      <c r="B87" s="135" t="s">
        <v>169</v>
      </c>
      <c r="C87" s="48" t="s">
        <v>170</v>
      </c>
      <c r="D87" s="59" t="s">
        <v>174</v>
      </c>
      <c r="E87" s="59" t="s">
        <v>46</v>
      </c>
      <c r="F87" s="59" t="s">
        <v>87</v>
      </c>
      <c r="G87" s="59" t="s">
        <v>45</v>
      </c>
      <c r="H87" s="59" t="s">
        <v>41</v>
      </c>
      <c r="I87" s="60">
        <v>56966685970</v>
      </c>
      <c r="J87" s="27" t="s">
        <v>175</v>
      </c>
      <c r="K87" s="27" t="s">
        <v>42</v>
      </c>
      <c r="L87" s="52"/>
      <c r="M87" s="52"/>
      <c r="N87" s="70">
        <f>SUMPRODUCT(Tabla5237[[#This Row],[Paltas]:[Empanadas]],O$102:Z$102)</f>
        <v>0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>
        <f>SUM(Tabla5237[[#This Row],[Paltas]:[Empanadas]])</f>
        <v>0</v>
      </c>
      <c r="AB87" s="58"/>
    </row>
    <row r="88" spans="1:28" outlineLevel="1" x14ac:dyDescent="0.25">
      <c r="A88" s="152"/>
      <c r="B88" s="135" t="s">
        <v>114</v>
      </c>
      <c r="C88" s="48" t="s">
        <v>185</v>
      </c>
      <c r="D88" s="59" t="s">
        <v>206</v>
      </c>
      <c r="E88" s="59" t="s">
        <v>46</v>
      </c>
      <c r="F88" s="59" t="s">
        <v>87</v>
      </c>
      <c r="G88" s="59" t="s">
        <v>110</v>
      </c>
      <c r="H88" s="59" t="s">
        <v>41</v>
      </c>
      <c r="I88" s="60">
        <v>56990163951</v>
      </c>
      <c r="J88" s="27" t="s">
        <v>213</v>
      </c>
      <c r="K88" s="27" t="s">
        <v>48</v>
      </c>
      <c r="L88" s="52"/>
      <c r="M88" s="52"/>
      <c r="N88" s="70">
        <f>SUMPRODUCT(Tabla5237[[#This Row],[Paltas]:[Empanadas]],O$102:Z$102)</f>
        <v>0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>
        <f>SUM(Tabla5237[[#This Row],[Paltas]:[Empanadas]])</f>
        <v>0</v>
      </c>
      <c r="AB88" s="58"/>
    </row>
    <row r="89" spans="1:28" outlineLevel="1" x14ac:dyDescent="0.25">
      <c r="A89" s="152"/>
      <c r="B89" s="135" t="s">
        <v>186</v>
      </c>
      <c r="C89" s="48" t="s">
        <v>128</v>
      </c>
      <c r="D89" s="59" t="s">
        <v>187</v>
      </c>
      <c r="E89" s="59" t="s">
        <v>46</v>
      </c>
      <c r="F89" s="59" t="s">
        <v>87</v>
      </c>
      <c r="G89" s="59">
        <v>0</v>
      </c>
      <c r="H89" s="59" t="s">
        <v>41</v>
      </c>
      <c r="I89" s="60">
        <v>56978945335</v>
      </c>
      <c r="J89" s="27" t="s">
        <v>412</v>
      </c>
      <c r="K89" s="27" t="s">
        <v>48</v>
      </c>
      <c r="L89" s="52"/>
      <c r="M89" s="52"/>
      <c r="N89" s="70">
        <f>SUMPRODUCT(Tabla5237[[#This Row],[Paltas]:[Empanadas]],O$102:Z$102)</f>
        <v>0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>
        <f>SUM(Tabla5237[[#This Row],[Paltas]:[Empanadas]])</f>
        <v>0</v>
      </c>
      <c r="AB89" s="58"/>
    </row>
    <row r="90" spans="1:28" outlineLevel="1" x14ac:dyDescent="0.25">
      <c r="A90" s="152"/>
      <c r="B90" s="135" t="s">
        <v>201</v>
      </c>
      <c r="C90" s="48" t="s">
        <v>202</v>
      </c>
      <c r="D90" s="59">
        <v>0</v>
      </c>
      <c r="E90" s="59">
        <v>0</v>
      </c>
      <c r="F90" s="59">
        <v>0</v>
      </c>
      <c r="G90" s="59">
        <v>0</v>
      </c>
      <c r="H90" s="59">
        <v>0</v>
      </c>
      <c r="I90" s="60">
        <v>0</v>
      </c>
      <c r="J90" s="27">
        <v>0</v>
      </c>
      <c r="K90" s="27" t="s">
        <v>42</v>
      </c>
      <c r="L90" s="52"/>
      <c r="M90" s="52"/>
      <c r="N90" s="70">
        <f>SUMPRODUCT(Tabla5237[[#This Row],[Paltas]:[Empanadas]],O$102:Z$102)</f>
        <v>0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>
        <f>SUM(Tabla5237[[#This Row],[Paltas]:[Empanadas]])</f>
        <v>0</v>
      </c>
      <c r="AB90" s="58"/>
    </row>
    <row r="91" spans="1:28" outlineLevel="1" x14ac:dyDescent="0.25">
      <c r="A91" s="152"/>
      <c r="B91" s="135" t="s">
        <v>150</v>
      </c>
      <c r="C91" s="48" t="s">
        <v>203</v>
      </c>
      <c r="D91" s="59" t="s">
        <v>204</v>
      </c>
      <c r="E91" s="59" t="s">
        <v>40</v>
      </c>
      <c r="F91" s="59" t="s">
        <v>49</v>
      </c>
      <c r="G91" s="59" t="s">
        <v>113</v>
      </c>
      <c r="H91" s="59" t="s">
        <v>41</v>
      </c>
      <c r="I91" s="60">
        <v>56976994719</v>
      </c>
      <c r="J91" s="27" t="s">
        <v>205</v>
      </c>
      <c r="K91" s="27" t="s">
        <v>48</v>
      </c>
      <c r="L91" s="52"/>
      <c r="M91" s="52"/>
      <c r="N91" s="70">
        <f>SUMPRODUCT(Tabla5237[[#This Row],[Paltas]:[Empanadas]],O$102:Z$102)</f>
        <v>0</v>
      </c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>
        <f>SUM(Tabla5237[[#This Row],[Paltas]:[Empanadas]])</f>
        <v>0</v>
      </c>
      <c r="AB91" s="58"/>
    </row>
    <row r="92" spans="1:28" ht="15.75" outlineLevel="1" thickBot="1" x14ac:dyDescent="0.3">
      <c r="A92" s="153"/>
      <c r="B92" s="137" t="s">
        <v>215</v>
      </c>
      <c r="C92" s="14" t="s">
        <v>216</v>
      </c>
      <c r="D92" s="65" t="s">
        <v>413</v>
      </c>
      <c r="E92" s="65" t="s">
        <v>46</v>
      </c>
      <c r="F92" s="65">
        <v>0</v>
      </c>
      <c r="G92" s="65">
        <v>0</v>
      </c>
      <c r="H92" s="65" t="s">
        <v>41</v>
      </c>
      <c r="I92" s="66">
        <v>56977895588</v>
      </c>
      <c r="J92" s="46" t="s">
        <v>217</v>
      </c>
      <c r="K92" s="46" t="s">
        <v>48</v>
      </c>
      <c r="L92" s="16"/>
      <c r="M92" s="16"/>
      <c r="N92" s="71">
        <f>SUMPRODUCT(Tabla5237[[#This Row],[Paltas]:[Empanadas]],O$102:Z$102)</f>
        <v>0</v>
      </c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>
        <f>SUM(Tabla5237[[#This Row],[Paltas]:[Empanadas]])</f>
        <v>0</v>
      </c>
      <c r="AB92" s="45"/>
    </row>
    <row r="93" spans="1:28" outlineLevel="1" x14ac:dyDescent="0.25">
      <c r="A93" s="18"/>
      <c r="B93" s="19"/>
      <c r="C93" s="19"/>
      <c r="D93" s="19"/>
      <c r="E93" s="19"/>
      <c r="F93" s="19"/>
      <c r="G93" s="19"/>
      <c r="H93" s="19"/>
      <c r="I93" s="32"/>
      <c r="J93" s="31"/>
      <c r="K93" s="31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</row>
    <row r="94" spans="1:28" ht="15.75" thickBot="1" x14ac:dyDescent="0.3"/>
    <row r="95" spans="1:28" ht="14.65" customHeight="1" thickBot="1" x14ac:dyDescent="0.3">
      <c r="A95" s="172" t="s">
        <v>20</v>
      </c>
      <c r="B95" s="224" t="s">
        <v>7</v>
      </c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6"/>
      <c r="N95" s="131" t="s">
        <v>9</v>
      </c>
      <c r="O95" s="8">
        <f>SUM(Tabla5237[Paltas])</f>
        <v>0</v>
      </c>
      <c r="P95" s="49">
        <f>SUM(Tabla5237[Quesos])</f>
        <v>0</v>
      </c>
      <c r="Q95" s="49">
        <f>SUM(Tabla5237[Frutillas])</f>
        <v>0</v>
      </c>
      <c r="R95" s="49">
        <f>SUM(Tabla5237[Tomate Cherry])</f>
        <v>0</v>
      </c>
      <c r="S95" s="49">
        <f>SUM(Tabla5237[Nueces])</f>
        <v>0</v>
      </c>
      <c r="T95" s="49">
        <f>SUM(Tabla5237[Mani])</f>
        <v>0</v>
      </c>
      <c r="U95" s="49">
        <f>SUM(Tabla5237[Pistachos])</f>
        <v>0</v>
      </c>
      <c r="V95" s="49">
        <f>SUM(Tabla5237[Caju])</f>
        <v>0</v>
      </c>
      <c r="W95" s="49">
        <f>SUM(Tabla5237[Almendras])</f>
        <v>0</v>
      </c>
      <c r="X95" s="49">
        <f>SUM(Tabla5237[Cerezas])</f>
        <v>0</v>
      </c>
      <c r="Y95" s="49">
        <f>SUM(Tabla5237[Arandanos])</f>
        <v>0</v>
      </c>
      <c r="Z95" s="4">
        <f>SUM(Tabla5237[Empanadas])</f>
        <v>0</v>
      </c>
    </row>
    <row r="96" spans="1:28" ht="14.65" customHeight="1" thickBot="1" x14ac:dyDescent="0.3">
      <c r="A96" s="173"/>
      <c r="B96" s="227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9"/>
      <c r="N96" s="131" t="s">
        <v>28</v>
      </c>
      <c r="O96" s="9">
        <v>5</v>
      </c>
      <c r="P96" s="52">
        <v>4</v>
      </c>
      <c r="Q96" s="52">
        <v>2</v>
      </c>
      <c r="R96" s="37">
        <v>1</v>
      </c>
      <c r="S96" s="73">
        <v>0.5</v>
      </c>
      <c r="T96" s="73">
        <v>1</v>
      </c>
      <c r="U96" s="73">
        <v>0.5</v>
      </c>
      <c r="V96" s="73">
        <v>0.4</v>
      </c>
      <c r="W96" s="73">
        <v>0.5</v>
      </c>
      <c r="X96" s="73">
        <v>5</v>
      </c>
      <c r="Y96" s="73">
        <v>0.5</v>
      </c>
      <c r="Z96" s="38">
        <v>12</v>
      </c>
    </row>
    <row r="97" spans="1:26" ht="14.65" customHeight="1" thickBot="1" x14ac:dyDescent="0.3">
      <c r="A97" s="173"/>
      <c r="B97" s="227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9"/>
      <c r="N97" s="131" t="s">
        <v>8</v>
      </c>
      <c r="O97" s="9">
        <f>O96*O95</f>
        <v>0</v>
      </c>
      <c r="P97" s="52">
        <f t="shared" ref="P97:Z97" si="0">P96*P95</f>
        <v>0</v>
      </c>
      <c r="Q97" s="52">
        <f t="shared" si="0"/>
        <v>0</v>
      </c>
      <c r="R97" s="52">
        <f t="shared" si="0"/>
        <v>0</v>
      </c>
      <c r="S97" s="52">
        <f t="shared" si="0"/>
        <v>0</v>
      </c>
      <c r="T97" s="52">
        <f t="shared" si="0"/>
        <v>0</v>
      </c>
      <c r="U97" s="52">
        <f t="shared" si="0"/>
        <v>0</v>
      </c>
      <c r="V97" s="52">
        <f t="shared" si="0"/>
        <v>0</v>
      </c>
      <c r="W97" s="52">
        <f t="shared" si="0"/>
        <v>0</v>
      </c>
      <c r="X97" s="52">
        <f t="shared" si="0"/>
        <v>0</v>
      </c>
      <c r="Y97" s="52">
        <f t="shared" si="0"/>
        <v>0</v>
      </c>
      <c r="Z97" s="11">
        <f t="shared" si="0"/>
        <v>0</v>
      </c>
    </row>
    <row r="98" spans="1:26" ht="15.75" thickBot="1" x14ac:dyDescent="0.3">
      <c r="A98" s="173"/>
      <c r="B98" s="230"/>
      <c r="C98" s="231"/>
      <c r="D98" s="231"/>
      <c r="E98" s="231"/>
      <c r="F98" s="231"/>
      <c r="G98" s="231"/>
      <c r="H98" s="231"/>
      <c r="I98" s="231"/>
      <c r="J98" s="231"/>
      <c r="K98" s="231"/>
      <c r="L98" s="231"/>
      <c r="M98" s="232"/>
      <c r="N98" s="131" t="s">
        <v>10</v>
      </c>
      <c r="O98" s="10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2"/>
    </row>
    <row r="99" spans="1:26" ht="15.75" thickBot="1" x14ac:dyDescent="0.3">
      <c r="A99" s="173"/>
      <c r="B99" s="132"/>
      <c r="C99" s="19"/>
      <c r="D99" s="23"/>
      <c r="E99" s="24"/>
      <c r="F99" s="24"/>
      <c r="G99" s="24"/>
      <c r="H99" s="24"/>
      <c r="I99" s="24"/>
      <c r="J99" s="24"/>
      <c r="K99" s="25"/>
      <c r="N99" s="3"/>
    </row>
    <row r="100" spans="1:26" ht="15.75" thickBot="1" x14ac:dyDescent="0.3">
      <c r="A100" s="173"/>
      <c r="B100" s="206" t="s">
        <v>12</v>
      </c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8"/>
      <c r="N100" s="131" t="s">
        <v>13</v>
      </c>
      <c r="O100" s="54">
        <v>3100</v>
      </c>
      <c r="P100" s="51">
        <v>6716</v>
      </c>
      <c r="Q100" s="51">
        <v>2600</v>
      </c>
      <c r="R100" s="51">
        <v>2300</v>
      </c>
      <c r="S100" s="51">
        <f t="shared" ref="S100:Z100" si="1">S101*S96</f>
        <v>3750</v>
      </c>
      <c r="T100" s="51">
        <f t="shared" si="1"/>
        <v>3500</v>
      </c>
      <c r="U100" s="51">
        <f t="shared" si="1"/>
        <v>7050</v>
      </c>
      <c r="V100" s="51">
        <f t="shared" si="1"/>
        <v>5320</v>
      </c>
      <c r="W100" s="51">
        <f t="shared" si="1"/>
        <v>5350</v>
      </c>
      <c r="X100" s="51">
        <f t="shared" si="1"/>
        <v>6000</v>
      </c>
      <c r="Y100" s="51">
        <f t="shared" si="1"/>
        <v>600</v>
      </c>
      <c r="Z100" s="15">
        <f t="shared" si="1"/>
        <v>12000</v>
      </c>
    </row>
    <row r="101" spans="1:26" ht="15.75" thickBot="1" x14ac:dyDescent="0.3">
      <c r="A101" s="173"/>
      <c r="B101" s="209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1"/>
      <c r="N101" s="131" t="s">
        <v>8</v>
      </c>
      <c r="O101" s="77">
        <v>1550</v>
      </c>
      <c r="P101" s="76">
        <v>6716</v>
      </c>
      <c r="Q101" s="76">
        <v>1300</v>
      </c>
      <c r="R101" s="76">
        <v>2300</v>
      </c>
      <c r="S101" s="76">
        <v>7500</v>
      </c>
      <c r="T101" s="76">
        <v>3500</v>
      </c>
      <c r="U101" s="76">
        <v>14100</v>
      </c>
      <c r="V101" s="76">
        <v>13300</v>
      </c>
      <c r="W101" s="76">
        <v>10700</v>
      </c>
      <c r="X101" s="76">
        <f>6000/5</f>
        <v>1200</v>
      </c>
      <c r="Y101" s="76">
        <f>6000/5</f>
        <v>1200</v>
      </c>
      <c r="Z101" s="80">
        <v>1000</v>
      </c>
    </row>
    <row r="102" spans="1:26" ht="15.75" thickBot="1" x14ac:dyDescent="0.3">
      <c r="A102" s="173"/>
      <c r="B102" s="212"/>
      <c r="C102" s="213"/>
      <c r="D102" s="213"/>
      <c r="E102" s="213"/>
      <c r="F102" s="213"/>
      <c r="G102" s="213"/>
      <c r="H102" s="213"/>
      <c r="I102" s="213"/>
      <c r="J102" s="213"/>
      <c r="K102" s="213"/>
      <c r="L102" s="213"/>
      <c r="M102" s="214"/>
      <c r="N102" s="131" t="s">
        <v>14</v>
      </c>
      <c r="O102" s="78">
        <v>4500</v>
      </c>
      <c r="P102" s="79">
        <v>7500</v>
      </c>
      <c r="Q102" s="79">
        <v>4500</v>
      </c>
      <c r="R102" s="79">
        <v>4500</v>
      </c>
      <c r="S102" s="79">
        <v>5500</v>
      </c>
      <c r="T102" s="79">
        <v>4500</v>
      </c>
      <c r="U102" s="79">
        <v>8500</v>
      </c>
      <c r="V102" s="79">
        <v>7500</v>
      </c>
      <c r="W102" s="79">
        <v>7500</v>
      </c>
      <c r="X102" s="79">
        <v>7500</v>
      </c>
      <c r="Y102" s="79">
        <v>4500</v>
      </c>
      <c r="Z102" s="81">
        <v>17500</v>
      </c>
    </row>
    <row r="103" spans="1:26" ht="15.75" thickBot="1" x14ac:dyDescent="0.3">
      <c r="A103" s="173"/>
      <c r="B103" s="132"/>
      <c r="C103" s="19"/>
      <c r="D103" s="23"/>
      <c r="E103" s="24"/>
      <c r="F103" s="24"/>
      <c r="G103" s="24"/>
      <c r="H103" s="24"/>
      <c r="I103" s="24"/>
      <c r="J103" s="24"/>
      <c r="K103" s="25"/>
      <c r="N103" s="3"/>
    </row>
    <row r="104" spans="1:26" ht="14.65" customHeight="1" thickBot="1" x14ac:dyDescent="0.3">
      <c r="A104" s="173"/>
      <c r="B104" s="206" t="s">
        <v>15</v>
      </c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8"/>
      <c r="N104" s="131" t="s">
        <v>19</v>
      </c>
      <c r="O104" s="87">
        <f>O95*O100</f>
        <v>0</v>
      </c>
      <c r="P104" s="88">
        <f t="shared" ref="P104:Z104" si="2">P95*P100</f>
        <v>0</v>
      </c>
      <c r="Q104" s="88">
        <f t="shared" si="2"/>
        <v>0</v>
      </c>
      <c r="R104" s="89">
        <f t="shared" si="2"/>
        <v>0</v>
      </c>
      <c r="S104" s="88">
        <f t="shared" si="2"/>
        <v>0</v>
      </c>
      <c r="T104" s="88">
        <f t="shared" si="2"/>
        <v>0</v>
      </c>
      <c r="U104" s="88">
        <f t="shared" si="2"/>
        <v>0</v>
      </c>
      <c r="V104" s="88">
        <f t="shared" si="2"/>
        <v>0</v>
      </c>
      <c r="W104" s="88">
        <f t="shared" si="2"/>
        <v>0</v>
      </c>
      <c r="X104" s="88">
        <f t="shared" si="2"/>
        <v>0</v>
      </c>
      <c r="Y104" s="88">
        <f t="shared" si="2"/>
        <v>0</v>
      </c>
      <c r="Z104" s="90">
        <f t="shared" si="2"/>
        <v>0</v>
      </c>
    </row>
    <row r="105" spans="1:26" ht="15.75" thickBot="1" x14ac:dyDescent="0.3">
      <c r="A105" s="173"/>
      <c r="B105" s="212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4"/>
      <c r="N105" s="131" t="s">
        <v>16</v>
      </c>
      <c r="O105" s="160">
        <f>SUM(O104:Z104)</f>
        <v>0</v>
      </c>
      <c r="P105" s="161"/>
      <c r="Q105" s="161"/>
      <c r="R105" s="161"/>
      <c r="S105" s="161"/>
      <c r="T105" s="161"/>
      <c r="U105" s="161"/>
      <c r="V105" s="161"/>
      <c r="W105" s="161"/>
      <c r="X105" s="161"/>
      <c r="Y105" s="161"/>
      <c r="Z105" s="162"/>
    </row>
    <row r="106" spans="1:26" ht="15.75" thickBot="1" x14ac:dyDescent="0.3">
      <c r="A106" s="173"/>
      <c r="B106" s="206" t="s">
        <v>17</v>
      </c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8"/>
      <c r="N106" s="131" t="s">
        <v>19</v>
      </c>
      <c r="O106" s="50">
        <f t="shared" ref="O106:Z106" si="3">O102*O95</f>
        <v>0</v>
      </c>
      <c r="P106" s="48">
        <f t="shared" si="3"/>
        <v>0</v>
      </c>
      <c r="Q106" s="48">
        <f t="shared" si="3"/>
        <v>0</v>
      </c>
      <c r="R106" s="48">
        <f t="shared" si="3"/>
        <v>0</v>
      </c>
      <c r="S106" s="48">
        <f t="shared" si="3"/>
        <v>0</v>
      </c>
      <c r="T106" s="48">
        <f t="shared" si="3"/>
        <v>0</v>
      </c>
      <c r="U106" s="48">
        <f t="shared" si="3"/>
        <v>0</v>
      </c>
      <c r="V106" s="48">
        <f t="shared" si="3"/>
        <v>0</v>
      </c>
      <c r="W106" s="48">
        <f t="shared" si="3"/>
        <v>0</v>
      </c>
      <c r="X106" s="48">
        <f t="shared" si="3"/>
        <v>0</v>
      </c>
      <c r="Y106" s="48">
        <f t="shared" si="3"/>
        <v>0</v>
      </c>
      <c r="Z106" s="91">
        <f t="shared" si="3"/>
        <v>0</v>
      </c>
    </row>
    <row r="107" spans="1:26" ht="15.75" thickBot="1" x14ac:dyDescent="0.3">
      <c r="A107" s="173"/>
      <c r="B107" s="212"/>
      <c r="C107" s="213"/>
      <c r="D107" s="213"/>
      <c r="E107" s="213"/>
      <c r="F107" s="213"/>
      <c r="G107" s="213"/>
      <c r="H107" s="213"/>
      <c r="I107" s="213"/>
      <c r="J107" s="213"/>
      <c r="K107" s="213"/>
      <c r="L107" s="213"/>
      <c r="M107" s="214"/>
      <c r="N107" s="131" t="s">
        <v>16</v>
      </c>
      <c r="O107" s="160">
        <f>SUM(O106:Z106)</f>
        <v>0</v>
      </c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2"/>
    </row>
    <row r="108" spans="1:26" ht="14.65" customHeight="1" thickBot="1" x14ac:dyDescent="0.3">
      <c r="A108" s="173"/>
      <c r="B108" s="206" t="s">
        <v>18</v>
      </c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8"/>
      <c r="N108" s="131" t="s">
        <v>19</v>
      </c>
      <c r="O108" s="50">
        <f>O106-O104</f>
        <v>0</v>
      </c>
      <c r="P108" s="48">
        <f t="shared" ref="P108:Y108" si="4">P106-P104</f>
        <v>0</v>
      </c>
      <c r="Q108" s="48">
        <f t="shared" si="4"/>
        <v>0</v>
      </c>
      <c r="R108" s="48">
        <f t="shared" si="4"/>
        <v>0</v>
      </c>
      <c r="S108" s="48">
        <f t="shared" si="4"/>
        <v>0</v>
      </c>
      <c r="T108" s="48">
        <f t="shared" si="4"/>
        <v>0</v>
      </c>
      <c r="U108" s="48">
        <f t="shared" si="4"/>
        <v>0</v>
      </c>
      <c r="V108" s="48">
        <f t="shared" si="4"/>
        <v>0</v>
      </c>
      <c r="W108" s="48">
        <f t="shared" si="4"/>
        <v>0</v>
      </c>
      <c r="X108" s="48">
        <f t="shared" si="4"/>
        <v>0</v>
      </c>
      <c r="Y108" s="48">
        <f t="shared" si="4"/>
        <v>0</v>
      </c>
      <c r="Z108" s="91">
        <f>Z106-Z104</f>
        <v>0</v>
      </c>
    </row>
    <row r="109" spans="1:26" ht="29.65" customHeight="1" thickBot="1" x14ac:dyDescent="0.3">
      <c r="A109" s="173"/>
      <c r="B109" s="212"/>
      <c r="C109" s="213"/>
      <c r="D109" s="213"/>
      <c r="E109" s="213"/>
      <c r="F109" s="213"/>
      <c r="G109" s="213"/>
      <c r="H109" s="213"/>
      <c r="I109" s="213"/>
      <c r="J109" s="213"/>
      <c r="K109" s="213"/>
      <c r="L109" s="213"/>
      <c r="M109" s="214"/>
      <c r="N109" s="131" t="s">
        <v>29</v>
      </c>
      <c r="O109" s="157">
        <f>O107-O105</f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9"/>
    </row>
    <row r="110" spans="1:26" ht="15.75" thickBot="1" x14ac:dyDescent="0.3">
      <c r="A110" s="173"/>
    </row>
    <row r="111" spans="1:26" ht="14.65" customHeight="1" thickBot="1" x14ac:dyDescent="0.5">
      <c r="A111" s="173"/>
      <c r="B111" s="215" t="s">
        <v>25</v>
      </c>
      <c r="C111" s="216"/>
      <c r="D111" s="216"/>
      <c r="E111" s="216"/>
      <c r="F111" s="216"/>
      <c r="G111" s="216"/>
      <c r="H111" s="216"/>
      <c r="I111" s="216"/>
      <c r="J111" s="216"/>
      <c r="K111" s="216"/>
      <c r="L111" s="216"/>
      <c r="M111" s="216"/>
      <c r="N111" s="217"/>
      <c r="O111" s="175" t="s">
        <v>26</v>
      </c>
      <c r="P111" s="176"/>
      <c r="Q111" s="177"/>
      <c r="R111" s="29" t="s">
        <v>27</v>
      </c>
      <c r="S111" s="5"/>
      <c r="T111" s="5"/>
      <c r="U111" s="5"/>
      <c r="V111" s="5"/>
      <c r="W111" s="5"/>
      <c r="X111" s="5"/>
      <c r="Y111" s="5"/>
      <c r="Z111" s="5"/>
    </row>
    <row r="112" spans="1:26" ht="15" customHeight="1" x14ac:dyDescent="0.45">
      <c r="A112" s="173"/>
      <c r="B112" s="218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20"/>
      <c r="O112" s="145"/>
      <c r="P112" s="146"/>
      <c r="Q112" s="147"/>
      <c r="R112" s="33"/>
      <c r="S112" s="6"/>
      <c r="T112" s="6"/>
      <c r="U112" s="6"/>
      <c r="V112" s="6"/>
      <c r="W112" s="6"/>
      <c r="X112" s="6"/>
      <c r="Y112" s="6"/>
      <c r="Z112" s="6"/>
    </row>
    <row r="113" spans="1:26" ht="15" customHeight="1" x14ac:dyDescent="0.45">
      <c r="A113" s="173"/>
      <c r="B113" s="218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20"/>
      <c r="O113" s="142"/>
      <c r="P113" s="143"/>
      <c r="Q113" s="144"/>
      <c r="R113" s="34"/>
      <c r="S113" s="6"/>
      <c r="T113" s="6"/>
      <c r="U113" s="6"/>
      <c r="V113" s="6"/>
      <c r="W113" s="6"/>
      <c r="X113" s="6"/>
      <c r="Y113" s="6"/>
      <c r="Z113" s="6"/>
    </row>
    <row r="114" spans="1:26" ht="15" customHeight="1" x14ac:dyDescent="0.45">
      <c r="A114" s="173"/>
      <c r="B114" s="218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20"/>
      <c r="O114" s="142"/>
      <c r="P114" s="143"/>
      <c r="Q114" s="144"/>
      <c r="R114" s="34"/>
      <c r="S114" s="6"/>
      <c r="T114" s="6"/>
      <c r="U114" s="6"/>
      <c r="V114" s="6"/>
      <c r="W114" s="6"/>
      <c r="X114" s="6"/>
      <c r="Y114" s="6"/>
      <c r="Z114" s="6"/>
    </row>
    <row r="115" spans="1:26" ht="15" customHeight="1" x14ac:dyDescent="0.45">
      <c r="A115" s="173"/>
      <c r="B115" s="218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20"/>
      <c r="O115" s="142"/>
      <c r="P115" s="143"/>
      <c r="Q115" s="144"/>
      <c r="R115" s="34"/>
      <c r="S115" s="6"/>
      <c r="T115" s="6"/>
      <c r="U115" s="6"/>
      <c r="V115" s="6"/>
      <c r="W115" s="6"/>
      <c r="X115" s="6"/>
      <c r="Y115" s="6"/>
      <c r="Z115" s="6"/>
    </row>
    <row r="116" spans="1:26" ht="15" customHeight="1" x14ac:dyDescent="0.45">
      <c r="A116" s="173"/>
      <c r="B116" s="218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20"/>
      <c r="O116" s="142"/>
      <c r="P116" s="143"/>
      <c r="Q116" s="144"/>
      <c r="R116" s="34"/>
      <c r="S116" s="6"/>
      <c r="T116" s="6"/>
      <c r="U116" s="6"/>
      <c r="V116" s="6"/>
      <c r="W116" s="6"/>
      <c r="X116" s="6"/>
      <c r="Y116" s="6"/>
      <c r="Z116" s="6"/>
    </row>
    <row r="117" spans="1:26" ht="15" customHeight="1" x14ac:dyDescent="0.45">
      <c r="A117" s="173"/>
      <c r="B117" s="218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20"/>
      <c r="O117" s="142"/>
      <c r="P117" s="143"/>
      <c r="Q117" s="144"/>
      <c r="R117" s="34"/>
      <c r="S117" s="6"/>
      <c r="T117" s="6"/>
      <c r="U117" s="6"/>
      <c r="V117" s="6"/>
      <c r="W117" s="6"/>
      <c r="X117" s="6"/>
      <c r="Y117" s="6"/>
      <c r="Z117" s="6"/>
    </row>
    <row r="118" spans="1:26" ht="15" customHeight="1" thickBot="1" x14ac:dyDescent="0.5">
      <c r="A118" s="173"/>
      <c r="B118" s="218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20"/>
      <c r="O118" s="148"/>
      <c r="P118" s="149"/>
      <c r="Q118" s="150"/>
      <c r="R118" s="34"/>
      <c r="S118" s="6"/>
      <c r="T118" s="6"/>
      <c r="U118" s="6"/>
      <c r="V118" s="6"/>
      <c r="W118" s="6"/>
      <c r="X118" s="6"/>
      <c r="Y118" s="6"/>
      <c r="Z118" s="6"/>
    </row>
    <row r="119" spans="1:26" ht="15.75" customHeight="1" thickBot="1" x14ac:dyDescent="0.5">
      <c r="A119" s="173"/>
      <c r="B119" s="221"/>
      <c r="C119" s="222"/>
      <c r="D119" s="222"/>
      <c r="E119" s="222"/>
      <c r="F119" s="222"/>
      <c r="G119" s="222"/>
      <c r="H119" s="222"/>
      <c r="I119" s="222"/>
      <c r="J119" s="222"/>
      <c r="K119" s="222"/>
      <c r="L119" s="222"/>
      <c r="M119" s="222"/>
      <c r="N119" s="223"/>
      <c r="O119" s="139" t="s">
        <v>16</v>
      </c>
      <c r="P119" s="140"/>
      <c r="Q119" s="141"/>
      <c r="R119" s="35">
        <f>SUM(R112:R118)</f>
        <v>0</v>
      </c>
      <c r="S119" s="6"/>
      <c r="T119" s="6"/>
      <c r="U119" s="6"/>
      <c r="V119" s="6"/>
      <c r="W119" s="6"/>
      <c r="X119" s="6"/>
      <c r="Y119" s="6"/>
      <c r="Z119" s="6"/>
    </row>
    <row r="120" spans="1:26" ht="15.75" thickBot="1" x14ac:dyDescent="0.3">
      <c r="A120" s="173"/>
    </row>
    <row r="121" spans="1:26" ht="51.75" customHeight="1" thickBot="1" x14ac:dyDescent="0.3">
      <c r="A121" s="174"/>
      <c r="B121" s="175" t="s">
        <v>18</v>
      </c>
      <c r="C121" s="176"/>
      <c r="D121" s="176"/>
      <c r="E121" s="176"/>
      <c r="F121" s="176"/>
      <c r="G121" s="176"/>
      <c r="H121" s="176"/>
      <c r="I121" s="176"/>
      <c r="J121" s="176"/>
      <c r="K121" s="176"/>
      <c r="L121" s="177"/>
      <c r="M121" s="131"/>
      <c r="N121" s="130" t="s">
        <v>16</v>
      </c>
      <c r="O121" s="178">
        <f>O109-SUM(R112:R118)</f>
        <v>0</v>
      </c>
      <c r="P121" s="179"/>
      <c r="Q121" s="179"/>
      <c r="R121" s="179"/>
      <c r="S121" s="180"/>
      <c r="T121" s="72"/>
      <c r="U121" s="72"/>
      <c r="V121" s="72"/>
      <c r="W121" s="72"/>
      <c r="X121" s="72"/>
      <c r="Y121" s="72"/>
      <c r="Z121" s="72"/>
    </row>
    <row r="122" spans="1:26" ht="15.75" customHeight="1" x14ac:dyDescent="0.25">
      <c r="A122" s="30"/>
      <c r="P122" s="28"/>
      <c r="Q122" s="28"/>
      <c r="R122" s="28"/>
      <c r="S122" s="133"/>
      <c r="T122" s="133"/>
      <c r="U122" s="133"/>
      <c r="V122" s="133"/>
      <c r="W122" s="133"/>
      <c r="X122" s="133"/>
      <c r="Y122" s="133"/>
      <c r="Z122" s="133"/>
    </row>
    <row r="123" spans="1:26" ht="15" customHeight="1" x14ac:dyDescent="0.25">
      <c r="A123" s="30"/>
      <c r="P123" s="28"/>
      <c r="Q123" s="28"/>
      <c r="R123" s="28"/>
      <c r="S123" s="7"/>
      <c r="T123" s="7"/>
      <c r="U123" s="7"/>
      <c r="V123" s="7"/>
      <c r="W123" s="7"/>
      <c r="X123" s="7"/>
      <c r="Y123" s="7"/>
      <c r="Z123" s="7"/>
    </row>
    <row r="124" spans="1:26" ht="15" customHeight="1" x14ac:dyDescent="0.25">
      <c r="P124" s="28"/>
      <c r="Q124" s="28"/>
      <c r="R124" s="28"/>
      <c r="S124" s="7"/>
      <c r="T124" s="7"/>
      <c r="U124" s="7"/>
      <c r="V124" s="7"/>
      <c r="W124" s="7"/>
      <c r="X124" s="7"/>
      <c r="Y124" s="7"/>
      <c r="Z124" s="7"/>
    </row>
    <row r="125" spans="1:26" ht="15" customHeight="1" x14ac:dyDescent="0.25">
      <c r="P125" s="28"/>
      <c r="Q125" s="28"/>
      <c r="R125" s="28"/>
      <c r="S125" s="7"/>
      <c r="T125" s="7"/>
      <c r="U125" s="7"/>
      <c r="V125" s="7"/>
      <c r="W125" s="7"/>
      <c r="X125" s="7"/>
      <c r="Y125" s="7"/>
      <c r="Z125" s="7"/>
    </row>
    <row r="126" spans="1:26" ht="15" customHeight="1" x14ac:dyDescent="0.25">
      <c r="P126" s="28"/>
      <c r="Q126" s="28"/>
      <c r="R126" s="28"/>
      <c r="S126" s="7"/>
      <c r="T126" s="7"/>
      <c r="U126" s="7"/>
      <c r="V126" s="7"/>
      <c r="W126" s="7"/>
      <c r="X126" s="7"/>
      <c r="Y126" s="7"/>
      <c r="Z126" s="7"/>
    </row>
    <row r="127" spans="1:26" ht="15" customHeight="1" x14ac:dyDescent="0.25">
      <c r="P127" s="28"/>
      <c r="Q127" s="28"/>
      <c r="R127" s="28"/>
      <c r="S127" s="7"/>
      <c r="T127" s="7"/>
      <c r="U127" s="7"/>
      <c r="V127" s="7"/>
      <c r="W127" s="7"/>
      <c r="X127" s="7"/>
      <c r="Y127" s="7"/>
      <c r="Z127" s="7"/>
    </row>
    <row r="128" spans="1:26" ht="15" customHeight="1" x14ac:dyDescent="0.25">
      <c r="P128" s="28"/>
      <c r="Q128" s="28"/>
      <c r="R128" s="28"/>
      <c r="S128" s="7"/>
      <c r="T128" s="7"/>
      <c r="U128" s="7"/>
      <c r="V128" s="7"/>
      <c r="W128" s="7"/>
      <c r="X128" s="7"/>
      <c r="Y128" s="7"/>
      <c r="Z128" s="7"/>
    </row>
    <row r="129" spans="16:26" ht="15" customHeight="1" x14ac:dyDescent="0.25">
      <c r="P129" s="28"/>
      <c r="Q129" s="28"/>
      <c r="R129" s="28"/>
      <c r="S129" s="7"/>
      <c r="T129" s="7"/>
      <c r="U129" s="7"/>
      <c r="V129" s="7"/>
      <c r="W129" s="7"/>
      <c r="X129" s="7"/>
      <c r="Y129" s="7"/>
      <c r="Z129" s="7"/>
    </row>
    <row r="130" spans="16:26" ht="15.75" customHeight="1" x14ac:dyDescent="0.25">
      <c r="P130" s="28"/>
      <c r="Q130" s="28"/>
      <c r="R130" s="28"/>
      <c r="S130" s="7"/>
      <c r="T130" s="7"/>
      <c r="U130" s="7"/>
      <c r="V130" s="7"/>
      <c r="W130" s="7"/>
      <c r="X130" s="7"/>
      <c r="Y130" s="7"/>
      <c r="Z130" s="7"/>
    </row>
  </sheetData>
  <mergeCells count="16">
    <mergeCell ref="O111:Q111"/>
    <mergeCell ref="O112:Q112"/>
    <mergeCell ref="O113:Q113"/>
    <mergeCell ref="O114:Q114"/>
    <mergeCell ref="O115:Q115"/>
    <mergeCell ref="O116:Q116"/>
    <mergeCell ref="O117:Q117"/>
    <mergeCell ref="A95:A121"/>
    <mergeCell ref="O105:Z105"/>
    <mergeCell ref="O107:Z107"/>
    <mergeCell ref="O118:Q118"/>
    <mergeCell ref="O119:Q119"/>
    <mergeCell ref="B121:L121"/>
    <mergeCell ref="O121:S121"/>
    <mergeCell ref="A5:A92"/>
    <mergeCell ref="O109:Z109"/>
  </mergeCells>
  <conditionalFormatting sqref="AA5:AA92">
    <cfRule type="cellIs" dxfId="2" priority="1" operator="lessThan">
      <formula>20</formula>
    </cfRule>
    <cfRule type="cellIs" dxfId="1" priority="2" operator="between">
      <formula>20</formula>
      <formula>29</formula>
    </cfRule>
    <cfRule type="cellIs" dxfId="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Miercoles 6</vt:lpstr>
      <vt:lpstr>Sabado 9</vt:lpstr>
      <vt:lpstr>Miercoles 13</vt:lpstr>
      <vt:lpstr>Sabado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2017-12-15T03:40:26Z</dcterms:modified>
</cp:coreProperties>
</file>