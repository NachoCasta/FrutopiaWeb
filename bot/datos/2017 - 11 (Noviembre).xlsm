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1" xr2:uid="{00000000-000D-0000-FFFF-FFFF00000000}"/>
  </bookViews>
  <sheets>
    <sheet name="Pedido base (copiar esta hoja)" sheetId="3" r:id="rId1"/>
    <sheet name="Sabado 4" sheetId="15" r:id="rId2"/>
  </sheets>
  <externalReferences>
    <externalReference r:id="rId3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" i="15" l="1"/>
  <c r="N12" i="15"/>
  <c r="Z12" i="15"/>
  <c r="O26" i="15"/>
  <c r="O37" i="15"/>
  <c r="P26" i="15"/>
  <c r="P37" i="15"/>
  <c r="Q26" i="15"/>
  <c r="Q37" i="15"/>
  <c r="R26" i="15"/>
  <c r="R37" i="15"/>
  <c r="S26" i="15"/>
  <c r="S37" i="15"/>
  <c r="T26" i="15"/>
  <c r="T37" i="15"/>
  <c r="U26" i="15"/>
  <c r="U37" i="15"/>
  <c r="V26" i="15"/>
  <c r="V37" i="15"/>
  <c r="W26" i="15"/>
  <c r="W37" i="15"/>
  <c r="X26" i="15"/>
  <c r="X37" i="15"/>
  <c r="Y26" i="15"/>
  <c r="Y37" i="15"/>
  <c r="O38" i="15"/>
  <c r="O31" i="15"/>
  <c r="O35" i="15"/>
  <c r="P31" i="15"/>
  <c r="P35" i="15"/>
  <c r="Q31" i="15"/>
  <c r="Q35" i="15"/>
  <c r="R31" i="15"/>
  <c r="R35" i="15"/>
  <c r="S31" i="15"/>
  <c r="S35" i="15"/>
  <c r="T31" i="15"/>
  <c r="T35" i="15"/>
  <c r="U31" i="15"/>
  <c r="U35" i="15"/>
  <c r="V31" i="15"/>
  <c r="V35" i="15"/>
  <c r="W31" i="15"/>
  <c r="W35" i="15"/>
  <c r="X31" i="15"/>
  <c r="X35" i="15"/>
  <c r="Y31" i="15"/>
  <c r="Y35" i="15"/>
  <c r="O36" i="15"/>
  <c r="O40" i="15"/>
  <c r="O52" i="15"/>
  <c r="R50" i="15"/>
  <c r="Y39" i="15"/>
  <c r="X39" i="15"/>
  <c r="W39" i="15"/>
  <c r="V39" i="15"/>
  <c r="U39" i="15"/>
  <c r="T39" i="15"/>
  <c r="S39" i="15"/>
  <c r="R39" i="15"/>
  <c r="Q39" i="15"/>
  <c r="P39" i="15"/>
  <c r="O39" i="15"/>
  <c r="Y28" i="15"/>
  <c r="X28" i="15"/>
  <c r="W28" i="15"/>
  <c r="V28" i="15"/>
  <c r="U28" i="15"/>
  <c r="T28" i="15"/>
  <c r="S28" i="15"/>
  <c r="R28" i="15"/>
  <c r="Q28" i="15"/>
  <c r="P28" i="15"/>
  <c r="O28" i="15"/>
  <c r="Z20" i="15"/>
  <c r="N20" i="15"/>
  <c r="Z23" i="15"/>
  <c r="N23" i="15"/>
  <c r="Z14" i="15"/>
  <c r="N14" i="15"/>
  <c r="Z9" i="15"/>
  <c r="N9" i="15"/>
  <c r="Z17" i="15"/>
  <c r="N17" i="15"/>
  <c r="Z18" i="15"/>
  <c r="N18" i="15"/>
  <c r="Z11" i="15"/>
  <c r="N11" i="15"/>
  <c r="Z5" i="15"/>
  <c r="N5" i="15"/>
  <c r="Z13" i="15"/>
  <c r="N13" i="15"/>
  <c r="Z6" i="15"/>
  <c r="N6" i="15"/>
  <c r="Z21" i="15"/>
  <c r="N21" i="15"/>
  <c r="Z19" i="15"/>
  <c r="Z15" i="15"/>
  <c r="N15" i="15"/>
  <c r="Z8" i="15"/>
  <c r="N8" i="15"/>
  <c r="Z7" i="15"/>
  <c r="N7" i="15"/>
  <c r="Z10" i="15"/>
  <c r="N10" i="15"/>
  <c r="Z16" i="15"/>
  <c r="N16" i="15"/>
  <c r="Z22" i="15"/>
  <c r="N22" i="15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N77" i="3"/>
  <c r="N78" i="3"/>
  <c r="Z77" i="3"/>
  <c r="Z78" i="3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6" i="3"/>
  <c r="X81" i="3"/>
  <c r="X90" i="3"/>
  <c r="O81" i="3"/>
  <c r="O90" i="3"/>
  <c r="P81" i="3"/>
  <c r="P90" i="3"/>
  <c r="Q81" i="3"/>
  <c r="Q90" i="3"/>
  <c r="R81" i="3"/>
  <c r="R90" i="3"/>
  <c r="S81" i="3"/>
  <c r="S90" i="3"/>
  <c r="T81" i="3"/>
  <c r="T90" i="3"/>
  <c r="U81" i="3"/>
  <c r="U90" i="3"/>
  <c r="V81" i="3"/>
  <c r="V90" i="3"/>
  <c r="W81" i="3"/>
  <c r="W90" i="3"/>
  <c r="Y81" i="3"/>
  <c r="Y90" i="3"/>
  <c r="O91" i="3"/>
  <c r="O92" i="3"/>
  <c r="P92" i="3"/>
  <c r="Q92" i="3"/>
  <c r="R92" i="3"/>
  <c r="S92" i="3"/>
  <c r="T92" i="3"/>
  <c r="U92" i="3"/>
  <c r="V92" i="3"/>
  <c r="W92" i="3"/>
  <c r="X92" i="3"/>
  <c r="Y92" i="3"/>
  <c r="O93" i="3"/>
  <c r="O95" i="3"/>
  <c r="N5" i="3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O107" i="3"/>
  <c r="R105" i="3"/>
  <c r="Y86" i="3"/>
  <c r="W86" i="3"/>
  <c r="V86" i="3"/>
  <c r="U86" i="3"/>
  <c r="T86" i="3"/>
  <c r="S86" i="3"/>
  <c r="R86" i="3"/>
  <c r="Q86" i="3"/>
  <c r="P86" i="3"/>
  <c r="O86" i="3"/>
  <c r="Y83" i="3"/>
  <c r="Q83" i="3"/>
  <c r="S94" i="3"/>
  <c r="W94" i="3"/>
  <c r="U83" i="3"/>
  <c r="T94" i="3"/>
  <c r="V83" i="3"/>
  <c r="O83" i="3"/>
  <c r="W83" i="3"/>
  <c r="P83" i="3"/>
  <c r="X83" i="3"/>
  <c r="V94" i="3"/>
  <c r="R83" i="3"/>
  <c r="S83" i="3"/>
  <c r="P94" i="3"/>
  <c r="X94" i="3"/>
  <c r="T83" i="3"/>
  <c r="Q94" i="3"/>
  <c r="Y94" i="3"/>
  <c r="R94" i="3"/>
  <c r="U94" i="3"/>
  <c r="O94" i="3"/>
</calcChain>
</file>

<file path=xl/sharedStrings.xml><?xml version="1.0" encoding="utf-8"?>
<sst xmlns="http://schemas.openxmlformats.org/spreadsheetml/2006/main" count="343" uniqueCount="147">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</sst>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8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5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/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Lukas Quense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8" totalsRowShown="0" headerRowDxfId="110" headerRowBorderDxfId="109" tableBorderDxfId="108" totalsRowBorderDxfId="107">
  <autoFilter ref="B4:AA78" xr:uid="{00000000-0009-0000-0100-000002000000}"/>
  <sortState ref="B5:AA72">
    <sortCondition ref="C4:C72"/>
  </sortState>
  <tableColumns count="26">
    <tableColumn id="1" xr3:uid="{00000000-0010-0000-0000-000001000000}" name="Nombre" dataDxfId="106">
      <calculatedColumnFormula>[1]Personas!A2</calculatedColumnFormula>
    </tableColumn>
    <tableColumn id="2" xr3:uid="{00000000-0010-0000-0000-000002000000}" name="Apellido" dataDxfId="105" totalsRowDxfId="104">
      <calculatedColumnFormula>[1]Personas!B2</calculatedColumnFormula>
    </tableColumn>
    <tableColumn id="3" xr3:uid="{00000000-0010-0000-0000-000003000000}" name="Direccion" dataDxfId="103" totalsRowDxfId="102">
      <calculatedColumnFormula>[1]Personas!C2</calculatedColumnFormula>
    </tableColumn>
    <tableColumn id="4" xr3:uid="{00000000-0010-0000-0000-000004000000}" name="Comuna" dataDxfId="101" totalsRowDxfId="100">
      <calculatedColumnFormula>[1]Personas!D2</calculatedColumnFormula>
    </tableColumn>
    <tableColumn id="20" xr3:uid="{00000000-0010-0000-0000-000014000000}" name="Sector" dataDxfId="99" totalsRowDxfId="98">
      <calculatedColumnFormula>[1]Personas!E2</calculatedColumnFormula>
    </tableColumn>
    <tableColumn id="21" xr3:uid="{00000000-0010-0000-0000-000015000000}" name="Universidad" dataDxfId="97" totalsRowDxfId="96">
      <calculatedColumnFormula>[1]Personas!F2</calculatedColumnFormula>
    </tableColumn>
    <tableColumn id="22" xr3:uid="{00000000-0010-0000-0000-000016000000}" name="Cargo" dataDxfId="95" totalsRowDxfId="94">
      <calculatedColumnFormula>[1]Personas!G2</calculatedColumnFormula>
    </tableColumn>
    <tableColumn id="19" xr3:uid="{00000000-0010-0000-0000-000013000000}" name="Telefono" dataDxfId="93" totalsRowDxfId="92">
      <calculatedColumnFormula>[1]Personas!H2</calculatedColumnFormula>
    </tableColumn>
    <tableColumn id="12" xr3:uid="{00000000-0010-0000-0000-00000C000000}" name="Mail" dataDxfId="91" totalsRowDxfId="90" dataCellStyle="Millares">
      <calculatedColumnFormula>[1]Personas!I2</calculatedColumnFormula>
    </tableColumn>
    <tableColumn id="29" xr3:uid="{00000000-0010-0000-0000-00001D000000}" name="Encargado" dataDxfId="89" totalsRowDxfId="88" dataCellStyle="Millares">
      <calculatedColumnFormula>[1]Personas!J2</calculatedColumnFormula>
    </tableColumn>
    <tableColumn id="28" xr3:uid="{00000000-0010-0000-0000-00001C000000}" name="Entregado" dataDxfId="87" totalsRowDxfId="86"/>
    <tableColumn id="11" xr3:uid="{EA03B5A3-0D22-4235-8B84-5BCED3FE14DE}" name="Pagado" dataDxfId="85" totalsRowDxfId="84"/>
    <tableColumn id="5" xr3:uid="{00000000-0010-0000-0000-000005000000}" name="Deuda" dataDxfId="83" totalsRowDxfId="82">
      <calculatedColumnFormula>SUMPRODUCT(Tabla523[[#This Row],[Naranjas]:[Almendras]],O$88:Y$88)</calculatedColumnFormula>
    </tableColumn>
    <tableColumn id="7" xr3:uid="{00000000-0010-0000-0000-000007000000}" name="Naranjas" dataDxfId="81" totalsRowDxfId="80"/>
    <tableColumn id="8" xr3:uid="{00000000-0010-0000-0000-000008000000}" name="Mandarinas" dataDxfId="79" totalsRowDxfId="78"/>
    <tableColumn id="9" xr3:uid="{00000000-0010-0000-0000-000009000000}" name="Paltas" dataDxfId="77" totalsRowDxfId="76"/>
    <tableColumn id="10" xr3:uid="{00000000-0010-0000-0000-00000A000000}" name="Quesos" dataDxfId="75" totalsRowDxfId="74"/>
    <tableColumn id="6" xr3:uid="{156812BB-FB47-4F5F-AC79-944CA52078EE}" name="Frutillas" dataDxfId="73" totalsRowDxfId="72"/>
    <tableColumn id="13" xr3:uid="{00000000-0010-0000-0000-00000D000000}" name="Tomate Cherry" dataDxfId="71" totalsRowDxfId="70"/>
    <tableColumn id="14" xr3:uid="{00000000-0010-0000-0000-00000E000000}" name="Nueces" dataDxfId="69" totalsRowDxfId="68"/>
    <tableColumn id="15" xr3:uid="{521ADC59-7BBF-4276-8FA1-9D5F3652F653}" name="Mani" dataDxfId="67" totalsRowDxfId="66"/>
    <tableColumn id="16" xr3:uid="{A0273DDC-1B43-44D2-9218-45E0A5D88391}" name="Pistachos" dataDxfId="65" totalsRowDxfId="64"/>
    <tableColumn id="17" xr3:uid="{C5A1A2FF-4286-42A7-8DEE-9A684DFF7AC0}" name="Caju" dataDxfId="63" totalsRowDxfId="62"/>
    <tableColumn id="18" xr3:uid="{C6D5E838-31A0-4EAD-849A-FAC4EC0A9B82}" name="Almendras" dataDxfId="61" totalsRowDxfId="60"/>
    <tableColumn id="23" xr3:uid="{00000000-0010-0000-0000-000017000000}" name="Total" dataDxfId="59">
      <calculatedColumnFormula>SUM(Tabla523[[#This Row],[Naranjas]:[Almendras]])</calculatedColumnFormula>
    </tableColumn>
    <tableColumn id="30" xr3:uid="{00000000-0010-0000-0000-00001E000000}" name="Comentario" dataDxfId="58" totalsRowDxfId="5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53" headerRowBorderDxfId="52" tableBorderDxfId="51" totalsRowBorderDxfId="50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49"/>
    <tableColumn id="2" xr3:uid="{2A50B983-8247-447D-A78A-A95C5E050F20}" name="Apellido" dataDxfId="48" totalsRowDxfId="47"/>
    <tableColumn id="3" xr3:uid="{DE81DEEC-1B27-46DF-8AA3-26753D70F93D}" name="Direccion" dataDxfId="46" totalsRowDxfId="45"/>
    <tableColumn id="4" xr3:uid="{305D02B1-C6E2-4F11-822B-60C8525D1A13}" name="Comuna" dataDxfId="44" totalsRowDxfId="43"/>
    <tableColumn id="20" xr3:uid="{3C4BCD1D-D8FA-4A4D-9AD8-D4ED166B3978}" name="Sector" dataDxfId="42" totalsRowDxfId="41"/>
    <tableColumn id="21" xr3:uid="{9F35D4A9-D491-4316-9A5E-6DC6349F5078}" name="Universidad" dataDxfId="40" totalsRowDxfId="39"/>
    <tableColumn id="22" xr3:uid="{2F4C5390-85B2-4C5F-9E3A-C65CA0CD3035}" name="Cargo" dataDxfId="38" totalsRowDxfId="37"/>
    <tableColumn id="19" xr3:uid="{20972F04-95EA-4B8D-B95C-B80C1632C52F}" name="Telefono" dataDxfId="36" totalsRowDxfId="35"/>
    <tableColumn id="12" xr3:uid="{939DACFE-766F-4919-805C-5313B819F74C}" name="Mail" dataDxfId="34" totalsRowDxfId="33" dataCellStyle="Millares"/>
    <tableColumn id="29" xr3:uid="{158C9087-27B0-43DC-9D92-48CA115A2294}" name="Encargado" dataDxfId="32" totalsRowDxfId="31" dataCellStyle="Millares"/>
    <tableColumn id="28" xr3:uid="{11D6F88B-FC22-4A24-B7B7-788F779FB97E}" name="Entregado" dataDxfId="30" totalsRowDxfId="29"/>
    <tableColumn id="11" xr3:uid="{D7004FBA-EF63-4928-850F-264D9FAB422D}" name="Pagado" dataDxfId="28" totalsRowDxfId="27"/>
    <tableColumn id="5" xr3:uid="{1C63F4E9-DDFA-4C59-B100-468CB61B1DE2}" name="Deuda" dataDxfId="26" totalsRowDxfId="25">
      <calculatedColumnFormula>SUMPRODUCT(Tabla5232[[#This Row],[Naranjas]:[Almendras]],O$33:Y$33)</calculatedColumnFormula>
    </tableColumn>
    <tableColumn id="7" xr3:uid="{859B2129-BF3B-4DDD-9D22-FF3A012014D0}" name="Naranjas" dataDxfId="24" totalsRowDxfId="23"/>
    <tableColumn id="8" xr3:uid="{F16F9BD4-1325-4A2E-8B22-2A38BD9A0622}" name="Mandarinas" dataDxfId="22" totalsRowDxfId="21"/>
    <tableColumn id="9" xr3:uid="{1BC859AB-64E2-4F38-AD7D-3D1004FB134A}" name="Paltas" dataDxfId="20" totalsRowDxfId="19"/>
    <tableColumn id="10" xr3:uid="{C9243466-ACCA-4E0F-AD51-FB37582B95C1}" name="Quesos" dataDxfId="18" totalsRowDxfId="17"/>
    <tableColumn id="6" xr3:uid="{DA0301D2-97CB-4A98-9440-CBBBD9BAF237}" name="Frutillas" dataDxfId="16" totalsRowDxfId="15"/>
    <tableColumn id="13" xr3:uid="{25E319A5-33F9-4DC7-A608-E50C251262B5}" name="Tomate Cherry" dataDxfId="14" totalsRowDxfId="13"/>
    <tableColumn id="14" xr3:uid="{79CA248A-A279-4125-83B8-D5968A218B78}" name="Nueces" dataDxfId="12" totalsRowDxfId="11"/>
    <tableColumn id="15" xr3:uid="{2C38EFE0-AFF8-484C-8793-7A446E62F9BD}" name="Mani" dataDxfId="10" totalsRowDxfId="9"/>
    <tableColumn id="16" xr3:uid="{5F0A8A04-C9A7-4351-90AD-7168CB33DC12}" name="Pistachos" dataDxfId="8" totalsRowDxfId="7"/>
    <tableColumn id="17" xr3:uid="{A122C343-842D-4AC6-A10F-A06D71CFFAC9}" name="Caju" dataDxfId="6" totalsRowDxfId="5"/>
    <tableColumn id="18" xr3:uid="{3EBDACB7-F153-4AC9-B435-E8A4FC88BAC5}" name="Almendras" dataDxfId="4" totalsRowDxfId="3"/>
    <tableColumn id="23" xr3:uid="{50267359-5AA2-41FE-ADC4-048A39144B96}" name="Total" dataDxfId="2">
      <calculatedColumnFormula>SUM(Tabla5232[[#This Row],[Naranjas]:[Almendras]])</calculatedColumnFormula>
    </tableColumn>
    <tableColumn id="30" xr3:uid="{9D1F69FE-A292-4BD1-BC2A-9BF26B22D0A4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6"/>
  <sheetViews>
    <sheetView zoomScale="85" zoomScaleNormal="85" zoomScalePageLayoutView="85" workbookViewId="0">
      <pane xSplit="3" ySplit="4" topLeftCell="D53" activePane="bottomRight" state="frozen"/>
      <selection pane="topRight" activeCell="D1" sqref="D1"/>
      <selection pane="bottomLeft" activeCell="A5" sqref="A5"/>
      <selection pane="bottomRight" activeCell="B76" sqref="B76:K76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customWidth="1" outlineLevel="1"/>
    <col min="5" max="5" width="15.109375" customWidth="1" outlineLevel="1"/>
    <col min="6" max="6" width="16.5546875" customWidth="1" outlineLevel="1"/>
    <col min="7" max="7" width="14.6640625" customWidth="1" outlineLevel="1"/>
    <col min="8" max="8" width="10.5546875" customWidth="1" outlineLevel="1"/>
    <col min="9" max="9" width="18.44140625" customWidth="1" outlineLevel="1"/>
    <col min="10" max="11" width="33.5546875" customWidth="1" outlineLevel="1"/>
    <col min="12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113" t="s">
        <v>38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5"/>
      <c r="O2" s="143" t="s">
        <v>11</v>
      </c>
      <c r="P2" s="144"/>
      <c r="Q2" s="144"/>
      <c r="R2" s="144"/>
      <c r="S2" s="144"/>
      <c r="T2" s="144"/>
      <c r="U2" s="144"/>
      <c r="V2" s="144"/>
      <c r="W2" s="144"/>
      <c r="X2" s="144"/>
      <c r="Y2" s="145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7" customHeight="1" outlineLevel="1" x14ac:dyDescent="0.3">
      <c r="A5" s="104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Row],[Naranjas]:[Almendras]],O$88:Y$88)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3">
      <c r="A6" s="105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Row],[Naranjas]:[Almendras]],O$88:Y$88)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3">
      <c r="A7" s="105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Row],[Naranjas]:[Almendras]],O$88:Y$88)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3">
      <c r="A8" s="105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Row],[Naranjas]:[Almendras]],O$88:Y$88)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3">
      <c r="A9" s="105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Row],[Naranjas]:[Almendras]],O$88:Y$88)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3">
      <c r="A10" s="105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Row],[Naranjas]:[Almendras]],O$88:Y$88)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3">
      <c r="A11" s="105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Row],[Naranjas]:[Almendras]],O$88:Y$88)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3">
      <c r="A12" s="105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Row],[Naranjas]:[Almendras]],O$88:Y$88)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3">
      <c r="A13" s="105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Row],[Naranjas]:[Almendras]],O$88:Y$88)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3">
      <c r="A14" s="105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Row],[Naranjas]:[Almendras]],O$88:Y$88)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3">
      <c r="A15" s="105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Row],[Naranjas]:[Almendras]],O$88:Y$88)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3">
      <c r="A16" s="105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Row],[Naranjas]:[Almendras]],O$88:Y$88)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3">
      <c r="A17" s="105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Row],[Naranjas]:[Almendras]],O$88:Y$88)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3">
      <c r="A18" s="105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Row],[Naranjas]:[Almendras]],O$88:Y$88)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3">
      <c r="A19" s="105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Row],[Naranjas]:[Almendras]],O$88:Y$88)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3">
      <c r="A20" s="105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Row],[Naranjas]:[Almendras]],O$88:Y$88)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3">
      <c r="A21" s="105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Row],[Naranjas]:[Almendras]],O$88:Y$88)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3">
      <c r="A22" s="105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Row],[Naranjas]:[Almendras]],O$88:Y$88)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3">
      <c r="A23" s="105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Row],[Naranjas]:[Almendras]],O$88:Y$88)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3">
      <c r="A24" s="105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Row],[Naranjas]:[Almendras]],O$88:Y$88)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3">
      <c r="A25" s="105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Row],[Naranjas]:[Almendras]],O$88:Y$88)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3">
      <c r="A26" s="105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Row],[Naranjas]:[Almendras]],O$88:Y$88)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3">
      <c r="A27" s="105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Row],[Naranjas]:[Almendras]],O$88:Y$88)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3">
      <c r="A28" s="105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Row],[Naranjas]:[Almendras]],O$88:Y$88)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3">
      <c r="A29" s="105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Row],[Naranjas]:[Almendras]],O$88:Y$88)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3">
      <c r="A30" s="105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Row],[Naranjas]:[Almendras]],O$88:Y$88)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3">
      <c r="A31" s="105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Row],[Naranjas]:[Almendras]],O$88:Y$88)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3">
      <c r="A32" s="105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Row],[Naranjas]:[Almendras]],O$88:Y$88)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3">
      <c r="A33" s="105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Row],[Naranjas]:[Almendras]],O$88:Y$88)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3">
      <c r="A34" s="105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Row],[Naranjas]:[Almendras]],O$88:Y$88)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3">
      <c r="A35" s="105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Row],[Naranjas]:[Almendras]],O$88:Y$88)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3">
      <c r="A36" s="105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Row],[Naranjas]:[Almendras]],O$88:Y$88)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3">
      <c r="A37" s="105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Row],[Naranjas]:[Almendras]],O$88:Y$88)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3">
      <c r="A38" s="105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Row],[Naranjas]:[Almendras]],O$88:Y$88)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3">
      <c r="A39" s="105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Row],[Naranjas]:[Almendras]],O$88:Y$88)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3">
      <c r="A40" s="105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Row],[Naranjas]:[Almendras]],O$88:Y$88)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3">
      <c r="A41" s="105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Row],[Naranjas]:[Almendras]],O$88:Y$88)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3">
      <c r="A42" s="105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Row],[Naranjas]:[Almendras]],O$88:Y$88)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3">
      <c r="A43" s="105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Row],[Naranjas]:[Almendras]],O$88:Y$88)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3">
      <c r="A44" s="105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Row],[Naranjas]:[Almendras]],O$88:Y$88)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3">
      <c r="A45" s="105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Row],[Naranjas]:[Almendras]],O$88:Y$88)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3">
      <c r="A46" s="105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Row],[Naranjas]:[Almendras]],O$88:Y$88)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3">
      <c r="A47" s="105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Row],[Naranjas]:[Almendras]],O$88:Y$88)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3">
      <c r="A48" s="105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Row],[Naranjas]:[Almendras]],O$88:Y$88)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3">
      <c r="A49" s="105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Row],[Naranjas]:[Almendras]],O$88:Y$88)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3">
      <c r="A50" s="105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Row],[Naranjas]:[Almendras]],O$88:Y$88)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3">
      <c r="A51" s="105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Row],[Naranjas]:[Almendras]],O$88:Y$88)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3">
      <c r="A52" s="105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Row],[Naranjas]:[Almendras]],O$88:Y$88)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3">
      <c r="A53" s="105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Row],[Naranjas]:[Almendras]],O$88:Y$88)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3">
      <c r="A54" s="105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Row],[Naranjas]:[Almendras]],O$88:Y$88)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3">
      <c r="A55" s="105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Row],[Naranjas]:[Almendras]],O$88:Y$88)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3">
      <c r="A56" s="105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Row],[Naranjas]:[Almendras]],O$88:Y$88)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3">
      <c r="A57" s="105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Row],[Naranjas]:[Almendras]],O$88:Y$88)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3">
      <c r="A58" s="105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Row],[Naranjas]:[Almendras]],O$88:Y$88)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3">
      <c r="A59" s="105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Row],[Naranjas]:[Almendras]],O$88:Y$88)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3">
      <c r="A60" s="105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Row],[Naranjas]:[Almendras]],O$88:Y$88)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3">
      <c r="A61" s="105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Row],[Naranjas]:[Almendras]],O$88:Y$88)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3">
      <c r="A62" s="105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Row],[Naranjas]:[Almendras]],O$88:Y$88)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3">
      <c r="A63" s="105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Row],[Naranjas]:[Almendras]],O$88:Y$88)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3">
      <c r="A64" s="105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Row],[Naranjas]:[Almendras]],O$88:Y$88)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3">
      <c r="A65" s="105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Row],[Naranjas]:[Almendras]],O$88:Y$88)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3">
      <c r="A66" s="105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Row],[Naranjas]:[Almendras]],O$88:Y$88)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3">
      <c r="A67" s="105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Row],[Naranjas]:[Almendras]],O$88:Y$88)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3">
      <c r="A68" s="105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Row],[Naranjas]:[Almendras]],O$88:Y$88)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3">
      <c r="A69" s="105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Row],[Naranjas]:[Almendras]],O$88:Y$88)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3">
      <c r="A70" s="105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Row],[Naranjas]:[Almendras]],O$88:Y$88)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3">
      <c r="A71" s="105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Row],[Naranjas]:[Almendras]],O$88:Y$88)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3">
      <c r="A72" s="105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Row],[Naranjas]:[Almendras]],O$88:Y$88)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3">
      <c r="A73" s="105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Row],[Naranjas]:[Almendras]],O$88:Y$88)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3">
      <c r="A74" s="105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Row],[Naranjas]:[Almendras]],O$88:Y$88)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3">
      <c r="A75" s="105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Row],[Naranjas]:[Almendras]],O$88:Y$88)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outlineLevel="1" x14ac:dyDescent="0.3">
      <c r="A76" s="105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Row],[Naranjas]:[Almendras]],O$88:Y$88)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>
        <f>SUM(Tabla523[[#This Row],[Naranjas]:[Almendras]])</f>
        <v>0</v>
      </c>
      <c r="AA76" s="58"/>
    </row>
    <row r="77" spans="1:27" outlineLevel="1" x14ac:dyDescent="0.3">
      <c r="A77" s="105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>
        <f>[1]Personas!J74</f>
        <v>0</v>
      </c>
      <c r="L77" s="52"/>
      <c r="M77" s="52"/>
      <c r="N77" s="70">
        <f>SUMPRODUCT(Tabla523[[#This Row],[Naranjas]:[Almendras]],O$88:Y$88)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>
        <f>SUM(Tabla523[[#This Row],[Naranjas]:[Almendras]])</f>
        <v>0</v>
      </c>
      <c r="AA77" s="58"/>
    </row>
    <row r="78" spans="1:27" ht="15" outlineLevel="1" thickBot="1" x14ac:dyDescent="0.35">
      <c r="A78" s="106"/>
      <c r="B78" s="13" t="str">
        <f>[1]Personas!A75</f>
        <v>Sebastian</v>
      </c>
      <c r="C78" s="14" t="str">
        <f>[1]Personas!B75</f>
        <v>Delorenzo</v>
      </c>
      <c r="D78" s="65" t="str">
        <f>[1]Personas!C75</f>
        <v>Camino Otonal 1545</v>
      </c>
      <c r="E78" s="65" t="str">
        <f>[1]Personas!D75</f>
        <v>Las Condes</v>
      </c>
      <c r="F78" s="65" t="str">
        <f>[1]Personas!E75</f>
        <v>San Carlos</v>
      </c>
      <c r="G78" s="65" t="str">
        <f>[1]Personas!F75</f>
        <v>UC</v>
      </c>
      <c r="H78" s="65" t="str">
        <f>[1]Personas!G75</f>
        <v>JEFE</v>
      </c>
      <c r="I78" s="66">
        <f>[1]Personas!H75</f>
        <v>56997792386</v>
      </c>
      <c r="J78" s="46" t="str">
        <f>[1]Personas!I75</f>
        <v>sdelorenzo7@gmail.com</v>
      </c>
      <c r="K78" s="46" t="str">
        <f>[1]Personas!J75</f>
        <v>Lukas Quense</v>
      </c>
      <c r="L78" s="16"/>
      <c r="M78" s="16"/>
      <c r="N78" s="71">
        <f>SUMPRODUCT(Tabla523[[#This Row],[Naranjas]:[Almendras]],O$88:Y$88)</f>
        <v>0</v>
      </c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>
        <f>SUM(Tabla523[[#This Row],[Naranjas]:[Almendras]])</f>
        <v>0</v>
      </c>
      <c r="AA78" s="45"/>
    </row>
    <row r="79" spans="1:27" outlineLevel="1" x14ac:dyDescent="0.3">
      <c r="A79" s="18"/>
      <c r="B79" s="19"/>
      <c r="C79" s="19"/>
      <c r="D79" s="19"/>
      <c r="E79" s="19"/>
      <c r="F79" s="19"/>
      <c r="G79" s="19"/>
      <c r="H79" s="19"/>
      <c r="I79" s="32"/>
      <c r="J79" s="31"/>
      <c r="K79" s="31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7" ht="15" thickBot="1" x14ac:dyDescent="0.35"/>
    <row r="81" spans="1:25" ht="14.7" customHeight="1" thickBot="1" x14ac:dyDescent="0.35">
      <c r="A81" s="116" t="s">
        <v>20</v>
      </c>
      <c r="B81" s="146" t="s">
        <v>7</v>
      </c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8"/>
      <c r="N81" s="41" t="s">
        <v>9</v>
      </c>
      <c r="O81" s="8">
        <f>SUM(Tabla523[Naranjas])</f>
        <v>0</v>
      </c>
      <c r="P81" s="49">
        <f>SUM(Tabla523[Mandarinas])</f>
        <v>0</v>
      </c>
      <c r="Q81" s="49">
        <f>SUM(Tabla523[Paltas])</f>
        <v>0</v>
      </c>
      <c r="R81" s="49">
        <f>SUM(Tabla523[Quesos])</f>
        <v>0</v>
      </c>
      <c r="S81" s="49">
        <f>SUM(Tabla523[Frutillas])</f>
        <v>0</v>
      </c>
      <c r="T81" s="49">
        <f>SUM(Tabla523[Tomate Cherry])</f>
        <v>0</v>
      </c>
      <c r="U81" s="49">
        <f>SUM(Tabla523[Nueces])</f>
        <v>0</v>
      </c>
      <c r="V81" s="49">
        <f>SUM(Tabla523[Mani])</f>
        <v>0</v>
      </c>
      <c r="W81" s="49">
        <f>SUM(Tabla523[Pistachos])</f>
        <v>0</v>
      </c>
      <c r="X81" s="49">
        <f>SUM(Tabla523[Caju])</f>
        <v>0</v>
      </c>
      <c r="Y81" s="4">
        <f>SUM(Tabla523[Almendras])</f>
        <v>0</v>
      </c>
    </row>
    <row r="82" spans="1:25" ht="14.7" customHeight="1" thickBot="1" x14ac:dyDescent="0.35">
      <c r="A82" s="117"/>
      <c r="B82" s="152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4"/>
      <c r="N82" s="41" t="s">
        <v>28</v>
      </c>
      <c r="O82" s="9">
        <v>5</v>
      </c>
      <c r="P82" s="52">
        <v>4</v>
      </c>
      <c r="Q82" s="52">
        <v>2</v>
      </c>
      <c r="R82" s="37">
        <v>1</v>
      </c>
      <c r="S82" s="37">
        <v>2</v>
      </c>
      <c r="T82" s="52">
        <v>1</v>
      </c>
      <c r="U82" s="83">
        <v>0.5</v>
      </c>
      <c r="V82" s="83">
        <v>1</v>
      </c>
      <c r="W82" s="83">
        <v>0.5</v>
      </c>
      <c r="X82" s="83">
        <v>0.4</v>
      </c>
      <c r="Y82" s="38">
        <v>0.5</v>
      </c>
    </row>
    <row r="83" spans="1:25" ht="14.7" customHeight="1" thickBot="1" x14ac:dyDescent="0.35">
      <c r="A83" s="117"/>
      <c r="B83" s="152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4"/>
      <c r="N83" s="41" t="s">
        <v>8</v>
      </c>
      <c r="O83" s="9">
        <f>O82*O81</f>
        <v>0</v>
      </c>
      <c r="P83" s="52">
        <f t="shared" ref="P83:U83" si="0">P82*P81</f>
        <v>0</v>
      </c>
      <c r="Q83" s="52">
        <f t="shared" si="0"/>
        <v>0</v>
      </c>
      <c r="R83" s="52">
        <f t="shared" si="0"/>
        <v>0</v>
      </c>
      <c r="S83" s="52">
        <f>S82*S81</f>
        <v>0</v>
      </c>
      <c r="T83" s="52">
        <f t="shared" si="0"/>
        <v>0</v>
      </c>
      <c r="U83" s="52">
        <f t="shared" si="0"/>
        <v>0</v>
      </c>
      <c r="V83" s="52">
        <f>V82*V81</f>
        <v>0</v>
      </c>
      <c r="W83" s="52">
        <f>W82*W81</f>
        <v>0</v>
      </c>
      <c r="X83" s="52">
        <f>X82*X81</f>
        <v>0</v>
      </c>
      <c r="Y83" s="11">
        <f>Y82*Y81</f>
        <v>0</v>
      </c>
    </row>
    <row r="84" spans="1:25" ht="15" thickBot="1" x14ac:dyDescent="0.35">
      <c r="A84" s="117"/>
      <c r="B84" s="149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1"/>
      <c r="N84" s="41" t="s">
        <v>10</v>
      </c>
      <c r="O84" s="10"/>
      <c r="P84" s="16"/>
      <c r="Q84" s="16"/>
      <c r="R84" s="16"/>
      <c r="S84" s="16"/>
      <c r="T84" s="16"/>
      <c r="U84" s="16"/>
      <c r="V84" s="16"/>
      <c r="W84" s="16"/>
      <c r="X84" s="16"/>
      <c r="Y84" s="12"/>
    </row>
    <row r="85" spans="1:25" ht="15" thickBot="1" x14ac:dyDescent="0.35">
      <c r="A85" s="117"/>
      <c r="B85" s="42"/>
      <c r="C85" s="19"/>
      <c r="D85" s="23"/>
      <c r="E85" s="24"/>
      <c r="F85" s="24"/>
      <c r="G85" s="24"/>
      <c r="H85" s="24"/>
      <c r="I85" s="24"/>
      <c r="J85" s="24"/>
      <c r="K85" s="25"/>
      <c r="N85" s="3"/>
    </row>
    <row r="86" spans="1:25" ht="15" thickBot="1" x14ac:dyDescent="0.35">
      <c r="A86" s="117"/>
      <c r="B86" s="146" t="s">
        <v>12</v>
      </c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8"/>
      <c r="N86" s="41" t="s">
        <v>13</v>
      </c>
      <c r="O86" s="54">
        <f>O87*O82</f>
        <v>2750</v>
      </c>
      <c r="P86" s="51">
        <f t="shared" ref="P86:U86" si="1">P87*P82</f>
        <v>2200</v>
      </c>
      <c r="Q86" s="51">
        <f t="shared" si="1"/>
        <v>3100</v>
      </c>
      <c r="R86" s="51">
        <f t="shared" si="1"/>
        <v>6716</v>
      </c>
      <c r="S86" s="51">
        <f>S87*S82</f>
        <v>2600</v>
      </c>
      <c r="T86" s="51">
        <f t="shared" si="1"/>
        <v>2300</v>
      </c>
      <c r="U86" s="51">
        <f t="shared" si="1"/>
        <v>3750</v>
      </c>
      <c r="V86" s="51">
        <f>V87*V82</f>
        <v>3500</v>
      </c>
      <c r="W86" s="51">
        <f>W87*W82</f>
        <v>7050</v>
      </c>
      <c r="X86" s="51">
        <f>X87*X82</f>
        <v>5320</v>
      </c>
      <c r="Y86" s="15">
        <f>Y87*Y82</f>
        <v>5350</v>
      </c>
    </row>
    <row r="87" spans="1:25" ht="15" thickBot="1" x14ac:dyDescent="0.35">
      <c r="A87" s="117"/>
      <c r="B87" s="152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4"/>
      <c r="N87" s="41" t="s">
        <v>8</v>
      </c>
      <c r="O87" s="87">
        <v>550</v>
      </c>
      <c r="P87" s="86">
        <v>550</v>
      </c>
      <c r="Q87" s="86">
        <v>1550</v>
      </c>
      <c r="R87" s="86">
        <v>6716</v>
      </c>
      <c r="S87" s="86">
        <v>1300</v>
      </c>
      <c r="T87" s="86">
        <v>2300</v>
      </c>
      <c r="U87" s="86">
        <v>7500</v>
      </c>
      <c r="V87" s="86">
        <v>3500</v>
      </c>
      <c r="W87" s="86">
        <v>14100</v>
      </c>
      <c r="X87" s="86">
        <v>13300</v>
      </c>
      <c r="Y87" s="90">
        <v>10700</v>
      </c>
    </row>
    <row r="88" spans="1:25" ht="15" thickBot="1" x14ac:dyDescent="0.35">
      <c r="A88" s="117"/>
      <c r="B88" s="149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1"/>
      <c r="N88" s="41" t="s">
        <v>14</v>
      </c>
      <c r="O88" s="88">
        <v>3500</v>
      </c>
      <c r="P88" s="89">
        <v>4500</v>
      </c>
      <c r="Q88" s="89">
        <v>3700</v>
      </c>
      <c r="R88" s="89">
        <v>7500</v>
      </c>
      <c r="S88" s="89">
        <v>6000</v>
      </c>
      <c r="T88" s="89">
        <v>4500</v>
      </c>
      <c r="U88" s="89">
        <v>5500</v>
      </c>
      <c r="V88" s="89">
        <v>4500</v>
      </c>
      <c r="W88" s="89">
        <v>8500</v>
      </c>
      <c r="X88" s="89">
        <v>7500</v>
      </c>
      <c r="Y88" s="91">
        <v>7500</v>
      </c>
    </row>
    <row r="89" spans="1:25" ht="15" thickBot="1" x14ac:dyDescent="0.35">
      <c r="A89" s="117"/>
      <c r="B89" s="42"/>
      <c r="C89" s="19"/>
      <c r="D89" s="23"/>
      <c r="E89" s="24"/>
      <c r="F89" s="24"/>
      <c r="G89" s="24"/>
      <c r="H89" s="24"/>
      <c r="I89" s="24"/>
      <c r="J89" s="24"/>
      <c r="K89" s="25"/>
      <c r="N89" s="3"/>
    </row>
    <row r="90" spans="1:25" ht="14.7" customHeight="1" thickBot="1" x14ac:dyDescent="0.35">
      <c r="A90" s="117"/>
      <c r="B90" s="146" t="s">
        <v>15</v>
      </c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8"/>
      <c r="N90" s="41" t="s">
        <v>19</v>
      </c>
      <c r="O90" s="76">
        <f>O81*O86</f>
        <v>0</v>
      </c>
      <c r="P90" s="77">
        <f t="shared" ref="P90:U90" si="2">P81*P86</f>
        <v>0</v>
      </c>
      <c r="Q90" s="77">
        <f t="shared" si="2"/>
        <v>0</v>
      </c>
      <c r="R90" s="78">
        <f t="shared" si="2"/>
        <v>0</v>
      </c>
      <c r="S90" s="78">
        <f t="shared" si="2"/>
        <v>0</v>
      </c>
      <c r="T90" s="77">
        <f>T81*T86</f>
        <v>0</v>
      </c>
      <c r="U90" s="79">
        <f t="shared" si="2"/>
        <v>0</v>
      </c>
      <c r="V90" s="79">
        <f>V81*V86</f>
        <v>0</v>
      </c>
      <c r="W90" s="79">
        <f>W81*W86</f>
        <v>0</v>
      </c>
      <c r="X90" s="79">
        <f>X81*X86</f>
        <v>0</v>
      </c>
      <c r="Y90" s="79">
        <f>Y81*Y86</f>
        <v>0</v>
      </c>
    </row>
    <row r="91" spans="1:25" ht="15" thickBot="1" x14ac:dyDescent="0.35">
      <c r="A91" s="117"/>
      <c r="B91" s="149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1"/>
      <c r="N91" s="41" t="s">
        <v>16</v>
      </c>
      <c r="O91" s="110">
        <f>SUM(O90:Y90)</f>
        <v>0</v>
      </c>
      <c r="P91" s="111"/>
      <c r="Q91" s="111"/>
      <c r="R91" s="111"/>
      <c r="S91" s="111"/>
      <c r="T91" s="111"/>
      <c r="U91" s="111"/>
      <c r="V91" s="111"/>
      <c r="W91" s="111"/>
      <c r="X91" s="111"/>
      <c r="Y91" s="112"/>
    </row>
    <row r="92" spans="1:25" ht="15" thickBot="1" x14ac:dyDescent="0.35">
      <c r="A92" s="117"/>
      <c r="B92" s="146" t="s">
        <v>17</v>
      </c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8"/>
      <c r="N92" s="41" t="s">
        <v>19</v>
      </c>
      <c r="O92" s="80">
        <f t="shared" ref="O92:Y92" si="3">O88*O81</f>
        <v>0</v>
      </c>
      <c r="P92" s="81">
        <f t="shared" si="3"/>
        <v>0</v>
      </c>
      <c r="Q92" s="81">
        <f t="shared" si="3"/>
        <v>0</v>
      </c>
      <c r="R92" s="81">
        <f t="shared" si="3"/>
        <v>0</v>
      </c>
      <c r="S92" s="81">
        <f t="shared" si="3"/>
        <v>0</v>
      </c>
      <c r="T92" s="81">
        <f t="shared" si="3"/>
        <v>0</v>
      </c>
      <c r="U92" s="82">
        <f t="shared" si="3"/>
        <v>0</v>
      </c>
      <c r="V92" s="82">
        <f t="shared" si="3"/>
        <v>0</v>
      </c>
      <c r="W92" s="82">
        <f t="shared" si="3"/>
        <v>0</v>
      </c>
      <c r="X92" s="82">
        <f t="shared" si="3"/>
        <v>0</v>
      </c>
      <c r="Y92" s="82">
        <f t="shared" si="3"/>
        <v>0</v>
      </c>
    </row>
    <row r="93" spans="1:25" ht="15" thickBot="1" x14ac:dyDescent="0.35">
      <c r="A93" s="117"/>
      <c r="B93" s="149"/>
      <c r="C93" s="150"/>
      <c r="D93" s="150"/>
      <c r="E93" s="150"/>
      <c r="F93" s="150"/>
      <c r="G93" s="150"/>
      <c r="H93" s="150"/>
      <c r="I93" s="150"/>
      <c r="J93" s="150"/>
      <c r="K93" s="150"/>
      <c r="L93" s="150"/>
      <c r="M93" s="151"/>
      <c r="N93" s="41" t="s">
        <v>16</v>
      </c>
      <c r="O93" s="110">
        <f>SUM(O92:Y92)</f>
        <v>0</v>
      </c>
      <c r="P93" s="111"/>
      <c r="Q93" s="111"/>
      <c r="R93" s="111"/>
      <c r="S93" s="111"/>
      <c r="T93" s="111"/>
      <c r="U93" s="111"/>
      <c r="V93" s="111"/>
      <c r="W93" s="111"/>
      <c r="X93" s="111"/>
      <c r="Y93" s="112"/>
    </row>
    <row r="94" spans="1:25" ht="14.7" customHeight="1" thickBot="1" x14ac:dyDescent="0.35">
      <c r="A94" s="117"/>
      <c r="B94" s="146" t="s">
        <v>18</v>
      </c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8"/>
      <c r="N94" s="41" t="s">
        <v>19</v>
      </c>
      <c r="O94" s="73">
        <f>O92-O90</f>
        <v>0</v>
      </c>
      <c r="P94" s="74">
        <f t="shared" ref="P94:Y94" si="4">P92-P90</f>
        <v>0</v>
      </c>
      <c r="Q94" s="74">
        <f t="shared" si="4"/>
        <v>0</v>
      </c>
      <c r="R94" s="74">
        <f t="shared" si="4"/>
        <v>0</v>
      </c>
      <c r="S94" s="74">
        <f t="shared" si="4"/>
        <v>0</v>
      </c>
      <c r="T94" s="74">
        <f t="shared" si="4"/>
        <v>0</v>
      </c>
      <c r="U94" s="75">
        <f t="shared" si="4"/>
        <v>0</v>
      </c>
      <c r="V94" s="75">
        <f t="shared" si="4"/>
        <v>0</v>
      </c>
      <c r="W94" s="75">
        <f t="shared" si="4"/>
        <v>0</v>
      </c>
      <c r="X94" s="75">
        <f t="shared" si="4"/>
        <v>0</v>
      </c>
      <c r="Y94" s="75">
        <f t="shared" si="4"/>
        <v>0</v>
      </c>
    </row>
    <row r="95" spans="1:25" ht="29.7" customHeight="1" thickBot="1" x14ac:dyDescent="0.35">
      <c r="A95" s="117"/>
      <c r="B95" s="149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1"/>
      <c r="N95" s="41" t="s">
        <v>29</v>
      </c>
      <c r="O95" s="107">
        <f>O93-O91</f>
        <v>0</v>
      </c>
      <c r="P95" s="108"/>
      <c r="Q95" s="108"/>
      <c r="R95" s="108"/>
      <c r="S95" s="108"/>
      <c r="T95" s="108"/>
      <c r="U95" s="108"/>
      <c r="V95" s="108"/>
      <c r="W95" s="108"/>
      <c r="X95" s="108"/>
      <c r="Y95" s="109"/>
    </row>
    <row r="96" spans="1:25" ht="15" thickBot="1" x14ac:dyDescent="0.35">
      <c r="A96" s="117"/>
    </row>
    <row r="97" spans="1:25" ht="14.7" customHeight="1" thickBot="1" x14ac:dyDescent="0.35">
      <c r="A97" s="117"/>
      <c r="B97" s="128" t="s">
        <v>25</v>
      </c>
      <c r="C97" s="129"/>
      <c r="D97" s="129"/>
      <c r="E97" s="129"/>
      <c r="F97" s="129"/>
      <c r="G97" s="129"/>
      <c r="H97" s="129"/>
      <c r="I97" s="129"/>
      <c r="J97" s="129"/>
      <c r="K97" s="129"/>
      <c r="L97" s="129"/>
      <c r="M97" s="129"/>
      <c r="N97" s="130"/>
      <c r="O97" s="125" t="s">
        <v>26</v>
      </c>
      <c r="P97" s="126"/>
      <c r="Q97" s="127"/>
      <c r="R97" s="29" t="s">
        <v>27</v>
      </c>
      <c r="S97" s="61"/>
      <c r="T97" s="5"/>
      <c r="U97" s="5"/>
      <c r="V97" s="5"/>
      <c r="W97" s="5"/>
      <c r="X97" s="5"/>
      <c r="Y97" s="5"/>
    </row>
    <row r="98" spans="1:25" ht="15" customHeight="1" x14ac:dyDescent="0.3">
      <c r="A98" s="117"/>
      <c r="B98" s="131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3"/>
      <c r="O98" s="137"/>
      <c r="P98" s="138"/>
      <c r="Q98" s="139"/>
      <c r="R98" s="33"/>
      <c r="S98" s="62"/>
      <c r="T98" s="6"/>
      <c r="U98" s="6"/>
      <c r="V98" s="6"/>
      <c r="W98" s="6"/>
      <c r="X98" s="6"/>
      <c r="Y98" s="6"/>
    </row>
    <row r="99" spans="1:25" ht="15" customHeight="1" x14ac:dyDescent="0.3">
      <c r="A99" s="117"/>
      <c r="B99" s="131"/>
      <c r="C99" s="132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3"/>
      <c r="O99" s="140"/>
      <c r="P99" s="141"/>
      <c r="Q99" s="142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3">
      <c r="A100" s="117"/>
      <c r="B100" s="131"/>
      <c r="C100" s="132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3"/>
      <c r="O100" s="140"/>
      <c r="P100" s="141"/>
      <c r="Q100" s="142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3">
      <c r="A101" s="117"/>
      <c r="B101" s="131"/>
      <c r="C101" s="132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3"/>
      <c r="O101" s="140"/>
      <c r="P101" s="141"/>
      <c r="Q101" s="142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x14ac:dyDescent="0.3">
      <c r="A102" s="117"/>
      <c r="B102" s="131"/>
      <c r="C102" s="132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3"/>
      <c r="O102" s="140"/>
      <c r="P102" s="141"/>
      <c r="Q102" s="142"/>
      <c r="R102" s="34"/>
      <c r="S102" s="62"/>
      <c r="T102" s="6"/>
      <c r="U102" s="6"/>
      <c r="V102" s="6"/>
      <c r="W102" s="6"/>
      <c r="X102" s="6"/>
      <c r="Y102" s="6"/>
    </row>
    <row r="103" spans="1:25" ht="15" customHeight="1" x14ac:dyDescent="0.3">
      <c r="A103" s="117"/>
      <c r="B103" s="131"/>
      <c r="C103" s="132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3"/>
      <c r="O103" s="140"/>
      <c r="P103" s="141"/>
      <c r="Q103" s="142"/>
      <c r="R103" s="34"/>
      <c r="S103" s="62"/>
      <c r="T103" s="6"/>
      <c r="U103" s="6"/>
      <c r="V103" s="6"/>
      <c r="W103" s="6"/>
      <c r="X103" s="6"/>
      <c r="Y103" s="6"/>
    </row>
    <row r="104" spans="1:25" ht="15" customHeight="1" thickBot="1" x14ac:dyDescent="0.35">
      <c r="A104" s="117"/>
      <c r="B104" s="131"/>
      <c r="C104" s="132"/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3"/>
      <c r="O104" s="119"/>
      <c r="P104" s="120"/>
      <c r="Q104" s="121"/>
      <c r="R104" s="34"/>
      <c r="S104" s="62"/>
      <c r="T104" s="6"/>
      <c r="U104" s="6"/>
      <c r="V104" s="6"/>
      <c r="W104" s="6"/>
      <c r="X104" s="6"/>
      <c r="Y104" s="6"/>
    </row>
    <row r="105" spans="1:25" ht="15.75" customHeight="1" thickBot="1" x14ac:dyDescent="0.35">
      <c r="A105" s="117"/>
      <c r="B105" s="134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6"/>
      <c r="O105" s="122" t="s">
        <v>16</v>
      </c>
      <c r="P105" s="123"/>
      <c r="Q105" s="124"/>
      <c r="R105" s="35">
        <f>SUM(R98:R104)</f>
        <v>0</v>
      </c>
      <c r="S105" s="63"/>
      <c r="T105" s="6"/>
      <c r="U105" s="6"/>
      <c r="V105" s="6"/>
      <c r="W105" s="6"/>
      <c r="X105" s="6"/>
      <c r="Y105" s="6"/>
    </row>
    <row r="106" spans="1:25" ht="15" thickBot="1" x14ac:dyDescent="0.35">
      <c r="A106" s="117"/>
    </row>
    <row r="107" spans="1:25" ht="51.75" customHeight="1" thickBot="1" x14ac:dyDescent="0.35">
      <c r="A107" s="118"/>
      <c r="B107" s="125" t="s">
        <v>18</v>
      </c>
      <c r="C107" s="126"/>
      <c r="D107" s="126"/>
      <c r="E107" s="126"/>
      <c r="F107" s="126"/>
      <c r="G107" s="126"/>
      <c r="H107" s="126"/>
      <c r="I107" s="126"/>
      <c r="J107" s="126"/>
      <c r="K107" s="126"/>
      <c r="L107" s="127"/>
      <c r="M107" s="64"/>
      <c r="N107" s="40" t="s">
        <v>16</v>
      </c>
      <c r="O107" s="107">
        <f>O95-SUM(R98:R104)</f>
        <v>0</v>
      </c>
      <c r="P107" s="108"/>
      <c r="Q107" s="108"/>
      <c r="R107" s="108"/>
      <c r="S107" s="108"/>
      <c r="T107" s="108"/>
      <c r="U107" s="109"/>
      <c r="V107" s="72"/>
      <c r="W107" s="72"/>
      <c r="X107" s="72"/>
      <c r="Y107" s="72"/>
    </row>
    <row r="108" spans="1:25" ht="15.75" customHeight="1" x14ac:dyDescent="0.3">
      <c r="A108" s="30"/>
      <c r="P108" s="28"/>
      <c r="Q108" s="28"/>
      <c r="R108" s="28"/>
      <c r="S108" s="28"/>
      <c r="U108" s="43"/>
      <c r="V108" s="69"/>
      <c r="W108" s="69"/>
      <c r="X108" s="69"/>
      <c r="Y108" s="69"/>
    </row>
    <row r="109" spans="1:25" ht="15" customHeight="1" x14ac:dyDescent="0.3">
      <c r="A109" s="30"/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3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3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3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3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" customHeight="1" x14ac:dyDescent="0.3">
      <c r="P114" s="28"/>
      <c r="Q114" s="28"/>
      <c r="R114" s="28"/>
      <c r="S114" s="28"/>
      <c r="U114" s="7"/>
      <c r="V114" s="7"/>
      <c r="W114" s="7"/>
      <c r="X114" s="7"/>
      <c r="Y114" s="7"/>
    </row>
    <row r="115" spans="16:25" ht="15" customHeight="1" x14ac:dyDescent="0.3">
      <c r="P115" s="28"/>
      <c r="Q115" s="28"/>
      <c r="R115" s="28"/>
      <c r="S115" s="28"/>
      <c r="U115" s="7"/>
      <c r="V115" s="7"/>
      <c r="W115" s="7"/>
      <c r="X115" s="7"/>
      <c r="Y115" s="7"/>
    </row>
    <row r="116" spans="16:25" ht="15.75" customHeight="1" x14ac:dyDescent="0.3">
      <c r="P116" s="28"/>
      <c r="Q116" s="28"/>
      <c r="R116" s="28"/>
      <c r="S116" s="28"/>
      <c r="U116" s="7"/>
      <c r="V116" s="7"/>
      <c r="W116" s="7"/>
      <c r="X116" s="7"/>
      <c r="Y116" s="7"/>
    </row>
  </sheetData>
  <mergeCells count="24">
    <mergeCell ref="O2:Y2"/>
    <mergeCell ref="O102:Q102"/>
    <mergeCell ref="O103:Q103"/>
    <mergeCell ref="B94:M95"/>
    <mergeCell ref="B81:M84"/>
    <mergeCell ref="B86:M88"/>
    <mergeCell ref="B90:M91"/>
    <mergeCell ref="B92:M93"/>
    <mergeCell ref="A5:A78"/>
    <mergeCell ref="O95:Y95"/>
    <mergeCell ref="O93:Y93"/>
    <mergeCell ref="O91:Y91"/>
    <mergeCell ref="B2:N2"/>
    <mergeCell ref="A81:A107"/>
    <mergeCell ref="O104:Q104"/>
    <mergeCell ref="O105:Q105"/>
    <mergeCell ref="B107:L107"/>
    <mergeCell ref="O107:U107"/>
    <mergeCell ref="B97:N105"/>
    <mergeCell ref="O97:Q97"/>
    <mergeCell ref="O98:Q98"/>
    <mergeCell ref="O99:Q99"/>
    <mergeCell ref="O100:Q100"/>
    <mergeCell ref="O101:Q101"/>
  </mergeCells>
  <conditionalFormatting sqref="Z5:Z78">
    <cfRule type="cellIs" dxfId="113" priority="1" operator="lessThan">
      <formula>20</formula>
    </cfRule>
    <cfRule type="cellIs" dxfId="112" priority="2" operator="between">
      <formula>20</formula>
      <formula>29</formula>
    </cfRule>
    <cfRule type="cellIs" dxfId="11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R10" sqref="R10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5" width="15.44140625" customWidth="1"/>
    <col min="27" max="27" width="71.44140625" style="39" customWidth="1"/>
  </cols>
  <sheetData>
    <row r="1" spans="1:27" ht="15" thickBot="1" x14ac:dyDescent="0.35"/>
    <row r="2" spans="1:27" ht="29.7" customHeight="1" thickBot="1" x14ac:dyDescent="0.35">
      <c r="B2" s="113" t="s">
        <v>38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5"/>
      <c r="O2" s="143" t="s">
        <v>11</v>
      </c>
      <c r="P2" s="144"/>
      <c r="Q2" s="144"/>
      <c r="R2" s="144"/>
      <c r="S2" s="144"/>
      <c r="T2" s="144"/>
      <c r="U2" s="144"/>
      <c r="V2" s="144"/>
      <c r="W2" s="144"/>
      <c r="X2" s="144"/>
      <c r="Y2" s="145"/>
    </row>
    <row r="3" spans="1:27" s="1" customFormat="1" ht="15" thickBot="1" x14ac:dyDescent="0.35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" thickBot="1" x14ac:dyDescent="0.3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7" customHeight="1" outlineLevel="1" x14ac:dyDescent="0.3">
      <c r="A5" s="104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3">
      <c r="A6" s="105"/>
      <c r="B6" s="56" t="s">
        <v>63</v>
      </c>
      <c r="C6" s="47" t="s">
        <v>90</v>
      </c>
      <c r="D6" s="47" t="s">
        <v>91</v>
      </c>
      <c r="E6" s="47" t="s">
        <v>40</v>
      </c>
      <c r="F6" s="47" t="s">
        <v>92</v>
      </c>
      <c r="G6" s="47" t="s">
        <v>93</v>
      </c>
      <c r="H6" s="47" t="s">
        <v>41</v>
      </c>
      <c r="I6" s="53">
        <v>56966477967</v>
      </c>
      <c r="J6" s="27" t="s">
        <v>94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106900</v>
      </c>
      <c r="O6" s="52">
        <v>0</v>
      </c>
      <c r="P6" s="52">
        <v>0</v>
      </c>
      <c r="Q6" s="52">
        <v>12</v>
      </c>
      <c r="R6" s="52">
        <v>1</v>
      </c>
      <c r="S6" s="52">
        <v>3</v>
      </c>
      <c r="T6" s="52">
        <v>3</v>
      </c>
      <c r="U6" s="52">
        <v>0</v>
      </c>
      <c r="V6" s="52">
        <v>1</v>
      </c>
      <c r="W6" s="52">
        <v>1</v>
      </c>
      <c r="X6" s="52">
        <v>0</v>
      </c>
      <c r="Y6" s="52">
        <v>2</v>
      </c>
      <c r="Z6" s="52">
        <f>SUM(Tabla5232[[#This Row],[Naranjas]:[Almendras]])</f>
        <v>23</v>
      </c>
      <c r="AA6" s="58"/>
    </row>
    <row r="7" spans="1:27" outlineLevel="1" x14ac:dyDescent="0.3">
      <c r="A7" s="105"/>
      <c r="B7" s="56" t="s">
        <v>80</v>
      </c>
      <c r="C7" s="47" t="s">
        <v>81</v>
      </c>
      <c r="D7" s="47" t="s">
        <v>82</v>
      </c>
      <c r="E7" s="47" t="s">
        <v>50</v>
      </c>
      <c r="F7" s="47" t="s">
        <v>47</v>
      </c>
      <c r="G7" s="47" t="s">
        <v>62</v>
      </c>
      <c r="H7" s="47" t="s">
        <v>41</v>
      </c>
      <c r="I7" s="53">
        <v>56967289638</v>
      </c>
      <c r="J7" s="27" t="s">
        <v>83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59000</v>
      </c>
      <c r="O7" s="52">
        <v>1</v>
      </c>
      <c r="P7" s="52">
        <v>0</v>
      </c>
      <c r="Q7" s="52">
        <v>5</v>
      </c>
      <c r="R7" s="52">
        <v>1</v>
      </c>
      <c r="S7" s="52">
        <v>1</v>
      </c>
      <c r="T7" s="52">
        <v>1</v>
      </c>
      <c r="U7" s="52">
        <v>0</v>
      </c>
      <c r="V7" s="52">
        <v>1</v>
      </c>
      <c r="W7" s="52">
        <v>1</v>
      </c>
      <c r="X7" s="52">
        <v>1</v>
      </c>
      <c r="Y7" s="52">
        <v>0</v>
      </c>
      <c r="Z7" s="52">
        <f>SUM(Tabla5232[[#This Row],[Naranjas]:[Almendras]])</f>
        <v>12</v>
      </c>
      <c r="AA7" s="58"/>
    </row>
    <row r="8" spans="1:27" outlineLevel="1" x14ac:dyDescent="0.3">
      <c r="A8" s="105"/>
      <c r="B8" s="56" t="s">
        <v>65</v>
      </c>
      <c r="C8" s="47" t="s">
        <v>66</v>
      </c>
      <c r="D8" s="47" t="s">
        <v>67</v>
      </c>
      <c r="E8" s="47" t="s">
        <v>40</v>
      </c>
      <c r="F8" s="47" t="s">
        <v>58</v>
      </c>
      <c r="G8" s="47" t="s">
        <v>48</v>
      </c>
      <c r="H8" s="47" t="s">
        <v>41</v>
      </c>
      <c r="I8" s="53">
        <v>56967898535</v>
      </c>
      <c r="J8" s="27" t="s">
        <v>68</v>
      </c>
      <c r="K8" s="27" t="s">
        <v>64</v>
      </c>
      <c r="L8" s="52" t="s">
        <v>142</v>
      </c>
      <c r="M8" s="52" t="s">
        <v>143</v>
      </c>
      <c r="N8" s="47">
        <f>SUMPRODUCT(Tabla5232[[#This Row],[Naranjas]:[Almendras]],O$33:Y$33)</f>
        <v>49800</v>
      </c>
      <c r="O8" s="52">
        <v>0</v>
      </c>
      <c r="P8" s="52">
        <v>0</v>
      </c>
      <c r="Q8" s="52">
        <v>9</v>
      </c>
      <c r="R8" s="52">
        <v>1</v>
      </c>
      <c r="S8" s="52">
        <v>2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12</v>
      </c>
      <c r="AA8" s="58"/>
    </row>
    <row r="9" spans="1:27" outlineLevel="1" x14ac:dyDescent="0.3">
      <c r="A9" s="105"/>
      <c r="B9" s="50" t="s">
        <v>124</v>
      </c>
      <c r="C9" s="48" t="s">
        <v>125</v>
      </c>
      <c r="D9" s="59" t="s">
        <v>126</v>
      </c>
      <c r="E9" s="59" t="s">
        <v>40</v>
      </c>
      <c r="F9" s="59" t="s">
        <v>58</v>
      </c>
      <c r="G9" s="59" t="s">
        <v>93</v>
      </c>
      <c r="H9" s="59" t="s">
        <v>41</v>
      </c>
      <c r="I9" s="60">
        <v>56974397201</v>
      </c>
      <c r="J9" s="27" t="s">
        <v>127</v>
      </c>
      <c r="K9" s="27" t="s">
        <v>64</v>
      </c>
      <c r="L9" s="52" t="s">
        <v>142</v>
      </c>
      <c r="M9" s="52" t="s">
        <v>143</v>
      </c>
      <c r="N9" s="47">
        <f>SUMPRODUCT(Tabla5232[[#This Row],[Naranjas]:[Almendras]],O$33:Y$33)</f>
        <v>31600</v>
      </c>
      <c r="O9" s="52">
        <v>0</v>
      </c>
      <c r="P9" s="52">
        <v>0</v>
      </c>
      <c r="Q9" s="52">
        <v>3</v>
      </c>
      <c r="R9" s="52">
        <v>0</v>
      </c>
      <c r="S9" s="52">
        <v>1</v>
      </c>
      <c r="T9" s="52">
        <v>0</v>
      </c>
      <c r="U9" s="52">
        <v>0</v>
      </c>
      <c r="V9" s="52">
        <v>0</v>
      </c>
      <c r="W9" s="52">
        <v>1</v>
      </c>
      <c r="X9" s="52">
        <v>1</v>
      </c>
      <c r="Y9" s="52">
        <v>0</v>
      </c>
      <c r="Z9" s="52">
        <f>SUM(Tabla5232[[#This Row],[Naranjas]:[Almendras]])</f>
        <v>6</v>
      </c>
      <c r="AA9" s="58"/>
    </row>
    <row r="10" spans="1:27" outlineLevel="1" x14ac:dyDescent="0.3">
      <c r="A10" s="105"/>
      <c r="B10" s="56" t="s">
        <v>107</v>
      </c>
      <c r="C10" s="47" t="s">
        <v>105</v>
      </c>
      <c r="D10" s="47" t="s">
        <v>106</v>
      </c>
      <c r="E10" s="47" t="s">
        <v>40</v>
      </c>
      <c r="F10" s="47" t="s">
        <v>58</v>
      </c>
      <c r="G10" s="47" t="s">
        <v>93</v>
      </c>
      <c r="H10" s="47" t="s">
        <v>41</v>
      </c>
      <c r="I10" s="53">
        <v>56982328251</v>
      </c>
      <c r="J10" s="27" t="s">
        <v>108</v>
      </c>
      <c r="K10" s="27" t="s">
        <v>64</v>
      </c>
      <c r="L10" s="52" t="s">
        <v>142</v>
      </c>
      <c r="M10" s="52" t="s">
        <v>143</v>
      </c>
      <c r="N10" s="47">
        <f>SUMPRODUCT(Tabla5232[[#This Row],[Naranjas]:[Almendras]],O$33:Y$33)</f>
        <v>7500</v>
      </c>
      <c r="O10" s="52">
        <v>0</v>
      </c>
      <c r="P10" s="52">
        <v>0</v>
      </c>
      <c r="Q10" s="52">
        <v>0</v>
      </c>
      <c r="R10" s="52">
        <v>1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SUM(Tabla5232[[#This Row],[Naranjas]:[Almendras]])</f>
        <v>1</v>
      </c>
      <c r="AA10" s="58"/>
    </row>
    <row r="11" spans="1:27" outlineLevel="1" x14ac:dyDescent="0.3">
      <c r="A11" s="105"/>
      <c r="B11" s="56" t="s">
        <v>115</v>
      </c>
      <c r="C11" s="47" t="s">
        <v>116</v>
      </c>
      <c r="D11" s="47" t="s">
        <v>117</v>
      </c>
      <c r="E11" s="47" t="s">
        <v>40</v>
      </c>
      <c r="F11" s="47" t="s">
        <v>92</v>
      </c>
      <c r="G11" s="47" t="s">
        <v>118</v>
      </c>
      <c r="H11" s="47" t="s">
        <v>41</v>
      </c>
      <c r="I11" s="53">
        <v>56998246537</v>
      </c>
      <c r="J11" s="27" t="s">
        <v>119</v>
      </c>
      <c r="K11" s="27" t="s">
        <v>42</v>
      </c>
      <c r="L11" s="52" t="s">
        <v>142</v>
      </c>
      <c r="M11" s="52" t="s">
        <v>143</v>
      </c>
      <c r="N11" s="47">
        <f>SUMPRODUCT(Tabla5232[[#This Row],[Naranjas]:[Almendras]],O$33:Y$33)</f>
        <v>211800</v>
      </c>
      <c r="O11" s="52">
        <v>0</v>
      </c>
      <c r="P11" s="52">
        <v>0</v>
      </c>
      <c r="Q11" s="52">
        <v>19</v>
      </c>
      <c r="R11" s="52">
        <v>5</v>
      </c>
      <c r="S11" s="52">
        <v>11</v>
      </c>
      <c r="T11" s="52">
        <v>9</v>
      </c>
      <c r="U11" s="52">
        <v>1</v>
      </c>
      <c r="V11" s="52">
        <v>0</v>
      </c>
      <c r="W11" s="52">
        <v>1</v>
      </c>
      <c r="X11" s="52">
        <v>0</v>
      </c>
      <c r="Y11" s="52">
        <v>0</v>
      </c>
      <c r="Z11" s="52">
        <f>SUM(Tabla5232[[#This Row],[Naranjas]:[Almendras]])</f>
        <v>46</v>
      </c>
      <c r="AA11" s="58"/>
    </row>
    <row r="12" spans="1:27" outlineLevel="1" x14ac:dyDescent="0.3">
      <c r="A12" s="105"/>
      <c r="B12" s="50" t="s">
        <v>137</v>
      </c>
      <c r="C12" s="48" t="s">
        <v>138</v>
      </c>
      <c r="D12" s="59" t="s">
        <v>139</v>
      </c>
      <c r="E12" s="59" t="s">
        <v>46</v>
      </c>
      <c r="F12" s="59" t="s">
        <v>51</v>
      </c>
      <c r="G12" s="59" t="s">
        <v>140</v>
      </c>
      <c r="H12" s="59" t="s">
        <v>41</v>
      </c>
      <c r="I12" s="60">
        <v>56975580528</v>
      </c>
      <c r="J12" s="27" t="s">
        <v>141</v>
      </c>
      <c r="K12" s="27" t="s">
        <v>42</v>
      </c>
      <c r="L12" s="52" t="s">
        <v>142</v>
      </c>
      <c r="M12" s="52" t="s">
        <v>143</v>
      </c>
      <c r="N12" s="70">
        <f>SUMPRODUCT(Tabla5232[[#This Row],[Naranjas]:[Almendras]],O$33:Y$33)</f>
        <v>96900</v>
      </c>
      <c r="O12" s="52">
        <v>1</v>
      </c>
      <c r="P12" s="52">
        <v>0</v>
      </c>
      <c r="Q12" s="52">
        <v>7</v>
      </c>
      <c r="R12" s="52">
        <v>1</v>
      </c>
      <c r="S12" s="52">
        <v>8</v>
      </c>
      <c r="T12" s="52">
        <v>1</v>
      </c>
      <c r="U12" s="52">
        <v>0</v>
      </c>
      <c r="V12" s="52">
        <v>1</v>
      </c>
      <c r="W12" s="52">
        <v>0</v>
      </c>
      <c r="X12" s="52">
        <v>0</v>
      </c>
      <c r="Y12" s="52">
        <v>2</v>
      </c>
      <c r="Z12" s="52">
        <f>SUM(Tabla5232[[#This Row],[Naranjas]:[Almendras]])</f>
        <v>21</v>
      </c>
      <c r="AA12" s="58"/>
    </row>
    <row r="13" spans="1:27" outlineLevel="1" x14ac:dyDescent="0.3">
      <c r="A13" s="105"/>
      <c r="B13" s="56" t="s">
        <v>72</v>
      </c>
      <c r="C13" s="47" t="s">
        <v>73</v>
      </c>
      <c r="D13" s="47" t="s">
        <v>85</v>
      </c>
      <c r="E13" s="47" t="s">
        <v>50</v>
      </c>
      <c r="F13" s="47" t="s">
        <v>74</v>
      </c>
      <c r="G13" s="47" t="s">
        <v>48</v>
      </c>
      <c r="H13" s="47" t="s">
        <v>41</v>
      </c>
      <c r="I13" s="53">
        <v>56979878976</v>
      </c>
      <c r="J13" s="27" t="s">
        <v>75</v>
      </c>
      <c r="K13" s="27" t="s">
        <v>42</v>
      </c>
      <c r="L13" s="52" t="s">
        <v>142</v>
      </c>
      <c r="M13" s="52" t="s">
        <v>143</v>
      </c>
      <c r="N13" s="47">
        <f>SUMPRODUCT(Tabla5232[[#This Row],[Naranjas]:[Almendras]],O$33:Y$33)</f>
        <v>76300</v>
      </c>
      <c r="O13" s="52">
        <v>0</v>
      </c>
      <c r="P13" s="52">
        <v>0</v>
      </c>
      <c r="Q13" s="52">
        <v>9</v>
      </c>
      <c r="R13" s="52">
        <v>0</v>
      </c>
      <c r="S13" s="52">
        <v>4</v>
      </c>
      <c r="T13" s="52">
        <v>1</v>
      </c>
      <c r="U13" s="52">
        <v>1</v>
      </c>
      <c r="V13" s="52">
        <v>0</v>
      </c>
      <c r="W13" s="52">
        <v>0</v>
      </c>
      <c r="X13" s="52">
        <v>0</v>
      </c>
      <c r="Y13" s="52">
        <v>2</v>
      </c>
      <c r="Z13" s="52">
        <f>SUM(Tabla5232[[#This Row],[Naranjas]:[Almendras]])</f>
        <v>17</v>
      </c>
      <c r="AA13" s="58"/>
    </row>
    <row r="14" spans="1:27" outlineLevel="1" x14ac:dyDescent="0.3">
      <c r="A14" s="105"/>
      <c r="B14" s="50" t="s">
        <v>53</v>
      </c>
      <c r="C14" s="48" t="s">
        <v>54</v>
      </c>
      <c r="D14" s="59" t="s">
        <v>55</v>
      </c>
      <c r="E14" s="59" t="s">
        <v>50</v>
      </c>
      <c r="F14" s="59" t="s">
        <v>56</v>
      </c>
      <c r="G14" s="59" t="s">
        <v>48</v>
      </c>
      <c r="H14" s="59" t="s">
        <v>41</v>
      </c>
      <c r="I14" s="60">
        <v>56999699652</v>
      </c>
      <c r="J14" s="27" t="s">
        <v>57</v>
      </c>
      <c r="K14" s="27" t="s">
        <v>42</v>
      </c>
      <c r="L14" s="52" t="s">
        <v>142</v>
      </c>
      <c r="M14" s="52" t="s">
        <v>143</v>
      </c>
      <c r="N14" s="47">
        <f>SUMPRODUCT(Tabla5232[[#This Row],[Naranjas]:[Almendras]],O$33:Y$33)</f>
        <v>45900</v>
      </c>
      <c r="O14" s="52">
        <v>0</v>
      </c>
      <c r="P14" s="52">
        <v>0</v>
      </c>
      <c r="Q14" s="52">
        <v>2</v>
      </c>
      <c r="R14" s="52">
        <v>0</v>
      </c>
      <c r="S14" s="52">
        <v>4</v>
      </c>
      <c r="T14" s="52">
        <v>1</v>
      </c>
      <c r="U14" s="52">
        <v>0</v>
      </c>
      <c r="V14" s="52">
        <v>0</v>
      </c>
      <c r="W14" s="52">
        <v>1</v>
      </c>
      <c r="X14" s="52">
        <v>0</v>
      </c>
      <c r="Y14" s="52">
        <v>1</v>
      </c>
      <c r="Z14" s="52">
        <f>SUM(Tabla5232[[#This Row],[Naranjas]:[Almendras]])</f>
        <v>9</v>
      </c>
      <c r="AA14" s="58"/>
    </row>
    <row r="15" spans="1:27" outlineLevel="1" x14ac:dyDescent="0.3">
      <c r="A15" s="105"/>
      <c r="B15" s="56" t="s">
        <v>128</v>
      </c>
      <c r="C15" s="47" t="s">
        <v>129</v>
      </c>
      <c r="D15" s="47" t="s">
        <v>130</v>
      </c>
      <c r="E15" s="47" t="s">
        <v>46</v>
      </c>
      <c r="F15" s="47" t="s">
        <v>111</v>
      </c>
      <c r="G15" s="47" t="s">
        <v>62</v>
      </c>
      <c r="H15" s="47" t="s">
        <v>41</v>
      </c>
      <c r="I15" s="53">
        <v>56995483434</v>
      </c>
      <c r="J15" s="27" t="s">
        <v>131</v>
      </c>
      <c r="K15" s="27" t="s">
        <v>42</v>
      </c>
      <c r="L15" s="52" t="s">
        <v>143</v>
      </c>
      <c r="M15" s="52" t="s">
        <v>143</v>
      </c>
      <c r="N15" s="47">
        <f>SUMPRODUCT(Tabla5232[[#This Row],[Naranjas]:[Almendras]],O$33:Y$33)</f>
        <v>20100</v>
      </c>
      <c r="O15" s="52">
        <v>0</v>
      </c>
      <c r="P15" s="52">
        <v>0</v>
      </c>
      <c r="Q15" s="52">
        <v>3</v>
      </c>
      <c r="R15" s="52">
        <v>0</v>
      </c>
      <c r="S15" s="52">
        <v>2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SUM(Tabla5232[[#This Row],[Naranjas]:[Almendras]])</f>
        <v>5</v>
      </c>
      <c r="AA15" s="58"/>
    </row>
    <row r="16" spans="1:27" outlineLevel="1" x14ac:dyDescent="0.3">
      <c r="A16" s="105"/>
      <c r="B16" s="56" t="s">
        <v>103</v>
      </c>
      <c r="C16" s="47" t="s">
        <v>123</v>
      </c>
      <c r="D16" s="47" t="s">
        <v>104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56963033603</v>
      </c>
      <c r="J16" s="27" t="s">
        <v>132</v>
      </c>
      <c r="K16" s="27" t="s">
        <v>42</v>
      </c>
      <c r="L16" s="52" t="s">
        <v>143</v>
      </c>
      <c r="M16" s="52" t="s">
        <v>143</v>
      </c>
      <c r="N16" s="47">
        <f>SUMPRODUCT(Tabla5232[[#This Row],[Naranjas]:[Almendras]],O$33:Y$33)</f>
        <v>7400</v>
      </c>
      <c r="O16" s="52">
        <v>0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SUM(Tabla5232[[#This Row],[Naranjas]:[Almendras]])</f>
        <v>2</v>
      </c>
      <c r="AA16" s="58"/>
    </row>
    <row r="17" spans="1:27" outlineLevel="1" x14ac:dyDescent="0.3">
      <c r="A17" s="105"/>
      <c r="B17" s="56" t="s">
        <v>43</v>
      </c>
      <c r="C17" s="47" t="s">
        <v>44</v>
      </c>
      <c r="D17" s="47" t="s">
        <v>45</v>
      </c>
      <c r="E17" s="47" t="s">
        <v>46</v>
      </c>
      <c r="F17" s="47" t="s">
        <v>47</v>
      </c>
      <c r="G17" s="47" t="s">
        <v>48</v>
      </c>
      <c r="H17" s="47" t="s">
        <v>41</v>
      </c>
      <c r="I17" s="53">
        <v>56942723186</v>
      </c>
      <c r="J17" s="27" t="s">
        <v>49</v>
      </c>
      <c r="K17" s="27" t="s">
        <v>42</v>
      </c>
      <c r="L17" s="52" t="s">
        <v>142</v>
      </c>
      <c r="M17" s="52" t="s">
        <v>143</v>
      </c>
      <c r="N17" s="47">
        <f>SUMPRODUCT(Tabla5232[[#This Row],[Naranjas]:[Almendras]],O$33:Y$33)</f>
        <v>7400</v>
      </c>
      <c r="O17" s="52">
        <v>0</v>
      </c>
      <c r="P17" s="52">
        <v>0</v>
      </c>
      <c r="Q17" s="52">
        <v>2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f>SUM(Tabla5232[[#This Row],[Naranjas]:[Almendras]])</f>
        <v>2</v>
      </c>
      <c r="AA17" s="58"/>
    </row>
    <row r="18" spans="1:27" outlineLevel="1" x14ac:dyDescent="0.3">
      <c r="A18" s="105"/>
      <c r="B18" s="56" t="s">
        <v>76</v>
      </c>
      <c r="C18" s="47" t="s">
        <v>77</v>
      </c>
      <c r="D18" s="47" t="s">
        <v>78</v>
      </c>
      <c r="E18" s="47" t="s">
        <v>40</v>
      </c>
      <c r="F18" s="47" t="s">
        <v>58</v>
      </c>
      <c r="G18" s="47" t="s">
        <v>60</v>
      </c>
      <c r="H18" s="47" t="s">
        <v>41</v>
      </c>
      <c r="I18" s="53">
        <v>56952304675</v>
      </c>
      <c r="J18" s="27" t="s">
        <v>79</v>
      </c>
      <c r="K18" s="27" t="s">
        <v>52</v>
      </c>
      <c r="L18" s="52" t="s">
        <v>142</v>
      </c>
      <c r="M18" s="52" t="s">
        <v>143</v>
      </c>
      <c r="N18" s="47">
        <f>SUMPRODUCT(Tabla5232[[#This Row],[Naranjas]:[Almendras]],O$33:Y$33)</f>
        <v>122600</v>
      </c>
      <c r="O18" s="52">
        <v>0</v>
      </c>
      <c r="P18" s="52">
        <v>0</v>
      </c>
      <c r="Q18" s="52">
        <v>13</v>
      </c>
      <c r="R18" s="52">
        <v>1</v>
      </c>
      <c r="S18" s="52">
        <v>11</v>
      </c>
      <c r="T18" s="52">
        <v>1</v>
      </c>
      <c r="U18" s="52">
        <v>1</v>
      </c>
      <c r="V18" s="52">
        <v>0</v>
      </c>
      <c r="W18" s="52">
        <v>0</v>
      </c>
      <c r="X18" s="52">
        <v>0</v>
      </c>
      <c r="Y18" s="52">
        <v>1</v>
      </c>
      <c r="Z18" s="52">
        <f>SUM(Tabla5232[[#This Row],[Naranjas]:[Almendras]])</f>
        <v>28</v>
      </c>
      <c r="AA18" s="58"/>
    </row>
    <row r="19" spans="1:27" outlineLevel="1" x14ac:dyDescent="0.3">
      <c r="A19" s="105"/>
      <c r="B19" s="56" t="s">
        <v>112</v>
      </c>
      <c r="C19" s="47" t="s">
        <v>61</v>
      </c>
      <c r="D19" s="47" t="s">
        <v>113</v>
      </c>
      <c r="E19" s="47" t="s">
        <v>46</v>
      </c>
      <c r="F19" s="47" t="s">
        <v>51</v>
      </c>
      <c r="G19" s="47" t="s">
        <v>110</v>
      </c>
      <c r="H19" s="47" t="s">
        <v>41</v>
      </c>
      <c r="I19" s="53">
        <v>56982978895</v>
      </c>
      <c r="J19" s="27" t="s">
        <v>114</v>
      </c>
      <c r="K19" s="27" t="s">
        <v>52</v>
      </c>
      <c r="L19" s="52" t="s">
        <v>142</v>
      </c>
      <c r="M19" s="52" t="s">
        <v>143</v>
      </c>
      <c r="N19" s="47">
        <f>SUMPRODUCT(Tabla5232[[#This Row],[Naranjas]:[Almendras]],O$33:Y$33)</f>
        <v>90300</v>
      </c>
      <c r="O19" s="52">
        <v>0</v>
      </c>
      <c r="P19" s="52">
        <v>0</v>
      </c>
      <c r="Q19" s="52">
        <v>9</v>
      </c>
      <c r="R19" s="52">
        <v>0</v>
      </c>
      <c r="S19" s="52">
        <v>5</v>
      </c>
      <c r="T19" s="52">
        <v>6</v>
      </c>
      <c r="U19" s="52">
        <v>0</v>
      </c>
      <c r="V19" s="52">
        <v>0</v>
      </c>
      <c r="W19" s="52">
        <v>0</v>
      </c>
      <c r="X19" s="52">
        <v>1</v>
      </c>
      <c r="Y19" s="52">
        <v>0</v>
      </c>
      <c r="Z19" s="52">
        <f>SUM(Tabla5232[[#This Row],[Naranjas]:[Almendras]])</f>
        <v>21</v>
      </c>
      <c r="AA19" s="58"/>
    </row>
    <row r="20" spans="1:27" outlineLevel="1" x14ac:dyDescent="0.3">
      <c r="A20" s="105"/>
      <c r="B20" s="50" t="s">
        <v>133</v>
      </c>
      <c r="C20" s="48" t="s">
        <v>134</v>
      </c>
      <c r="D20" s="59" t="s">
        <v>136</v>
      </c>
      <c r="E20" s="59" t="s">
        <v>50</v>
      </c>
      <c r="F20" s="59" t="s">
        <v>109</v>
      </c>
      <c r="G20" s="59" t="s">
        <v>48</v>
      </c>
      <c r="H20" s="59" t="s">
        <v>41</v>
      </c>
      <c r="I20" s="60">
        <v>56997792386</v>
      </c>
      <c r="J20" s="27" t="s">
        <v>135</v>
      </c>
      <c r="K20" s="27" t="s">
        <v>52</v>
      </c>
      <c r="L20" s="52" t="s">
        <v>142</v>
      </c>
      <c r="M20" s="52" t="s">
        <v>143</v>
      </c>
      <c r="N20" s="70">
        <f>SUMPRODUCT(Tabla5232[[#This Row],[Naranjas]:[Almendras]],O$33:Y$33)</f>
        <v>101100</v>
      </c>
      <c r="O20" s="52">
        <v>0</v>
      </c>
      <c r="P20" s="52">
        <v>0</v>
      </c>
      <c r="Q20" s="52">
        <v>8</v>
      </c>
      <c r="R20" s="52">
        <v>1</v>
      </c>
      <c r="S20" s="52">
        <v>3</v>
      </c>
      <c r="T20" s="52">
        <v>5</v>
      </c>
      <c r="U20" s="52">
        <v>0</v>
      </c>
      <c r="V20" s="52">
        <v>1</v>
      </c>
      <c r="W20" s="52">
        <v>1</v>
      </c>
      <c r="X20" s="52">
        <v>1</v>
      </c>
      <c r="Y20" s="52">
        <v>1</v>
      </c>
      <c r="Z20" s="52">
        <f>SUM(Tabla5232[[#This Row],[Naranjas]:[Almendras]])</f>
        <v>21</v>
      </c>
      <c r="AA20" s="58"/>
    </row>
    <row r="21" spans="1:27" outlineLevel="1" x14ac:dyDescent="0.3">
      <c r="A21" s="105"/>
      <c r="B21" s="56" t="s">
        <v>69</v>
      </c>
      <c r="C21" s="47" t="s">
        <v>61</v>
      </c>
      <c r="D21" s="47" t="s">
        <v>70</v>
      </c>
      <c r="E21" s="47" t="s">
        <v>40</v>
      </c>
      <c r="F21" s="47" t="s">
        <v>58</v>
      </c>
      <c r="G21" s="47" t="s">
        <v>48</v>
      </c>
      <c r="H21" s="47" t="s">
        <v>41</v>
      </c>
      <c r="I21" s="53">
        <v>56986194003</v>
      </c>
      <c r="J21" s="27" t="s">
        <v>71</v>
      </c>
      <c r="K21" s="27" t="s">
        <v>52</v>
      </c>
      <c r="L21" s="52" t="s">
        <v>142</v>
      </c>
      <c r="M21" s="52" t="s">
        <v>143</v>
      </c>
      <c r="N21" s="47">
        <f>SUMPRODUCT(Tabla5232[[#This Row],[Naranjas]:[Almendras]],O$33:Y$33)</f>
        <v>99900</v>
      </c>
      <c r="O21" s="52">
        <v>0</v>
      </c>
      <c r="P21" s="52">
        <v>0</v>
      </c>
      <c r="Q21" s="52">
        <v>27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f>SUM(Tabla5232[[#This Row],[Naranjas]:[Almendras]])</f>
        <v>27</v>
      </c>
      <c r="AA21" s="58"/>
    </row>
    <row r="22" spans="1:27" outlineLevel="1" x14ac:dyDescent="0.3">
      <c r="A22" s="105"/>
      <c r="B22" s="56" t="s">
        <v>99</v>
      </c>
      <c r="C22" s="47" t="s">
        <v>100</v>
      </c>
      <c r="D22" s="47" t="s">
        <v>101</v>
      </c>
      <c r="E22" s="47" t="s">
        <v>50</v>
      </c>
      <c r="F22" s="47" t="s">
        <v>74</v>
      </c>
      <c r="G22" s="47" t="s">
        <v>62</v>
      </c>
      <c r="H22" s="47" t="s">
        <v>41</v>
      </c>
      <c r="I22" s="53">
        <v>56955324629</v>
      </c>
      <c r="J22" s="27" t="s">
        <v>102</v>
      </c>
      <c r="K22" s="27" t="s">
        <v>52</v>
      </c>
      <c r="L22" s="52" t="s">
        <v>142</v>
      </c>
      <c r="M22" s="52" t="s">
        <v>143</v>
      </c>
      <c r="N22" s="47">
        <f>SUMPRODUCT(Tabla5232[[#This Row],[Naranjas]:[Almendras]],O$33:Y$33)</f>
        <v>39800</v>
      </c>
      <c r="O22" s="52">
        <v>0</v>
      </c>
      <c r="P22" s="52">
        <v>0</v>
      </c>
      <c r="Q22" s="52">
        <v>4</v>
      </c>
      <c r="R22" s="52">
        <v>1</v>
      </c>
      <c r="S22" s="52">
        <v>2</v>
      </c>
      <c r="T22" s="52">
        <v>0</v>
      </c>
      <c r="U22" s="52">
        <v>0</v>
      </c>
      <c r="V22" s="52">
        <v>0</v>
      </c>
      <c r="W22" s="52">
        <v>1</v>
      </c>
      <c r="X22" s="52">
        <v>0</v>
      </c>
      <c r="Y22" s="52">
        <v>0</v>
      </c>
      <c r="Z22" s="52">
        <f>SUM(Tabla5232[[#This Row],[Naranjas]:[Almendras]])</f>
        <v>8</v>
      </c>
      <c r="AA22" s="58"/>
    </row>
    <row r="23" spans="1:27" outlineLevel="1" x14ac:dyDescent="0.3">
      <c r="A23" s="18"/>
      <c r="B23" s="96" t="s">
        <v>120</v>
      </c>
      <c r="C23" s="97" t="s">
        <v>59</v>
      </c>
      <c r="D23" s="98" t="s">
        <v>121</v>
      </c>
      <c r="E23" s="98" t="s">
        <v>40</v>
      </c>
      <c r="F23" s="98" t="s">
        <v>58</v>
      </c>
      <c r="G23" s="98" t="s">
        <v>60</v>
      </c>
      <c r="H23" s="98" t="s">
        <v>41</v>
      </c>
      <c r="I23" s="99">
        <v>56966640363</v>
      </c>
      <c r="J23" s="100" t="s">
        <v>122</v>
      </c>
      <c r="K23" s="100" t="s">
        <v>52</v>
      </c>
      <c r="L23" s="52" t="s">
        <v>142</v>
      </c>
      <c r="M23" s="52" t="s">
        <v>143</v>
      </c>
      <c r="N23" s="102">
        <f>SUMPRODUCT(Tabla5232[[#This Row],[Naranjas]:[Almendras]],O$33:Y$33)</f>
        <v>56500</v>
      </c>
      <c r="O23" s="101">
        <v>0</v>
      </c>
      <c r="P23" s="101">
        <v>0</v>
      </c>
      <c r="Q23" s="101">
        <v>5</v>
      </c>
      <c r="R23" s="101">
        <v>0</v>
      </c>
      <c r="S23" s="101">
        <v>2</v>
      </c>
      <c r="T23" s="101">
        <v>1</v>
      </c>
      <c r="U23" s="101">
        <v>0</v>
      </c>
      <c r="V23" s="101">
        <v>0</v>
      </c>
      <c r="W23" s="101">
        <v>2</v>
      </c>
      <c r="X23" s="101">
        <v>1</v>
      </c>
      <c r="Y23" s="101">
        <v>0</v>
      </c>
      <c r="Z23" s="101">
        <f>SUM(Tabla5232[[#This Row],[Naranjas]:[Almendras]])</f>
        <v>11</v>
      </c>
      <c r="AA23" s="103"/>
    </row>
    <row r="24" spans="1:27" outlineLevel="1" x14ac:dyDescent="0.3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" thickBot="1" x14ac:dyDescent="0.35"/>
    <row r="26" spans="1:27" ht="14.7" customHeight="1" thickBot="1" x14ac:dyDescent="0.35">
      <c r="A26" s="116" t="s">
        <v>20</v>
      </c>
      <c r="B26" s="146" t="s">
        <v>7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8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142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SUM(Tabla5232[Mani])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7" customHeight="1" thickBot="1" x14ac:dyDescent="0.35">
      <c r="A27" s="117"/>
      <c r="B27" s="152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4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7" customHeight="1" thickBot="1" x14ac:dyDescent="0.35">
      <c r="A28" s="117"/>
      <c r="B28" s="152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4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284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" thickBot="1" x14ac:dyDescent="0.35">
      <c r="A29" s="117"/>
      <c r="B29" s="149"/>
      <c r="C29" s="150"/>
      <c r="D29" s="150"/>
      <c r="E29" s="150"/>
      <c r="F29" s="150"/>
      <c r="G29" s="150"/>
      <c r="H29" s="150"/>
      <c r="I29" s="150"/>
      <c r="J29" s="150"/>
      <c r="K29" s="150"/>
      <c r="L29" s="150"/>
      <c r="M29" s="151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" thickBot="1" x14ac:dyDescent="0.35">
      <c r="A30" s="117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" thickBot="1" x14ac:dyDescent="0.35">
      <c r="A31" s="117"/>
      <c r="B31" s="146" t="s">
        <v>12</v>
      </c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8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" thickBot="1" x14ac:dyDescent="0.35">
      <c r="A32" s="117"/>
      <c r="B32" s="152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4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" thickBot="1" x14ac:dyDescent="0.35">
      <c r="A33" s="117"/>
      <c r="B33" s="149"/>
      <c r="C33" s="150"/>
      <c r="D33" s="150"/>
      <c r="E33" s="150"/>
      <c r="F33" s="150"/>
      <c r="G33" s="150"/>
      <c r="H33" s="150"/>
      <c r="I33" s="150"/>
      <c r="J33" s="150"/>
      <c r="K33" s="150"/>
      <c r="L33" s="150"/>
      <c r="M33" s="151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" thickBot="1" x14ac:dyDescent="0.35">
      <c r="A34" s="117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7" customHeight="1" thickBot="1" x14ac:dyDescent="0.35">
      <c r="A35" s="117"/>
      <c r="B35" s="146" t="s">
        <v>15</v>
      </c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8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440200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" thickBot="1" x14ac:dyDescent="0.35">
      <c r="A36" s="117"/>
      <c r="B36" s="149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1"/>
      <c r="N36" s="93" t="s">
        <v>16</v>
      </c>
      <c r="O36" s="110">
        <f>SUM(O35:Y35)</f>
        <v>940758</v>
      </c>
      <c r="P36" s="111"/>
      <c r="Q36" s="111"/>
      <c r="R36" s="111"/>
      <c r="S36" s="111"/>
      <c r="T36" s="111"/>
      <c r="U36" s="111"/>
      <c r="V36" s="111"/>
      <c r="W36" s="111"/>
      <c r="X36" s="111"/>
      <c r="Y36" s="112"/>
    </row>
    <row r="37" spans="1:25" ht="15" thickBot="1" x14ac:dyDescent="0.35">
      <c r="A37" s="117"/>
      <c r="B37" s="146" t="s">
        <v>17</v>
      </c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8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525400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" thickBot="1" x14ac:dyDescent="0.35">
      <c r="A38" s="117"/>
      <c r="B38" s="149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1"/>
      <c r="N38" s="93" t="s">
        <v>16</v>
      </c>
      <c r="O38" s="110">
        <f>SUM(O37:Y37)</f>
        <v>1349900</v>
      </c>
      <c r="P38" s="111"/>
      <c r="Q38" s="111"/>
      <c r="R38" s="111"/>
      <c r="S38" s="111"/>
      <c r="T38" s="111"/>
      <c r="U38" s="111"/>
      <c r="V38" s="111"/>
      <c r="W38" s="111"/>
      <c r="X38" s="111"/>
      <c r="Y38" s="112"/>
    </row>
    <row r="39" spans="1:25" ht="14.7" customHeight="1" thickBot="1" x14ac:dyDescent="0.35">
      <c r="A39" s="117"/>
      <c r="B39" s="146" t="s">
        <v>18</v>
      </c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8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85200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7" customHeight="1" thickBot="1" x14ac:dyDescent="0.35">
      <c r="A40" s="117"/>
      <c r="B40" s="149"/>
      <c r="C40" s="150"/>
      <c r="D40" s="150"/>
      <c r="E40" s="150"/>
      <c r="F40" s="150"/>
      <c r="G40" s="150"/>
      <c r="H40" s="150"/>
      <c r="I40" s="150"/>
      <c r="J40" s="150"/>
      <c r="K40" s="150"/>
      <c r="L40" s="150"/>
      <c r="M40" s="151"/>
      <c r="N40" s="93" t="s">
        <v>29</v>
      </c>
      <c r="O40" s="107">
        <f>O38-O36</f>
        <v>409142</v>
      </c>
      <c r="P40" s="108"/>
      <c r="Q40" s="108"/>
      <c r="R40" s="108"/>
      <c r="S40" s="108"/>
      <c r="T40" s="108"/>
      <c r="U40" s="108"/>
      <c r="V40" s="108"/>
      <c r="W40" s="108"/>
      <c r="X40" s="108"/>
      <c r="Y40" s="109"/>
    </row>
    <row r="41" spans="1:25" ht="15" thickBot="1" x14ac:dyDescent="0.35">
      <c r="A41" s="117"/>
    </row>
    <row r="42" spans="1:25" ht="14.7" customHeight="1" thickBot="1" x14ac:dyDescent="0.35">
      <c r="A42" s="117"/>
      <c r="B42" s="128" t="s">
        <v>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30"/>
      <c r="O42" s="125" t="s">
        <v>26</v>
      </c>
      <c r="P42" s="126"/>
      <c r="Q42" s="127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3">
      <c r="A43" s="117"/>
      <c r="B43" s="131"/>
      <c r="C43" s="132"/>
      <c r="D43" s="132"/>
      <c r="E43" s="132"/>
      <c r="F43" s="132"/>
      <c r="G43" s="132"/>
      <c r="H43" s="132"/>
      <c r="I43" s="132"/>
      <c r="J43" s="132"/>
      <c r="K43" s="132"/>
      <c r="L43" s="132"/>
      <c r="M43" s="132"/>
      <c r="N43" s="133"/>
      <c r="O43" s="137" t="s">
        <v>63</v>
      </c>
      <c r="P43" s="138"/>
      <c r="Q43" s="139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3">
      <c r="A44" s="117"/>
      <c r="B44" s="131"/>
      <c r="C44" s="132"/>
      <c r="D44" s="132"/>
      <c r="E44" s="132"/>
      <c r="F44" s="132"/>
      <c r="G44" s="132"/>
      <c r="H44" s="132"/>
      <c r="I44" s="132"/>
      <c r="J44" s="132"/>
      <c r="K44" s="132"/>
      <c r="L44" s="132"/>
      <c r="M44" s="132"/>
      <c r="N44" s="133"/>
      <c r="O44" s="140" t="s">
        <v>144</v>
      </c>
      <c r="P44" s="141"/>
      <c r="Q44" s="142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3">
      <c r="A45" s="117"/>
      <c r="B45" s="131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3"/>
      <c r="O45" s="140" t="s">
        <v>145</v>
      </c>
      <c r="P45" s="141"/>
      <c r="Q45" s="142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3">
      <c r="A46" s="117"/>
      <c r="B46" s="131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3"/>
      <c r="O46" s="140" t="s">
        <v>146</v>
      </c>
      <c r="P46" s="141"/>
      <c r="Q46" s="142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3">
      <c r="A47" s="117"/>
      <c r="B47" s="131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3"/>
      <c r="O47" s="140"/>
      <c r="P47" s="141"/>
      <c r="Q47" s="142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3">
      <c r="A48" s="117"/>
      <c r="B48" s="131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3"/>
      <c r="O48" s="140"/>
      <c r="P48" s="141"/>
      <c r="Q48" s="142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35">
      <c r="A49" s="117"/>
      <c r="B49" s="131"/>
      <c r="C49" s="132"/>
      <c r="D49" s="132"/>
      <c r="E49" s="132"/>
      <c r="F49" s="132"/>
      <c r="G49" s="132"/>
      <c r="H49" s="132"/>
      <c r="I49" s="132"/>
      <c r="J49" s="132"/>
      <c r="K49" s="132"/>
      <c r="L49" s="132"/>
      <c r="M49" s="132"/>
      <c r="N49" s="133"/>
      <c r="O49" s="119"/>
      <c r="P49" s="120"/>
      <c r="Q49" s="121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35">
      <c r="A50" s="117"/>
      <c r="B50" s="134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6"/>
      <c r="O50" s="122" t="s">
        <v>16</v>
      </c>
      <c r="P50" s="123"/>
      <c r="Q50" s="124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" thickBot="1" x14ac:dyDescent="0.35">
      <c r="A51" s="117"/>
    </row>
    <row r="52" spans="1:25" ht="51.75" customHeight="1" thickBot="1" x14ac:dyDescent="0.35">
      <c r="A52" s="118"/>
      <c r="B52" s="125" t="s">
        <v>18</v>
      </c>
      <c r="C52" s="126"/>
      <c r="D52" s="126"/>
      <c r="E52" s="126"/>
      <c r="F52" s="126"/>
      <c r="G52" s="126"/>
      <c r="H52" s="126"/>
      <c r="I52" s="126"/>
      <c r="J52" s="126"/>
      <c r="K52" s="126"/>
      <c r="L52" s="127"/>
      <c r="M52" s="93"/>
      <c r="N52" s="92" t="s">
        <v>16</v>
      </c>
      <c r="O52" s="107">
        <f>O40-SUM(R43:R49)</f>
        <v>229142</v>
      </c>
      <c r="P52" s="108"/>
      <c r="Q52" s="108"/>
      <c r="R52" s="108"/>
      <c r="S52" s="108"/>
      <c r="T52" s="108"/>
      <c r="U52" s="109"/>
      <c r="V52" s="72"/>
      <c r="W52" s="72"/>
      <c r="X52" s="72"/>
      <c r="Y52" s="72"/>
    </row>
    <row r="53" spans="1:25" ht="15.75" customHeight="1" x14ac:dyDescent="0.3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3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3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3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3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3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3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3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3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  <mergeCell ref="B42:N50"/>
    <mergeCell ref="O42:Q42"/>
    <mergeCell ref="O43:Q43"/>
    <mergeCell ref="O44:Q44"/>
    <mergeCell ref="O45:Q45"/>
    <mergeCell ref="O46:Q46"/>
    <mergeCell ref="O47:Q47"/>
    <mergeCell ref="O48:Q48"/>
  </mergeCells>
  <conditionalFormatting sqref="Z5:Z23">
    <cfRule type="cellIs" dxfId="56" priority="1" operator="lessThan">
      <formula>20</formula>
    </cfRule>
    <cfRule type="cellIs" dxfId="55" priority="2" operator="between">
      <formula>20</formula>
      <formula>29</formula>
    </cfRule>
    <cfRule type="cellIs" dxfId="5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Pedido base (copiar esta hoja)</vt:lpstr>
      <vt:lpstr>Sabado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2017-11-06T22:34:43Z</dcterms:modified>
</cp:coreProperties>
</file>