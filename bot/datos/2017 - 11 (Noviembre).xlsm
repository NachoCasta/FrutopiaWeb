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4" xr2:uid="{00000000-000D-0000-FFFF-FFFF00000000}"/>
  </bookViews>
  <sheets>
    <sheet name="Pedido base (copiar esta hoja)" sheetId="3" r:id="rId1"/>
    <sheet name="Sabado 4" sheetId="15" r:id="rId2"/>
    <sheet name="Sabado 11" sheetId="16" r:id="rId3"/>
    <sheet name="Sabado 18" sheetId="17" r:id="rId4"/>
    <sheet name="Sabado 25" sheetId="18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6" i="18" l="1"/>
  <c r="Z15" i="18"/>
  <c r="Z29" i="18" l="1"/>
  <c r="Z12" i="18" l="1"/>
  <c r="Z17" i="17"/>
  <c r="Z18" i="18"/>
  <c r="N18" i="18" s="1"/>
  <c r="AA38" i="18"/>
  <c r="Z27" i="17"/>
  <c r="Z38" i="18"/>
  <c r="Z37" i="18" s="1"/>
  <c r="AB10" i="18"/>
  <c r="O32" i="18"/>
  <c r="P32" i="18"/>
  <c r="P34" i="18" s="1"/>
  <c r="Q32" i="18"/>
  <c r="Q43" i="18" s="1"/>
  <c r="R32" i="18"/>
  <c r="R34" i="18" s="1"/>
  <c r="S32" i="18"/>
  <c r="S43" i="18" s="1"/>
  <c r="T32" i="18"/>
  <c r="T43" i="18" s="1"/>
  <c r="U32" i="18"/>
  <c r="U43" i="18" s="1"/>
  <c r="V32" i="18"/>
  <c r="V34" i="18" s="1"/>
  <c r="W32" i="18"/>
  <c r="W43" i="18" s="1"/>
  <c r="X32" i="18"/>
  <c r="X34" i="18" s="1"/>
  <c r="Y32" i="18"/>
  <c r="Y43" i="18" s="1"/>
  <c r="AA32" i="18"/>
  <c r="AA43" i="18" s="1"/>
  <c r="O37" i="18"/>
  <c r="P37" i="18"/>
  <c r="Q37" i="18"/>
  <c r="R37" i="18"/>
  <c r="S37" i="18"/>
  <c r="T37" i="18"/>
  <c r="U37" i="18"/>
  <c r="V37" i="18"/>
  <c r="W37" i="18"/>
  <c r="X37" i="18"/>
  <c r="Y37" i="18"/>
  <c r="AA37" i="18"/>
  <c r="R56" i="18"/>
  <c r="AB21" i="18"/>
  <c r="N21" i="18"/>
  <c r="AB20" i="18"/>
  <c r="N20" i="18"/>
  <c r="AB27" i="18"/>
  <c r="N27" i="18"/>
  <c r="AB28" i="18"/>
  <c r="N28" i="18"/>
  <c r="AB19" i="18"/>
  <c r="N19" i="18"/>
  <c r="N10" i="18"/>
  <c r="AB12" i="18"/>
  <c r="N12" i="18"/>
  <c r="AB29" i="18"/>
  <c r="N29" i="18"/>
  <c r="AB11" i="18"/>
  <c r="N11" i="18"/>
  <c r="AB8" i="18"/>
  <c r="N8" i="18"/>
  <c r="AB23" i="18"/>
  <c r="N23" i="18"/>
  <c r="AB17" i="18"/>
  <c r="N17" i="18"/>
  <c r="AB7" i="18"/>
  <c r="N7" i="18"/>
  <c r="AB16" i="18"/>
  <c r="N16" i="18"/>
  <c r="AB15" i="18"/>
  <c r="N15" i="18"/>
  <c r="AB9" i="18"/>
  <c r="N9" i="18"/>
  <c r="AB6" i="18"/>
  <c r="N6" i="18"/>
  <c r="AB22" i="18"/>
  <c r="N22" i="18"/>
  <c r="AB26" i="18"/>
  <c r="N26" i="18"/>
  <c r="AB5" i="18"/>
  <c r="N5" i="18"/>
  <c r="AB14" i="18"/>
  <c r="N14" i="18"/>
  <c r="AB13" i="18"/>
  <c r="N13" i="18"/>
  <c r="AB25" i="18"/>
  <c r="N25" i="18"/>
  <c r="AB24" i="18"/>
  <c r="N24" i="18"/>
  <c r="AB18" i="18"/>
  <c r="O90" i="3"/>
  <c r="O101" i="3" s="1"/>
  <c r="P90" i="3"/>
  <c r="P101" i="3" s="1"/>
  <c r="Q90" i="3"/>
  <c r="R90" i="3"/>
  <c r="R101" i="3" s="1"/>
  <c r="S90" i="3"/>
  <c r="S101" i="3" s="1"/>
  <c r="T90" i="3"/>
  <c r="T92" i="3" s="1"/>
  <c r="T101" i="3"/>
  <c r="U90" i="3"/>
  <c r="U101" i="3" s="1"/>
  <c r="V90" i="3"/>
  <c r="V101" i="3" s="1"/>
  <c r="W90" i="3"/>
  <c r="W101" i="3" s="1"/>
  <c r="X90" i="3"/>
  <c r="X101" i="3" s="1"/>
  <c r="Y90" i="3"/>
  <c r="Y101" i="3" s="1"/>
  <c r="Z90" i="3"/>
  <c r="Z101" i="3" s="1"/>
  <c r="AA90" i="3"/>
  <c r="AA101" i="3" s="1"/>
  <c r="O95" i="3"/>
  <c r="P95" i="3"/>
  <c r="Q95" i="3"/>
  <c r="R95" i="3"/>
  <c r="S95" i="3"/>
  <c r="S99" i="3" s="1"/>
  <c r="T95" i="3"/>
  <c r="U95" i="3"/>
  <c r="U99" i="3"/>
  <c r="V95" i="3"/>
  <c r="W95" i="3"/>
  <c r="W99" i="3" s="1"/>
  <c r="X95" i="3"/>
  <c r="Y95" i="3"/>
  <c r="Z96" i="3"/>
  <c r="Z95" i="3" s="1"/>
  <c r="AA96" i="3"/>
  <c r="AA95" i="3" s="1"/>
  <c r="AA99" i="3" s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N11" i="17"/>
  <c r="AA11" i="17"/>
  <c r="N17" i="17"/>
  <c r="AA17" i="17"/>
  <c r="Z5" i="17"/>
  <c r="AA5" i="17" s="1"/>
  <c r="Z19" i="17"/>
  <c r="N19" i="17" s="1"/>
  <c r="AA26" i="17"/>
  <c r="Z10" i="17"/>
  <c r="AA10" i="17" s="1"/>
  <c r="Z12" i="17"/>
  <c r="AA12" i="17" s="1"/>
  <c r="Z9" i="17"/>
  <c r="Z28" i="17"/>
  <c r="AA28" i="17" s="1"/>
  <c r="Z13" i="17"/>
  <c r="N13" i="17" s="1"/>
  <c r="Z16" i="17"/>
  <c r="AA16" i="17" s="1"/>
  <c r="Z25" i="17"/>
  <c r="Z14" i="17"/>
  <c r="AA14" i="17" s="1"/>
  <c r="Z21" i="17"/>
  <c r="N21" i="17" s="1"/>
  <c r="D25" i="17"/>
  <c r="E25" i="17"/>
  <c r="F25" i="17"/>
  <c r="G25" i="17"/>
  <c r="H25" i="17"/>
  <c r="I25" i="17"/>
  <c r="N25" i="17"/>
  <c r="AA25" i="17"/>
  <c r="Z37" i="17"/>
  <c r="AA19" i="17"/>
  <c r="N10" i="17"/>
  <c r="D18" i="17"/>
  <c r="E18" i="17"/>
  <c r="F18" i="17"/>
  <c r="G18" i="17"/>
  <c r="H18" i="17"/>
  <c r="I18" i="17"/>
  <c r="N18" i="17"/>
  <c r="AA18" i="17"/>
  <c r="O31" i="17"/>
  <c r="O42" i="17" s="1"/>
  <c r="P31" i="17"/>
  <c r="P42" i="17" s="1"/>
  <c r="Q31" i="17"/>
  <c r="Q42" i="17" s="1"/>
  <c r="R31" i="17"/>
  <c r="R33" i="17" s="1"/>
  <c r="R36" i="17"/>
  <c r="S31" i="17"/>
  <c r="S33" i="17" s="1"/>
  <c r="T31" i="17"/>
  <c r="T33" i="17" s="1"/>
  <c r="U31" i="17"/>
  <c r="U42" i="17" s="1"/>
  <c r="V31" i="17"/>
  <c r="V42" i="17" s="1"/>
  <c r="W31" i="17"/>
  <c r="W33" i="17" s="1"/>
  <c r="X31" i="17"/>
  <c r="X40" i="17" s="1"/>
  <c r="Y31" i="17"/>
  <c r="Y33" i="17" s="1"/>
  <c r="O36" i="17"/>
  <c r="P36" i="17"/>
  <c r="Q36" i="17"/>
  <c r="S36" i="17"/>
  <c r="T36" i="17"/>
  <c r="U36" i="17"/>
  <c r="V36" i="17"/>
  <c r="W36" i="17"/>
  <c r="X36" i="17"/>
  <c r="Y36" i="17"/>
  <c r="Z36" i="17"/>
  <c r="R55" i="17"/>
  <c r="V33" i="17"/>
  <c r="N16" i="17"/>
  <c r="AA27" i="17"/>
  <c r="N27" i="17"/>
  <c r="AA23" i="17"/>
  <c r="N23" i="17"/>
  <c r="AA6" i="17"/>
  <c r="N6" i="17"/>
  <c r="AA24" i="17"/>
  <c r="N24" i="17"/>
  <c r="AA20" i="17"/>
  <c r="N20" i="17"/>
  <c r="AA9" i="17"/>
  <c r="N9" i="17"/>
  <c r="AA22" i="17"/>
  <c r="N22" i="17"/>
  <c r="N26" i="17"/>
  <c r="AA8" i="17"/>
  <c r="N8" i="17"/>
  <c r="AA15" i="17"/>
  <c r="N15" i="17"/>
  <c r="N28" i="17"/>
  <c r="AA21" i="17"/>
  <c r="N5" i="17"/>
  <c r="AA7" i="17"/>
  <c r="N7" i="17"/>
  <c r="N23" i="15"/>
  <c r="N16" i="16"/>
  <c r="N15" i="16"/>
  <c r="AA16" i="16"/>
  <c r="AA15" i="16"/>
  <c r="O25" i="16"/>
  <c r="O36" i="16" s="1"/>
  <c r="P25" i="16"/>
  <c r="P36" i="16" s="1"/>
  <c r="Q25" i="16"/>
  <c r="R25" i="16"/>
  <c r="R36" i="16" s="1"/>
  <c r="S25" i="16"/>
  <c r="S36" i="16" s="1"/>
  <c r="T25" i="16"/>
  <c r="T36" i="16" s="1"/>
  <c r="U25" i="16"/>
  <c r="U36" i="16" s="1"/>
  <c r="V25" i="16"/>
  <c r="W25" i="16"/>
  <c r="W36" i="16" s="1"/>
  <c r="X25" i="16"/>
  <c r="X36" i="16" s="1"/>
  <c r="Y25" i="16"/>
  <c r="Y36" i="16" s="1"/>
  <c r="Z25" i="16"/>
  <c r="Z36" i="16" s="1"/>
  <c r="O30" i="16"/>
  <c r="P30" i="16"/>
  <c r="Q30" i="16"/>
  <c r="R30" i="16"/>
  <c r="S30" i="16"/>
  <c r="T30" i="16"/>
  <c r="U30" i="16"/>
  <c r="V30" i="16"/>
  <c r="W30" i="16"/>
  <c r="X30" i="16"/>
  <c r="Y30" i="16"/>
  <c r="Z31" i="16"/>
  <c r="Z30" i="16" s="1"/>
  <c r="R49" i="16"/>
  <c r="AA10" i="16"/>
  <c r="N10" i="16"/>
  <c r="AA20" i="16"/>
  <c r="N20" i="16"/>
  <c r="AA18" i="16"/>
  <c r="N18" i="16"/>
  <c r="AA8" i="16"/>
  <c r="N8" i="16"/>
  <c r="AA13" i="16"/>
  <c r="N13" i="16"/>
  <c r="AA7" i="16"/>
  <c r="N7" i="16"/>
  <c r="AA21" i="16"/>
  <c r="N21" i="16"/>
  <c r="AA9" i="16"/>
  <c r="N9" i="16"/>
  <c r="AA6" i="16"/>
  <c r="N6" i="16"/>
  <c r="AA14" i="16"/>
  <c r="N14" i="16"/>
  <c r="AA19" i="16"/>
  <c r="N19" i="16"/>
  <c r="AA12" i="16"/>
  <c r="N12" i="16"/>
  <c r="AA11" i="16"/>
  <c r="N11" i="16"/>
  <c r="AA22" i="16"/>
  <c r="N22" i="16"/>
  <c r="AA17" i="16"/>
  <c r="N17" i="16"/>
  <c r="AA5" i="16"/>
  <c r="N5" i="16"/>
  <c r="N18" i="15"/>
  <c r="Z18" i="15"/>
  <c r="O26" i="15"/>
  <c r="O37" i="15" s="1"/>
  <c r="P26" i="15"/>
  <c r="P37" i="15" s="1"/>
  <c r="Q26" i="15"/>
  <c r="Q37" i="15" s="1"/>
  <c r="R26" i="15"/>
  <c r="R37" i="15" s="1"/>
  <c r="S26" i="15"/>
  <c r="S37" i="15"/>
  <c r="T26" i="15"/>
  <c r="T28" i="15" s="1"/>
  <c r="U26" i="15"/>
  <c r="U28" i="15" s="1"/>
  <c r="V26" i="15"/>
  <c r="V28" i="15" s="1"/>
  <c r="W26" i="15"/>
  <c r="W35" i="15" s="1"/>
  <c r="X26" i="15"/>
  <c r="X37" i="15" s="1"/>
  <c r="Y26" i="15"/>
  <c r="Y28" i="15" s="1"/>
  <c r="O31" i="15"/>
  <c r="P31" i="15"/>
  <c r="Q31" i="15"/>
  <c r="R31" i="15"/>
  <c r="S31" i="15"/>
  <c r="S35" i="15" s="1"/>
  <c r="T31" i="15"/>
  <c r="U31" i="15"/>
  <c r="V31" i="15"/>
  <c r="W31" i="15"/>
  <c r="X31" i="15"/>
  <c r="Y31" i="15"/>
  <c r="R50" i="15"/>
  <c r="Z9" i="15"/>
  <c r="N9" i="15"/>
  <c r="Z22" i="15"/>
  <c r="N22" i="15"/>
  <c r="Z17" i="15"/>
  <c r="N17" i="15"/>
  <c r="Z11" i="15"/>
  <c r="N11" i="15"/>
  <c r="Z15" i="15"/>
  <c r="N15" i="15"/>
  <c r="Z20" i="15"/>
  <c r="N20" i="15"/>
  <c r="Z14" i="15"/>
  <c r="N14" i="15"/>
  <c r="Z5" i="15"/>
  <c r="N5" i="15"/>
  <c r="Z19" i="15"/>
  <c r="N19" i="15"/>
  <c r="Z13" i="15"/>
  <c r="N13" i="15"/>
  <c r="Z10" i="15"/>
  <c r="N10" i="15"/>
  <c r="Z23" i="15"/>
  <c r="Z8" i="15"/>
  <c r="N8" i="15"/>
  <c r="Z12" i="15"/>
  <c r="N12" i="15"/>
  <c r="Z6" i="15"/>
  <c r="N6" i="15"/>
  <c r="Z7" i="15"/>
  <c r="N7" i="15"/>
  <c r="Z16" i="15"/>
  <c r="N16" i="15"/>
  <c r="Z21" i="15"/>
  <c r="N21" i="15"/>
  <c r="R114" i="3"/>
  <c r="Y92" i="3"/>
  <c r="Q92" i="3"/>
  <c r="U92" i="3"/>
  <c r="O92" i="3"/>
  <c r="W92" i="3"/>
  <c r="P92" i="3"/>
  <c r="X92" i="3"/>
  <c r="R92" i="3"/>
  <c r="S92" i="3"/>
  <c r="Y34" i="18"/>
  <c r="Q34" i="18"/>
  <c r="R43" i="18"/>
  <c r="P43" i="18"/>
  <c r="X43" i="18"/>
  <c r="S34" i="18"/>
  <c r="V40" i="17"/>
  <c r="V27" i="16"/>
  <c r="O34" i="16"/>
  <c r="P33" i="17"/>
  <c r="U40" i="17"/>
  <c r="W27" i="16"/>
  <c r="S27" i="16"/>
  <c r="O28" i="15"/>
  <c r="O35" i="15"/>
  <c r="S28" i="15"/>
  <c r="R41" i="18" l="1"/>
  <c r="R45" i="18" s="1"/>
  <c r="AA92" i="3"/>
  <c r="T99" i="3"/>
  <c r="T103" i="3" s="1"/>
  <c r="U33" i="17"/>
  <c r="W34" i="16"/>
  <c r="Q99" i="3"/>
  <c r="X28" i="15"/>
  <c r="AA13" i="17"/>
  <c r="O27" i="16"/>
  <c r="V34" i="16"/>
  <c r="U103" i="3"/>
  <c r="O99" i="3"/>
  <c r="O103" i="3" s="1"/>
  <c r="Q41" i="18"/>
  <c r="Q45" i="18" s="1"/>
  <c r="Y41" i="18"/>
  <c r="Y45" i="18" s="1"/>
  <c r="P103" i="3"/>
  <c r="O41" i="18"/>
  <c r="X27" i="16"/>
  <c r="Q34" i="16"/>
  <c r="Y99" i="3"/>
  <c r="Y103" i="3" s="1"/>
  <c r="P99" i="3"/>
  <c r="W103" i="3"/>
  <c r="Q101" i="3"/>
  <c r="Q103" i="3" s="1"/>
  <c r="X99" i="3"/>
  <c r="X103" i="3" s="1"/>
  <c r="V92" i="3"/>
  <c r="S39" i="15"/>
  <c r="S103" i="3"/>
  <c r="W34" i="18"/>
  <c r="O34" i="18"/>
  <c r="W41" i="18"/>
  <c r="W45" i="18" s="1"/>
  <c r="X33" i="17"/>
  <c r="Q36" i="16"/>
  <c r="Q38" i="16" s="1"/>
  <c r="S41" i="18"/>
  <c r="S45" i="18" s="1"/>
  <c r="V41" i="18"/>
  <c r="V43" i="18"/>
  <c r="U34" i="18"/>
  <c r="U41" i="18"/>
  <c r="U45" i="18" s="1"/>
  <c r="T41" i="18"/>
  <c r="T45" i="18" s="1"/>
  <c r="O43" i="18"/>
  <c r="T34" i="18"/>
  <c r="AA41" i="18"/>
  <c r="AA45" i="18" s="1"/>
  <c r="AA34" i="18"/>
  <c r="T34" i="16"/>
  <c r="T38" i="16" s="1"/>
  <c r="T27" i="16"/>
  <c r="Y42" i="17"/>
  <c r="Y40" i="17"/>
  <c r="R42" i="17"/>
  <c r="U44" i="17"/>
  <c r="V44" i="17"/>
  <c r="T40" i="17"/>
  <c r="W38" i="16"/>
  <c r="O38" i="16"/>
  <c r="R34" i="16"/>
  <c r="R38" i="16" s="1"/>
  <c r="Z34" i="16"/>
  <c r="Z38" i="16" s="1"/>
  <c r="P27" i="16"/>
  <c r="S34" i="16"/>
  <c r="S38" i="16" s="1"/>
  <c r="X34" i="16"/>
  <c r="X38" i="16" s="1"/>
  <c r="P34" i="16"/>
  <c r="P38" i="16" s="1"/>
  <c r="O102" i="3"/>
  <c r="AA103" i="3"/>
  <c r="O33" i="17"/>
  <c r="Z99" i="3"/>
  <c r="Z103" i="3" s="1"/>
  <c r="N12" i="17"/>
  <c r="V99" i="3"/>
  <c r="V103" i="3" s="1"/>
  <c r="R99" i="3"/>
  <c r="R103" i="3" s="1"/>
  <c r="X41" i="18"/>
  <c r="X45" i="18" s="1"/>
  <c r="Z32" i="18"/>
  <c r="U34" i="16"/>
  <c r="Z27" i="16"/>
  <c r="R27" i="16"/>
  <c r="T35" i="15"/>
  <c r="T39" i="15" s="1"/>
  <c r="Y34" i="16"/>
  <c r="Y38" i="16" s="1"/>
  <c r="P40" i="17"/>
  <c r="P44" i="17" s="1"/>
  <c r="Z92" i="3"/>
  <c r="V36" i="16"/>
  <c r="V38" i="16" s="1"/>
  <c r="X42" i="17"/>
  <c r="X44" i="17" s="1"/>
  <c r="T42" i="17"/>
  <c r="P41" i="18"/>
  <c r="P45" i="18" s="1"/>
  <c r="N14" i="17"/>
  <c r="Z31" i="17"/>
  <c r="Z42" i="17" s="1"/>
  <c r="O39" i="15"/>
  <c r="W40" i="17"/>
  <c r="U27" i="16"/>
  <c r="O40" i="17"/>
  <c r="O44" i="17" s="1"/>
  <c r="W37" i="15"/>
  <c r="W39" i="15" s="1"/>
  <c r="Y27" i="16"/>
  <c r="Q27" i="16"/>
  <c r="W42" i="17"/>
  <c r="S42" i="17"/>
  <c r="S40" i="17"/>
  <c r="R40" i="17"/>
  <c r="T37" i="15"/>
  <c r="Q40" i="17"/>
  <c r="Q33" i="17"/>
  <c r="P35" i="15"/>
  <c r="P39" i="15" s="1"/>
  <c r="W28" i="15"/>
  <c r="X35" i="15"/>
  <c r="X39" i="15" s="1"/>
  <c r="Y35" i="15"/>
  <c r="R35" i="15"/>
  <c r="R39" i="15" s="1"/>
  <c r="P28" i="15"/>
  <c r="R28" i="15"/>
  <c r="Q35" i="15"/>
  <c r="Q39" i="15" s="1"/>
  <c r="V35" i="15"/>
  <c r="U35" i="15"/>
  <c r="Q28" i="15"/>
  <c r="Y37" i="15"/>
  <c r="Y39" i="15" s="1"/>
  <c r="U37" i="15"/>
  <c r="V37" i="15"/>
  <c r="O45" i="18" l="1"/>
  <c r="T44" i="17"/>
  <c r="R44" i="17"/>
  <c r="V45" i="18"/>
  <c r="Y44" i="17"/>
  <c r="O43" i="17"/>
  <c r="S44" i="17"/>
  <c r="O35" i="16"/>
  <c r="O37" i="16"/>
  <c r="U38" i="16"/>
  <c r="O100" i="3"/>
  <c r="O104" i="3" s="1"/>
  <c r="O116" i="3" s="1"/>
  <c r="Z41" i="18"/>
  <c r="O42" i="18" s="1"/>
  <c r="Z43" i="18"/>
  <c r="Z34" i="18"/>
  <c r="W44" i="17"/>
  <c r="Z40" i="17"/>
  <c r="O41" i="17" s="1"/>
  <c r="Z33" i="17"/>
  <c r="Q44" i="17"/>
  <c r="V39" i="15"/>
  <c r="U39" i="15"/>
  <c r="O38" i="15"/>
  <c r="O36" i="15"/>
  <c r="O45" i="17" l="1"/>
  <c r="O57" i="17" s="1"/>
  <c r="O39" i="16"/>
  <c r="O51" i="16" s="1"/>
  <c r="Z44" i="17"/>
  <c r="Z45" i="18"/>
  <c r="O44" i="18"/>
  <c r="O46" i="18" s="1"/>
  <c r="O58" i="18" s="1"/>
  <c r="O40" i="15"/>
  <c r="O52" i="15" s="1"/>
</calcChain>
</file>

<file path=xl/sharedStrings.xml><?xml version="1.0" encoding="utf-8"?>
<sst xmlns="http://schemas.openxmlformats.org/spreadsheetml/2006/main" count="1280" uniqueCount="227">
  <si>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</si>
  <si>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</si>
  <si>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</si>
  <si>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</si>
  <si>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</si>
  <si>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</si>
  <si>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</si>
  <si>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</si>
  <si>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</si>
  <si>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</si>
  <si>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</si>
  <si>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</si>
  <si>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</si>
  <si>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</si>
  <si>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</si>
  <si>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</si>
  <si>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</si>
  <si>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</si>
  <si>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</si>
  <si>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</si>
  <si>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</si>
  <si>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</si>
  <si>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</si>
  <si>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</si>
  <si>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</si>
  <si>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</si>
  <si>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</si>
  <si>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</si>
  <si>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</si>
  <si>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</si>
  <si>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</si>
  <si>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</si>
  <si>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</si>
  <si>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</si>
  <si>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</si>
  <si>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</si>
  <si>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</si>
  <si>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</si>
  <si>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</si>
  <si>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</si>
  <si>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</si>
  <si>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</si>
  <si>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</si>
  <si>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</si>
  <si>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</si>
  <si>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</si>
  <si>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</si>
  <si>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</si>
  <si>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</si>
  <si>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</si>
  <si>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</si>
  <si>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</si>
  <si>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</si>
  <si>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</si>
  <si>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</si>
  <si>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</si>
  <si>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</si>
  <si>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</si>
  <si>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</si>
  <si>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</si>
  <si>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</si>
  <si>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</si>
  <si>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</si>
  <si>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</si>
  <si>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</si>
  <si>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</si>
  <si>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</si>
  <si>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</si>
  <si>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</si>
  <si>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</si>
  <si>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</si>
  <si>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</si>
  <si>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</si>
  <si>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</si>
  <si>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</si>
  <si>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</si>
  <si>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</si>
  <si>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</si>
  <si>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</si>
  <si>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</si>
  <si>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</si>
  <si>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</si>
  <si>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</si>
  <si>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</si>
  <si>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</si>
  <si>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</si>
  <si>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</si>
  <si>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</si>
  <si>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</si>
  <si>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</si>
  <si>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</si>
  <si>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</si>
  <si>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</si>
  <si>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</si>
  <si>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</si>
  <si>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</si>
  <si>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</si>
  <si>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</si>
  <si>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</si>
  <si>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</si>
  <si>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</si>
  <si>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</si>
  <si>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</si>
  <si>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</si>
  <si>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</si>
  <si>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</si>
  <si>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</si>
  <si>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</si>
  <si>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</si>
  <si>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</si>
  <si>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</si>
  <si>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</si>
  <si>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</si>
  <si>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</si>
  <si>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</si>
  <si>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</si>
  <si>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</si>
  <si>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</si>
  <si>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</si>
  <si>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</si>
  <si>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</si>
  <si>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</si>
  <si>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</si>
  <si>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</si>
  <si>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</si>
  <si>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</si>
  <si>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</si>
  <si>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</si>
  <si>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</si>
  <si>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</si>
  <si>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</si>
  <si>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</si>
  <si>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</si>
  <si>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</si>
  <si>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</si>
  <si>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</si>
  <si>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</si>
  <si>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</si>
  <si>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</si>
  <si>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</si>
  <si>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</si>
  <si>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</si>
  <si>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</si>
  <si>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</si>
  <si>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</si>
  <si>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</si>
  <si>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</si>
  <si>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</si>
  <si>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</si>
  <si>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</si>
  <si>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</si>
  <si>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</si>
  <si>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</si>
  <si>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</si>
  <si>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</si>
  <si>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</si>
  <si>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</si>
  <si>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</si>
  <si>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</si>
  <si>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</si>
  <si>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</si>
  <si>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</si>
  <si>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</si>
  <si>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</si>
  <si>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</si>
  <si>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</si>
  <si>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</si>
  <si>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</si>
  <si>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</si>
  <si>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</si>
  <si>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Iñaki</t>
  </si>
  <si>
    <t>Tramontana</t>
  </si>
  <si>
    <t>Los Algarrobos 3 Casa 28</t>
  </si>
  <si>
    <t>Chicureo</t>
  </si>
  <si>
    <t>Piedra Roja</t>
  </si>
  <si>
    <t>Eichholz</t>
  </si>
  <si>
    <t>Julio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</si>
  <si>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</si>
  <si>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</si>
  <si>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</si>
  <si>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</si>
  <si>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</si>
  <si>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</si>
  <si>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</si>
  <si>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</si>
  <si>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Si</t>
  </si>
  <si>
    <t>Quense</t>
  </si>
  <si>
    <t>Cerro Cortadera 9897</t>
  </si>
  <si>
    <t>SOCIO</t>
  </si>
  <si>
    <t>lukas.quense@gmail.com</t>
  </si>
  <si>
    <t>Joaquin</t>
  </si>
  <si>
    <t>Estrella Del Norte 980 Dpto 154</t>
  </si>
  <si>
    <t>joaquin.eichholz@gmail.com</t>
  </si>
  <si>
    <t>itramontanae@udd.cl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</si>
  <si>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</si>
  <si>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</si>
  <si>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</si>
  <si>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</si>
  <si>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</si>
  <si>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</si>
  <si>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</si>
  <si>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</si>
  <si>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</si>
  <si>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</si>
  <si>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</si>
  <si>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</si>
  <si>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</si>
  <si>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</si>
  <si>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</si>
  <si>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</si>
  <si>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</si>
  <si>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</si>
  <si>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</si>
  <si>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</si>
  <si>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</si>
  <si>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</si>
  <si>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</si>
  <si>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</si>
  <si>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</si>
  <si>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</si>
  <si>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</si>
  <si>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</si>
  <si>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PARCIAL</t>
  </si>
  <si>
    <t>Av La Dehesa 4510 Casa 10</t>
  </si>
  <si>
    <t>exequielswinburn@gmail.com</t>
  </si>
  <si>
    <t>Santa Veronica 1035</t>
  </si>
  <si>
    <t>jpgermain17@gmail.com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</si>
</sst>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90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48" xfId="0" applyNumberFormat="1" applyFill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4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Joaquin Eichholz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C87" totalsRowShown="0" headerRowDxfId="293" headerRowBorderDxfId="292" tableBorderDxfId="291" totalsRowBorderDxfId="290">
  <autoFilter ref="B4:AC87" xr:uid="{00000000-0009-0000-0100-000002000000}"/>
  <sortState ref="B5:AC87">
    <sortCondition ref="C4:C72"/>
  </sortState>
  <tableColumns count="28">
    <tableColumn id="1" xr3:uid="{00000000-0010-0000-0000-000001000000}" name="Nombre" dataDxfId="289">
      <calculatedColumnFormula>[1]Personas!A2</calculatedColumnFormula>
    </tableColumn>
    <tableColumn id="2" xr3:uid="{00000000-0010-0000-0000-000002000000}" name="Apellido" dataDxfId="288" totalsRowDxfId="287">
      <calculatedColumnFormula>[1]Personas!B2</calculatedColumnFormula>
    </tableColumn>
    <tableColumn id="3" xr3:uid="{00000000-0010-0000-0000-000003000000}" name="Direccion" dataDxfId="286" totalsRowDxfId="285">
      <calculatedColumnFormula>[1]Personas!C2</calculatedColumnFormula>
    </tableColumn>
    <tableColumn id="4" xr3:uid="{00000000-0010-0000-0000-000004000000}" name="Comuna" dataDxfId="284" totalsRowDxfId="283">
      <calculatedColumnFormula>[1]Personas!D2</calculatedColumnFormula>
    </tableColumn>
    <tableColumn id="20" xr3:uid="{00000000-0010-0000-0000-000014000000}" name="Sector" dataDxfId="282" totalsRowDxfId="281">
      <calculatedColumnFormula>[1]Personas!E2</calculatedColumnFormula>
    </tableColumn>
    <tableColumn id="21" xr3:uid="{00000000-0010-0000-0000-000015000000}" name="Universidad" dataDxfId="280" totalsRowDxfId="279">
      <calculatedColumnFormula>[1]Personas!F2</calculatedColumnFormula>
    </tableColumn>
    <tableColumn id="22" xr3:uid="{00000000-0010-0000-0000-000016000000}" name="Cargo" dataDxfId="278" totalsRowDxfId="277">
      <calculatedColumnFormula>[1]Personas!G2</calculatedColumnFormula>
    </tableColumn>
    <tableColumn id="19" xr3:uid="{00000000-0010-0000-0000-000013000000}" name="Telefono" dataDxfId="276" totalsRowDxfId="275">
      <calculatedColumnFormula>[1]Personas!H2</calculatedColumnFormula>
    </tableColumn>
    <tableColumn id="12" xr3:uid="{00000000-0010-0000-0000-00000C000000}" name="Mail" dataDxfId="274" totalsRowDxfId="273" dataCellStyle="Millares">
      <calculatedColumnFormula>[1]Personas!I2</calculatedColumnFormula>
    </tableColumn>
    <tableColumn id="29" xr3:uid="{00000000-0010-0000-0000-00001D000000}" name="Encargado" dataDxfId="272" totalsRowDxfId="271" dataCellStyle="Millares">
      <calculatedColumnFormula>[1]Personas!J2</calculatedColumnFormula>
    </tableColumn>
    <tableColumn id="28" xr3:uid="{00000000-0010-0000-0000-00001C000000}" name="Entregado" dataDxfId="270" totalsRowDxfId="269"/>
    <tableColumn id="11" xr3:uid="{EA03B5A3-0D22-4235-8B84-5BCED3FE14DE}" name="Pagado" dataDxfId="268" totalsRowDxfId="267"/>
    <tableColumn id="5" xr3:uid="{00000000-0010-0000-0000-000005000000}" name="Deuda" dataDxfId="266" totalsRowDxfId="265">
      <calculatedColumnFormula>SUMPRODUCT(Tabla523[[#This Row],[Naranjas]:[Arandanos]],O$97:AA$97)</calculatedColumnFormula>
    </tableColumn>
    <tableColumn id="7" xr3:uid="{00000000-0010-0000-0000-000007000000}" name="Naranjas" dataDxfId="264" totalsRowDxfId="263"/>
    <tableColumn id="8" xr3:uid="{00000000-0010-0000-0000-000008000000}" name="Mandarinas" dataDxfId="262" totalsRowDxfId="261"/>
    <tableColumn id="9" xr3:uid="{00000000-0010-0000-0000-000009000000}" name="Paltas" dataDxfId="260" totalsRowDxfId="259"/>
    <tableColumn id="10" xr3:uid="{00000000-0010-0000-0000-00000A000000}" name="Quesos" dataDxfId="258" totalsRowDxfId="257"/>
    <tableColumn id="6" xr3:uid="{156812BB-FB47-4F5F-AC79-944CA52078EE}" name="Frutillas" dataDxfId="256" totalsRowDxfId="255"/>
    <tableColumn id="13" xr3:uid="{00000000-0010-0000-0000-00000D000000}" name="Tomate Cherry" dataDxfId="254" totalsRowDxfId="253"/>
    <tableColumn id="14" xr3:uid="{00000000-0010-0000-0000-00000E000000}" name="Nueces" dataDxfId="252" totalsRowDxfId="251"/>
    <tableColumn id="15" xr3:uid="{521ADC59-7BBF-4276-8FA1-9D5F3652F653}" name="Mani" dataDxfId="250" totalsRowDxfId="249"/>
    <tableColumn id="16" xr3:uid="{A0273DDC-1B43-44D2-9218-45E0A5D88391}" name="Pistachos" dataDxfId="248" totalsRowDxfId="247"/>
    <tableColumn id="17" xr3:uid="{C5A1A2FF-4286-42A7-8DEE-9A684DFF7AC0}" name="Caju" dataDxfId="246" totalsRowDxfId="245"/>
    <tableColumn id="18" xr3:uid="{C6D5E838-31A0-4EAD-849A-FAC4EC0A9B82}" name="Almendras" dataDxfId="244" totalsRowDxfId="243"/>
    <tableColumn id="24" xr3:uid="{27EB8D53-46B1-4BC2-BFB6-B8CE36C95103}" name="Cerezas" dataDxfId="242" totalsRowDxfId="241"/>
    <tableColumn id="25" xr3:uid="{39A7B418-A22B-4561-896D-DE159452AE13}" name="Arandanos" dataDxfId="240" totalsRowDxfId="239"/>
    <tableColumn id="23" xr3:uid="{00000000-0010-0000-0000-000017000000}" name="Total" dataDxfId="238">
      <calculatedColumnFormula>SUM(Tabla523[[#This Row],[Naranjas]:[Arandanos]])</calculatedColumnFormula>
    </tableColumn>
    <tableColumn id="30" xr3:uid="{00000000-0010-0000-0000-00001E000000}" name="Comentario" dataDxfId="237" totalsRowDxfId="2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232" headerRowBorderDxfId="231" tableBorderDxfId="230" totalsRowBorderDxfId="229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228"/>
    <tableColumn id="2" xr3:uid="{2A50B983-8247-447D-A78A-A95C5E050F20}" name="Apellido" dataDxfId="227" totalsRowDxfId="226"/>
    <tableColumn id="3" xr3:uid="{DE81DEEC-1B27-46DF-8AA3-26753D70F93D}" name="Direccion" dataDxfId="225" totalsRowDxfId="224"/>
    <tableColumn id="4" xr3:uid="{305D02B1-C6E2-4F11-822B-60C8525D1A13}" name="Comuna" dataDxfId="223" totalsRowDxfId="222"/>
    <tableColumn id="20" xr3:uid="{3C4BCD1D-D8FA-4A4D-9AD8-D4ED166B3978}" name="Sector" dataDxfId="221" totalsRowDxfId="220"/>
    <tableColumn id="21" xr3:uid="{9F35D4A9-D491-4316-9A5E-6DC6349F5078}" name="Universidad" dataDxfId="219" totalsRowDxfId="218"/>
    <tableColumn id="22" xr3:uid="{2F4C5390-85B2-4C5F-9E3A-C65CA0CD3035}" name="Cargo" dataDxfId="217" totalsRowDxfId="216"/>
    <tableColumn id="19" xr3:uid="{20972F04-95EA-4B8D-B95C-B80C1632C52F}" name="Telefono" dataDxfId="215" totalsRowDxfId="214"/>
    <tableColumn id="12" xr3:uid="{939DACFE-766F-4919-805C-5313B819F74C}" name="Mail" dataDxfId="213" totalsRowDxfId="212" dataCellStyle="Millares"/>
    <tableColumn id="29" xr3:uid="{158C9087-27B0-43DC-9D92-48CA115A2294}" name="Encargado" dataDxfId="211" totalsRowDxfId="210" dataCellStyle="Millares"/>
    <tableColumn id="28" xr3:uid="{11D6F88B-FC22-4A24-B7B7-788F779FB97E}" name="Entregado" dataDxfId="209" totalsRowDxfId="208"/>
    <tableColumn id="11" xr3:uid="{D7004FBA-EF63-4928-850F-264D9FAB422D}" name="Pagado" dataDxfId="207" totalsRowDxfId="206"/>
    <tableColumn id="5" xr3:uid="{1C63F4E9-DDFA-4C59-B100-468CB61B1DE2}" name="Deuda" dataDxfId="205" totalsRowDxfId="204">
      <calculatedColumnFormula>SUMPRODUCT(Tabla5232[[#This Row],[Naranjas]:[Almendras]],O$33:Y$33)</calculatedColumnFormula>
    </tableColumn>
    <tableColumn id="7" xr3:uid="{859B2129-BF3B-4DDD-9D22-FF3A012014D0}" name="Naranjas" dataDxfId="203" totalsRowDxfId="202"/>
    <tableColumn id="8" xr3:uid="{F16F9BD4-1325-4A2E-8B22-2A38BD9A0622}" name="Mandarinas" dataDxfId="201" totalsRowDxfId="200"/>
    <tableColumn id="9" xr3:uid="{1BC859AB-64E2-4F38-AD7D-3D1004FB134A}" name="Paltas" dataDxfId="199" totalsRowDxfId="198"/>
    <tableColumn id="10" xr3:uid="{C9243466-ACCA-4E0F-AD51-FB37582B95C1}" name="Quesos" dataDxfId="197" totalsRowDxfId="196"/>
    <tableColumn id="6" xr3:uid="{DA0301D2-97CB-4A98-9440-CBBBD9BAF237}" name="Frutillas" dataDxfId="195" totalsRowDxfId="194"/>
    <tableColumn id="13" xr3:uid="{25E319A5-33F9-4DC7-A608-E50C251262B5}" name="Tomate Cherry" dataDxfId="193" totalsRowDxfId="192"/>
    <tableColumn id="14" xr3:uid="{79CA248A-A279-4125-83B8-D5968A218B78}" name="Nueces" dataDxfId="191" totalsRowDxfId="190"/>
    <tableColumn id="15" xr3:uid="{2C38EFE0-AFF8-484C-8793-7A446E62F9BD}" name="Mani" dataDxfId="189" totalsRowDxfId="188"/>
    <tableColumn id="16" xr3:uid="{5F0A8A04-C9A7-4351-90AD-7168CB33DC12}" name="Pistachos" dataDxfId="187" totalsRowDxfId="186"/>
    <tableColumn id="17" xr3:uid="{A122C343-842D-4AC6-A10F-A06D71CFFAC9}" name="Caju" dataDxfId="185" totalsRowDxfId="184"/>
    <tableColumn id="18" xr3:uid="{3EBDACB7-F153-4AC9-B435-E8A4FC88BAC5}" name="Almendras" dataDxfId="183" totalsRowDxfId="182"/>
    <tableColumn id="23" xr3:uid="{50267359-5AA2-41FE-ADC4-048A39144B96}" name="Total" dataDxfId="181">
      <calculatedColumnFormula>SUM(Tabla5232[[#This Row],[Naranjas]:[Almendras]])</calculatedColumnFormula>
    </tableColumn>
    <tableColumn id="30" xr3:uid="{9D1F69FE-A292-4BD1-BC2A-9BF26B22D0A4}" name="Comentario" dataDxfId="180" totalsRowDxfId="17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7C7E3-C21B-4220-94A4-64B9B44F38F0}" name="Tabla5234" displayName="Tabla5234" ref="B4:AB22" totalsRowShown="0" headerRowDxfId="175" headerRowBorderDxfId="174" tableBorderDxfId="173" totalsRowBorderDxfId="172">
  <autoFilter ref="B4:AB22" xr:uid="{00000000-0009-0000-0100-000002000000}"/>
  <sortState ref="B5:AB22">
    <sortCondition ref="M4:M22"/>
  </sortState>
  <tableColumns count="27">
    <tableColumn id="1" xr3:uid="{7B2CE286-E487-40F7-9185-E0AF05E8D711}" name="Nombre" dataDxfId="171"/>
    <tableColumn id="2" xr3:uid="{4956632D-5266-4487-853F-348ABBF0C135}" name="Apellido" dataDxfId="170" totalsRowDxfId="169"/>
    <tableColumn id="3" xr3:uid="{71F47136-1469-4067-8ED7-8D7A0FCE60F9}" name="Direccion" dataDxfId="168" totalsRowDxfId="167"/>
    <tableColumn id="4" xr3:uid="{622A159C-E677-4082-8201-5BBE9BA7D757}" name="Comuna" dataDxfId="166" totalsRowDxfId="165"/>
    <tableColumn id="20" xr3:uid="{A0539A97-9203-4893-A11B-D502D856FE3E}" name="Sector" dataDxfId="164" totalsRowDxfId="163"/>
    <tableColumn id="21" xr3:uid="{8CB7427B-8444-4AD1-B8A7-4DFEFF97FE78}" name="Universidad" dataDxfId="162" totalsRowDxfId="161"/>
    <tableColumn id="22" xr3:uid="{5ACC6FF1-47A7-49F4-BB52-5BA064F4160C}" name="Cargo" dataDxfId="160" totalsRowDxfId="159"/>
    <tableColumn id="19" xr3:uid="{8B3456EF-85E8-4C9F-9F02-41EC30C45D6E}" name="Telefono" dataDxfId="158" totalsRowDxfId="157"/>
    <tableColumn id="12" xr3:uid="{D83646AA-CA2B-4203-8A8F-2495D98D84D4}" name="Mail" dataDxfId="156" totalsRowDxfId="155" dataCellStyle="Millares"/>
    <tableColumn id="29" xr3:uid="{C3AB121F-4CF9-482E-A678-1709DDE29CA8}" name="Encargado" dataDxfId="154" totalsRowDxfId="153" dataCellStyle="Millares"/>
    <tableColumn id="28" xr3:uid="{27DF0A04-4006-40B0-974F-8E02C6843CA5}" name="Entregado" dataDxfId="152" totalsRowDxfId="151"/>
    <tableColumn id="11" xr3:uid="{6BF5F92D-BE39-4AC3-BFE9-AECD8FA1FABA}" name="Pagado" dataDxfId="150" totalsRowDxfId="149"/>
    <tableColumn id="5" xr3:uid="{2E087FC1-79B4-419F-B5D9-8B070C6E4F88}" name="Deuda" dataDxfId="148" totalsRowDxfId="147">
      <calculatedColumnFormula>SUMPRODUCT(Tabla5234[[#This Row],[Naranjas]:[Cerezas]],O$32:Z$32)</calculatedColumnFormula>
    </tableColumn>
    <tableColumn id="7" xr3:uid="{E5495E91-E0E7-45D8-BAE2-A6A77C4E8EB8}" name="Naranjas" dataDxfId="146" totalsRowDxfId="145"/>
    <tableColumn id="8" xr3:uid="{F50A3D81-8367-4C03-84D1-1BA4D88D6285}" name="Mandarinas" dataDxfId="144" totalsRowDxfId="143"/>
    <tableColumn id="9" xr3:uid="{F13F2FA8-8737-4300-B692-476DB3A602BA}" name="Paltas" dataDxfId="142" totalsRowDxfId="141"/>
    <tableColumn id="10" xr3:uid="{6AD791EE-3E1D-4F19-928D-9F3EEE6857CE}" name="Quesos" dataDxfId="140" totalsRowDxfId="139"/>
    <tableColumn id="6" xr3:uid="{BA67EC12-7ADB-421A-82EA-DA0E8D20674B}" name="Frutillas" dataDxfId="138" totalsRowDxfId="137"/>
    <tableColumn id="13" xr3:uid="{6059A764-8E22-4BB0-BC3D-57E3CEAB5CB9}" name="Tomate Cherry" dataDxfId="136" totalsRowDxfId="135"/>
    <tableColumn id="14" xr3:uid="{09A6C2D7-6ECB-4B63-9A35-F660522C9070}" name="Nueces" dataDxfId="134" totalsRowDxfId="133"/>
    <tableColumn id="15" xr3:uid="{061A6367-C910-457D-AE0F-0785B917074A}" name="Mani" dataDxfId="132" totalsRowDxfId="131"/>
    <tableColumn id="16" xr3:uid="{0EBD986D-86F1-429C-95F8-37E72402F9AE}" name="Pistachos" dataDxfId="130" totalsRowDxfId="129"/>
    <tableColumn id="17" xr3:uid="{F0DDA109-678C-4B14-A64A-A0C02ED22B62}" name="Caju" dataDxfId="128" totalsRowDxfId="127"/>
    <tableColumn id="18" xr3:uid="{DBAA7D84-BF84-468E-B982-369058C47E8E}" name="Almendras" dataDxfId="126" totalsRowDxfId="125"/>
    <tableColumn id="24" xr3:uid="{C8C4F31E-6B5B-4EE8-AFB8-D2A850293161}" name="Cerezas" dataDxfId="124" totalsRowDxfId="123"/>
    <tableColumn id="23" xr3:uid="{0C793234-8CC6-415F-99F8-4F672BD48152}" name="Total" dataDxfId="122">
      <calculatedColumnFormula>SUM(Tabla5234[[#This Row],[Naranjas]:[Cerezas]])</calculatedColumnFormula>
    </tableColumn>
    <tableColumn id="30" xr3:uid="{37C246E8-C78E-49CD-80EE-67422500A98E}" name="Comentario" dataDxfId="121" totalsRowDxfId="12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CC9D53-DDC2-495A-8522-B9130C00C061}" name="Tabla5235" displayName="Tabla5235" ref="B4:AB28" totalsRowShown="0" headerRowDxfId="116" headerRowBorderDxfId="115" tableBorderDxfId="114" totalsRowBorderDxfId="113">
  <autoFilter ref="B4:AB28" xr:uid="{00000000-0009-0000-0100-000002000000}"/>
  <sortState ref="B5:AB28">
    <sortCondition ref="M4:M28"/>
  </sortState>
  <tableColumns count="27">
    <tableColumn id="1" xr3:uid="{30C52CDB-458D-4724-803E-0D49BC1C6C0D}" name="Nombre" dataDxfId="112">
      <calculatedColumnFormula>[1]Personas!A2</calculatedColumnFormula>
    </tableColumn>
    <tableColumn id="2" xr3:uid="{A2A8B117-F8E1-4AC9-B858-3819BA53201C}" name="Apellido" dataDxfId="111" totalsRowDxfId="110">
      <calculatedColumnFormula>[1]Personas!B2</calculatedColumnFormula>
    </tableColumn>
    <tableColumn id="3" xr3:uid="{40E0DFA7-0895-47E2-9A75-EC0EC6BEDB5B}" name="Direccion" dataDxfId="109" totalsRowDxfId="108">
      <calculatedColumnFormula>[1]Personas!C2</calculatedColumnFormula>
    </tableColumn>
    <tableColumn id="4" xr3:uid="{EB79A405-AB6C-4964-8E98-864C7542C75E}" name="Comuna" dataDxfId="107" totalsRowDxfId="106">
      <calculatedColumnFormula>[1]Personas!D2</calculatedColumnFormula>
    </tableColumn>
    <tableColumn id="20" xr3:uid="{C901DED0-BA54-463A-8C0F-2BC5C3921913}" name="Sector" dataDxfId="105" totalsRowDxfId="104">
      <calculatedColumnFormula>[1]Personas!E2</calculatedColumnFormula>
    </tableColumn>
    <tableColumn id="21" xr3:uid="{037F4CB5-20F9-46C4-BF1B-5189061EAC83}" name="Universidad" dataDxfId="103" totalsRowDxfId="102">
      <calculatedColumnFormula>[1]Personas!F2</calculatedColumnFormula>
    </tableColumn>
    <tableColumn id="22" xr3:uid="{0AB32323-C59A-447E-9D94-C759A51D0600}" name="Cargo" dataDxfId="101" totalsRowDxfId="100">
      <calculatedColumnFormula>[1]Personas!G2</calculatedColumnFormula>
    </tableColumn>
    <tableColumn id="19" xr3:uid="{BF0C46DF-78B3-43D9-91AA-FC32F4494B5B}" name="Telefono" dataDxfId="99" totalsRowDxfId="98">
      <calculatedColumnFormula>[1]Personas!H2</calculatedColumnFormula>
    </tableColumn>
    <tableColumn id="12" xr3:uid="{F90F7D3C-C48A-47AF-9106-8801899EC964}" name="Mail" dataDxfId="97" totalsRowDxfId="96" dataCellStyle="Millares">
      <calculatedColumnFormula>[1]Personas!I2</calculatedColumnFormula>
    </tableColumn>
    <tableColumn id="29" xr3:uid="{06FF4E06-1B0D-4487-9484-71674AD907FA}" name="Encargado" dataDxfId="95" totalsRowDxfId="94" dataCellStyle="Millares">
      <calculatedColumnFormula>[1]Personas!J2</calculatedColumnFormula>
    </tableColumn>
    <tableColumn id="28" xr3:uid="{D7604625-2051-4CE3-A460-6F3712D6B317}" name="Entregado" dataDxfId="93" totalsRowDxfId="92"/>
    <tableColumn id="11" xr3:uid="{7F341F65-6836-405C-B09F-62A2365A4C5E}" name="Pagado" dataDxfId="91" totalsRowDxfId="90"/>
    <tableColumn id="5" xr3:uid="{C3194117-56D0-4575-B6F0-F293ECF38350}" name="Deuda" dataDxfId="89" totalsRowDxfId="88">
      <calculatedColumnFormula>SUMPRODUCT(Tabla5235[[#This Row],[Naranjas]:[Cerezas]],O$38:Z$38)</calculatedColumnFormula>
    </tableColumn>
    <tableColumn id="7" xr3:uid="{25F91FEA-0501-49CF-89F9-F58C10123F43}" name="Naranjas" dataDxfId="87" totalsRowDxfId="86"/>
    <tableColumn id="8" xr3:uid="{035DFDB5-14AA-43C4-B73C-0AC915FC67A9}" name="Mandarinas" dataDxfId="85" totalsRowDxfId="84"/>
    <tableColumn id="9" xr3:uid="{CFE1FAE5-BE77-4D8B-80B1-4452F2D03F62}" name="Paltas" dataDxfId="83" totalsRowDxfId="82"/>
    <tableColumn id="10" xr3:uid="{95A89072-1400-4F61-B8A3-BCC51C962BFF}" name="Quesos" dataDxfId="81" totalsRowDxfId="80"/>
    <tableColumn id="6" xr3:uid="{F9DD3AAE-5F61-46E9-8F4B-CAB60A345FAE}" name="Frutillas" dataDxfId="79" totalsRowDxfId="78"/>
    <tableColumn id="13" xr3:uid="{97C54A82-8B65-46E8-A723-759B21F884FD}" name="Tomate Cherry" dataDxfId="77" totalsRowDxfId="76"/>
    <tableColumn id="14" xr3:uid="{B8E8EB90-6E8F-4A84-ABA0-9CB74487E47B}" name="Nueces" dataDxfId="75" totalsRowDxfId="74"/>
    <tableColumn id="15" xr3:uid="{FF34BAA9-B9FB-45A7-A198-846B3AD0F616}" name="Mani" dataDxfId="73" totalsRowDxfId="72"/>
    <tableColumn id="16" xr3:uid="{DC385018-FBEF-48B1-9041-1C895F6A4E79}" name="Pistachos" dataDxfId="71" totalsRowDxfId="70"/>
    <tableColumn id="17" xr3:uid="{E3144467-81A4-4E3F-B53A-0647C1FF0088}" name="Caju" dataDxfId="69" totalsRowDxfId="68"/>
    <tableColumn id="18" xr3:uid="{60DC59A5-E5DF-4353-8103-624C7E7D26E8}" name="Almendras" dataDxfId="67" totalsRowDxfId="66"/>
    <tableColumn id="24" xr3:uid="{428EABDE-3882-4D58-B6C0-9D15E9F657B2}" name="Cerezas" dataDxfId="65" totalsRowDxfId="64"/>
    <tableColumn id="23" xr3:uid="{566273AD-24AE-43BD-AD26-7FF1139D368F}" name="Total" dataDxfId="63">
      <calculatedColumnFormula>SUM(Tabla5235[[#This Row],[Naranjas]:[Cerezas]])</calculatedColumnFormula>
    </tableColumn>
    <tableColumn id="30" xr3:uid="{2AAEA9D8-F599-4829-A74E-4E9B7A7A16D7}" name="Comentario" dataDxfId="62" totalsRowDxfId="6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85CF7C-D7F5-4ACB-94E6-F86860B5FFFB}" name="Tabla5236" displayName="Tabla5236" ref="B4:AC29" totalsRowShown="0" headerRowDxfId="57" headerRowBorderDxfId="56" tableBorderDxfId="55" totalsRowBorderDxfId="54">
  <autoFilter ref="B4:AC29" xr:uid="{00000000-0009-0000-0100-000002000000}"/>
  <sortState ref="B5:AC29">
    <sortCondition ref="M4:M29"/>
  </sortState>
  <tableColumns count="28">
    <tableColumn id="1" xr3:uid="{FDB2B517-6D61-49FD-8CF5-04A085AC3544}" name="Nombre" dataDxfId="53"/>
    <tableColumn id="2" xr3:uid="{805CF33A-F663-48A5-8575-EC0C0BB98223}" name="Apellido" dataDxfId="52" totalsRowDxfId="51"/>
    <tableColumn id="3" xr3:uid="{DF594E45-21B7-4D3F-AD3B-92D099DD61E1}" name="Direccion" dataDxfId="50" totalsRowDxfId="49"/>
    <tableColumn id="4" xr3:uid="{0958B605-93E2-475B-8AF9-FE8D197D0BAA}" name="Comuna" dataDxfId="48" totalsRowDxfId="47"/>
    <tableColumn id="20" xr3:uid="{65B54186-0897-445C-A819-537008377A45}" name="Sector" dataDxfId="46" totalsRowDxfId="45"/>
    <tableColumn id="21" xr3:uid="{70B41B55-B921-4FE8-BC65-D6FB892A6ED2}" name="Universidad" dataDxfId="44" totalsRowDxfId="43"/>
    <tableColumn id="22" xr3:uid="{D0A6176E-FC3A-47EC-A034-7EB5B3EAC3CB}" name="Cargo" dataDxfId="42" totalsRowDxfId="41"/>
    <tableColumn id="19" xr3:uid="{84B68A1B-D558-4281-89C6-AE8F400A01E9}" name="Telefono" dataDxfId="40" totalsRowDxfId="39"/>
    <tableColumn id="12" xr3:uid="{3016434E-A738-41A3-B415-28649EC66352}" name="Mail" dataDxfId="38" totalsRowDxfId="37" dataCellStyle="Millares"/>
    <tableColumn id="29" xr3:uid="{42B6A850-5F76-4FCB-B925-699105DE97A2}" name="Encargado" dataDxfId="36" totalsRowDxfId="35" dataCellStyle="Millares"/>
    <tableColumn id="28" xr3:uid="{764DE10E-8233-4740-986E-B43F1BF351C6}" name="Entregado" dataDxfId="34" totalsRowDxfId="33"/>
    <tableColumn id="11" xr3:uid="{E2913185-2119-4891-92A6-3E2CCB3BEB92}" name="Pagado" dataDxfId="32" totalsRowDxfId="31"/>
    <tableColumn id="5" xr3:uid="{E0F7B22A-1032-4F86-B247-A577ADCDC3F7}" name="Deuda" dataDxfId="30" totalsRowDxfId="29">
      <calculatedColumnFormula>SUMPRODUCT(Tabla5236[[#This Row],[Naranjas]:[Arandanos]],O$97:AA$97)</calculatedColumnFormula>
    </tableColumn>
    <tableColumn id="7" xr3:uid="{04389D91-189D-4A17-B3F5-8E57B720DF28}" name="Naranjas" dataDxfId="28" totalsRowDxfId="27"/>
    <tableColumn id="8" xr3:uid="{7D402C24-B8A9-4393-8B72-F1E631749370}" name="Mandarinas" dataDxfId="26" totalsRowDxfId="25"/>
    <tableColumn id="9" xr3:uid="{47F2586F-B831-4918-A0A8-FC82008506CC}" name="Paltas" dataDxfId="24" totalsRowDxfId="23"/>
    <tableColumn id="10" xr3:uid="{F44AE9C2-CF7A-43E2-89F1-55D03FAFBCA3}" name="Quesos" dataDxfId="22" totalsRowDxfId="21"/>
    <tableColumn id="6" xr3:uid="{55547994-1D13-449E-B7C7-FB7FA2910158}" name="Frutillas" dataDxfId="20" totalsRowDxfId="19"/>
    <tableColumn id="13" xr3:uid="{0BA0DF8E-AD37-4944-8553-25AA4D12D10C}" name="Tomate Cherry" dataDxfId="18" totalsRowDxfId="17"/>
    <tableColumn id="14" xr3:uid="{8AA7DC32-8159-4016-87E7-69FDD5840B84}" name="Nueces" dataDxfId="16" totalsRowDxfId="15"/>
    <tableColumn id="15" xr3:uid="{8F7C8329-109C-476C-A323-08E1B7D5D8A3}" name="Mani" dataDxfId="14" totalsRowDxfId="13"/>
    <tableColumn id="16" xr3:uid="{EC7C2965-D3CB-48A3-AC26-DE44A2F7154B}" name="Pistachos" dataDxfId="12" totalsRowDxfId="11"/>
    <tableColumn id="17" xr3:uid="{44CCD567-35C2-4ECE-AF73-6570FCD8247C}" name="Caju" dataDxfId="10" totalsRowDxfId="9"/>
    <tableColumn id="18" xr3:uid="{11F9CB51-0E97-4418-AAEB-EA0E07C4E614}" name="Almendras" dataDxfId="8" totalsRowDxfId="7"/>
    <tableColumn id="24" xr3:uid="{5597FD77-7064-4904-AC31-7F36DC8C699A}" name="Cerezas" dataDxfId="6" totalsRowDxfId="5"/>
    <tableColumn id="25" xr3:uid="{B7F774DE-12B0-4D9C-B533-9322812F4BA4}" name="Arandanos" dataDxfId="4" totalsRowDxfId="3"/>
    <tableColumn id="23" xr3:uid="{F6ED5A89-B6F4-4324-8FF2-169609DF1925}" name="Total" dataDxfId="2">
      <calculatedColumnFormula>SUM(Tabla5236[[#This Row],[Naranjas]:[Arandanos]])</calculatedColumnFormula>
    </tableColumn>
    <tableColumn id="30" xr3:uid="{D6938E7A-6ECF-47EC-A112-B41025C227A2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tramontanae@udd.c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C125"/>
  <sheetViews>
    <sheetView zoomScale="85" zoomScaleNormal="85" zoomScalePageLayoutView="85" workbookViewId="0">
      <pane xSplit="3" ySplit="4" topLeftCell="D23" activePane="bottomRight" state="frozen"/>
      <selection pane="topRight" activeCell="D1" sqref="D1"/>
      <selection pane="bottomLeft" activeCell="A5" sqref="A5"/>
      <selection pane="bottomRight" activeCell="P98" sqref="P98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38" t="s">
        <v>38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40"/>
      <c r="O2" s="136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6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ht="14.65" customHeight="1" outlineLevel="1" x14ac:dyDescent="0.25">
      <c r="A5" s="127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Row],[Naranjas]:[Arandanos]],O$97:AA$97)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>
        <f>SUM(Tabla523[[#This Row],[Naranjas]:[Arandanos]])</f>
        <v>0</v>
      </c>
      <c r="AC5" s="57"/>
    </row>
    <row r="6" spans="1:29" outlineLevel="1" x14ac:dyDescent="0.25">
      <c r="A6" s="128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Row],[Naranjas]:[Arandanos]],O$97:AA$97)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>
        <f>SUM(Tabla523[[#This Row],[Naranjas]:[Arandanos]])</f>
        <v>0</v>
      </c>
      <c r="AC6" s="58"/>
    </row>
    <row r="7" spans="1:29" outlineLevel="1" x14ac:dyDescent="0.25">
      <c r="A7" s="128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Row],[Naranjas]:[Arandanos]],O$97:AA$97)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>
        <f>SUM(Tabla523[[#This Row],[Naranjas]:[Arandanos]])</f>
        <v>0</v>
      </c>
      <c r="AC7" s="58"/>
    </row>
    <row r="8" spans="1:29" outlineLevel="1" x14ac:dyDescent="0.25">
      <c r="A8" s="128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Row],[Naranjas]:[Arandanos]],O$97:AA$97)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>
        <f>SUM(Tabla523[[#This Row],[Naranjas]:[Arandanos]])</f>
        <v>0</v>
      </c>
      <c r="AC8" s="58"/>
    </row>
    <row r="9" spans="1:29" outlineLevel="1" x14ac:dyDescent="0.25">
      <c r="A9" s="128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Row],[Naranjas]:[Arandanos]],O$97:AA$97)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>
        <f>SUM(Tabla523[[#This Row],[Naranjas]:[Arandanos]])</f>
        <v>0</v>
      </c>
      <c r="AC9" s="58"/>
    </row>
    <row r="10" spans="1:29" outlineLevel="1" x14ac:dyDescent="0.25">
      <c r="A10" s="128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Row],[Naranjas]:[Arandanos]],O$97:AA$97)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>
        <f>SUM(Tabla523[[#This Row],[Naranjas]:[Arandanos]])</f>
        <v>0</v>
      </c>
      <c r="AC10" s="58"/>
    </row>
    <row r="11" spans="1:29" outlineLevel="1" x14ac:dyDescent="0.25">
      <c r="A11" s="128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Row],[Naranjas]:[Arandanos]],O$97:AA$97)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>
        <f>SUM(Tabla523[[#This Row],[Naranjas]:[Arandanos]])</f>
        <v>0</v>
      </c>
      <c r="AC11" s="58"/>
    </row>
    <row r="12" spans="1:29" outlineLevel="1" x14ac:dyDescent="0.25">
      <c r="A12" s="128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Row],[Naranjas]:[Arandanos]],O$97:AA$97)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>
        <f>SUM(Tabla523[[#This Row],[Naranjas]:[Arandanos]])</f>
        <v>0</v>
      </c>
      <c r="AC12" s="58"/>
    </row>
    <row r="13" spans="1:29" outlineLevel="1" x14ac:dyDescent="0.25">
      <c r="A13" s="128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Row],[Naranjas]:[Arandanos]],O$97:AA$97)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>
        <f>SUM(Tabla523[[#This Row],[Naranjas]:[Arandanos]])</f>
        <v>0</v>
      </c>
      <c r="AC13" s="58"/>
    </row>
    <row r="14" spans="1:29" outlineLevel="1" x14ac:dyDescent="0.25">
      <c r="A14" s="128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Row],[Naranjas]:[Arandanos]],O$97:AA$97)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>
        <f>SUM(Tabla523[[#This Row],[Naranjas]:[Arandanos]])</f>
        <v>0</v>
      </c>
      <c r="AC14" s="58"/>
    </row>
    <row r="15" spans="1:29" outlineLevel="1" x14ac:dyDescent="0.25">
      <c r="A15" s="128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Row],[Naranjas]:[Arandanos]],O$97:AA$97)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>
        <f>SUM(Tabla523[[#This Row],[Naranjas]:[Arandanos]])</f>
        <v>0</v>
      </c>
      <c r="AC15" s="58"/>
    </row>
    <row r="16" spans="1:29" outlineLevel="1" x14ac:dyDescent="0.25">
      <c r="A16" s="128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Row],[Naranjas]:[Arandanos]],O$97:AA$97)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>
        <f>SUM(Tabla523[[#This Row],[Naranjas]:[Arandanos]])</f>
        <v>0</v>
      </c>
      <c r="AC16" s="58"/>
    </row>
    <row r="17" spans="1:29" outlineLevel="1" x14ac:dyDescent="0.25">
      <c r="A17" s="128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Row],[Naranjas]:[Arandanos]],O$97:AA$97)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>
        <f>SUM(Tabla523[[#This Row],[Naranjas]:[Arandanos]])</f>
        <v>0</v>
      </c>
      <c r="AC17" s="58"/>
    </row>
    <row r="18" spans="1:29" outlineLevel="1" x14ac:dyDescent="0.25">
      <c r="A18" s="128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Row],[Naranjas]:[Arandanos]],O$97:AA$97)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>
        <f>SUM(Tabla523[[#This Row],[Naranjas]:[Arandanos]])</f>
        <v>0</v>
      </c>
      <c r="AC18" s="58"/>
    </row>
    <row r="19" spans="1:29" outlineLevel="1" x14ac:dyDescent="0.25">
      <c r="A19" s="128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Row],[Naranjas]:[Arandanos]],O$97:AA$97)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>
        <f>SUM(Tabla523[[#This Row],[Naranjas]:[Arandanos]])</f>
        <v>0</v>
      </c>
      <c r="AC19" s="58"/>
    </row>
    <row r="20" spans="1:29" outlineLevel="1" x14ac:dyDescent="0.25">
      <c r="A20" s="128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Row],[Naranjas]:[Arandanos]],O$97:AA$97)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>
        <f>SUM(Tabla523[[#This Row],[Naranjas]:[Arandanos]])</f>
        <v>0</v>
      </c>
      <c r="AC20" s="58"/>
    </row>
    <row r="21" spans="1:29" outlineLevel="1" x14ac:dyDescent="0.25">
      <c r="A21" s="128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Row],[Naranjas]:[Arandanos]],O$97:AA$97)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>
        <f>SUM(Tabla523[[#This Row],[Naranjas]:[Arandanos]])</f>
        <v>0</v>
      </c>
      <c r="AC21" s="58"/>
    </row>
    <row r="22" spans="1:29" outlineLevel="1" x14ac:dyDescent="0.25">
      <c r="A22" s="128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Row],[Naranjas]:[Arandanos]],O$97:AA$97)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>
        <f>SUM(Tabla523[[#This Row],[Naranjas]:[Arandanos]])</f>
        <v>0</v>
      </c>
      <c r="AC22" s="58"/>
    </row>
    <row r="23" spans="1:29" outlineLevel="1" x14ac:dyDescent="0.25">
      <c r="A23" s="128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Row],[Naranjas]:[Arandanos]],O$97:AA$97)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>
        <f>SUM(Tabla523[[#This Row],[Naranjas]:[Arandanos]])</f>
        <v>0</v>
      </c>
      <c r="AC23" s="58"/>
    </row>
    <row r="24" spans="1:29" outlineLevel="1" x14ac:dyDescent="0.25">
      <c r="A24" s="128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Row],[Naranjas]:[Arandanos]],O$97:AA$97)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>
        <f>SUM(Tabla523[[#This Row],[Naranjas]:[Arandanos]])</f>
        <v>0</v>
      </c>
      <c r="AC24" s="58"/>
    </row>
    <row r="25" spans="1:29" outlineLevel="1" x14ac:dyDescent="0.25">
      <c r="A25" s="128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Row],[Naranjas]:[Arandanos]],O$97:AA$97)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>
        <f>SUM(Tabla523[[#This Row],[Naranjas]:[Arandanos]])</f>
        <v>0</v>
      </c>
      <c r="AC25" s="58"/>
    </row>
    <row r="26" spans="1:29" outlineLevel="1" x14ac:dyDescent="0.25">
      <c r="A26" s="128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Row],[Naranjas]:[Arandanos]],O$97:AA$97)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>
        <f>SUM(Tabla523[[#This Row],[Naranjas]:[Arandanos]])</f>
        <v>0</v>
      </c>
      <c r="AC26" s="58"/>
    </row>
    <row r="27" spans="1:29" outlineLevel="1" x14ac:dyDescent="0.25">
      <c r="A27" s="128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Row],[Naranjas]:[Arandanos]],O$97:AA$97)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>
        <f>SUM(Tabla523[[#This Row],[Naranjas]:[Arandanos]])</f>
        <v>0</v>
      </c>
      <c r="AC27" s="58"/>
    </row>
    <row r="28" spans="1:29" outlineLevel="1" x14ac:dyDescent="0.25">
      <c r="A28" s="128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Row],[Naranjas]:[Arandanos]],O$97:AA$97)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>
        <f>SUM(Tabla523[[#This Row],[Naranjas]:[Arandanos]])</f>
        <v>0</v>
      </c>
      <c r="AC28" s="58"/>
    </row>
    <row r="29" spans="1:29" outlineLevel="1" x14ac:dyDescent="0.25">
      <c r="A29" s="128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Row],[Naranjas]:[Arandanos]],O$97:AA$97)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>
        <f>SUM(Tabla523[[#This Row],[Naranjas]:[Arandanos]])</f>
        <v>0</v>
      </c>
      <c r="AC29" s="58"/>
    </row>
    <row r="30" spans="1:29" outlineLevel="1" x14ac:dyDescent="0.25">
      <c r="A30" s="128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Row],[Naranjas]:[Arandanos]],O$97:AA$97)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>
        <f>SUM(Tabla523[[#This Row],[Naranjas]:[Arandanos]])</f>
        <v>0</v>
      </c>
      <c r="AC30" s="58"/>
    </row>
    <row r="31" spans="1:29" outlineLevel="1" x14ac:dyDescent="0.25">
      <c r="A31" s="128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Row],[Naranjas]:[Arandanos]],O$97:AA$97)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>
        <f>SUM(Tabla523[[#This Row],[Naranjas]:[Arandanos]])</f>
        <v>0</v>
      </c>
      <c r="AC31" s="58"/>
    </row>
    <row r="32" spans="1:29" outlineLevel="1" x14ac:dyDescent="0.25">
      <c r="A32" s="128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Row],[Naranjas]:[Arandanos]],O$97:AA$97)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>
        <f>SUM(Tabla523[[#This Row],[Naranjas]:[Arandanos]])</f>
        <v>0</v>
      </c>
      <c r="AC32" s="58"/>
    </row>
    <row r="33" spans="1:29" outlineLevel="1" x14ac:dyDescent="0.25">
      <c r="A33" s="128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Row],[Naranjas]:[Arandanos]],O$97:AA$97)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>
        <f>SUM(Tabla523[[#This Row],[Naranjas]:[Arandanos]])</f>
        <v>0</v>
      </c>
      <c r="AC33" s="58"/>
    </row>
    <row r="34" spans="1:29" outlineLevel="1" x14ac:dyDescent="0.25">
      <c r="A34" s="128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Row],[Naranjas]:[Arandanos]],O$97:AA$97)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>
        <f>SUM(Tabla523[[#This Row],[Naranjas]:[Arandanos]])</f>
        <v>0</v>
      </c>
      <c r="AC34" s="58"/>
    </row>
    <row r="35" spans="1:29" outlineLevel="1" x14ac:dyDescent="0.25">
      <c r="A35" s="128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Row],[Naranjas]:[Arandanos]],O$97:AA$97)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>
        <f>SUM(Tabla523[[#This Row],[Naranjas]:[Arandanos]])</f>
        <v>0</v>
      </c>
      <c r="AC35" s="58"/>
    </row>
    <row r="36" spans="1:29" outlineLevel="1" x14ac:dyDescent="0.25">
      <c r="A36" s="128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Row],[Naranjas]:[Arandanos]],O$97:AA$97)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>
        <f>SUM(Tabla523[[#This Row],[Naranjas]:[Arandanos]])</f>
        <v>0</v>
      </c>
      <c r="AC36" s="58"/>
    </row>
    <row r="37" spans="1:29" outlineLevel="1" x14ac:dyDescent="0.25">
      <c r="A37" s="128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Row],[Naranjas]:[Arandanos]],O$97:AA$97)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>
        <f>SUM(Tabla523[[#This Row],[Naranjas]:[Arandanos]])</f>
        <v>0</v>
      </c>
      <c r="AC37" s="58"/>
    </row>
    <row r="38" spans="1:29" outlineLevel="1" x14ac:dyDescent="0.25">
      <c r="A38" s="128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Row],[Naranjas]:[Arandanos]],O$97:AA$97)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>
        <f>SUM(Tabla523[[#This Row],[Naranjas]:[Arandanos]])</f>
        <v>0</v>
      </c>
      <c r="AC38" s="58"/>
    </row>
    <row r="39" spans="1:29" outlineLevel="1" x14ac:dyDescent="0.25">
      <c r="A39" s="128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Row],[Naranjas]:[Arandanos]],O$97:AA$97)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>
        <f>SUM(Tabla523[[#This Row],[Naranjas]:[Arandanos]])</f>
        <v>0</v>
      </c>
      <c r="AC39" s="58"/>
    </row>
    <row r="40" spans="1:29" outlineLevel="1" x14ac:dyDescent="0.25">
      <c r="A40" s="128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Row],[Naranjas]:[Arandanos]],O$97:AA$97)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>
        <f>SUM(Tabla523[[#This Row],[Naranjas]:[Arandanos]])</f>
        <v>0</v>
      </c>
      <c r="AC40" s="58"/>
    </row>
    <row r="41" spans="1:29" outlineLevel="1" x14ac:dyDescent="0.25">
      <c r="A41" s="128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Row],[Naranjas]:[Arandanos]],O$97:AA$97)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>
        <f>SUM(Tabla523[[#This Row],[Naranjas]:[Arandanos]])</f>
        <v>0</v>
      </c>
      <c r="AC41" s="58"/>
    </row>
    <row r="42" spans="1:29" outlineLevel="1" x14ac:dyDescent="0.25">
      <c r="A42" s="128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Row],[Naranjas]:[Arandanos]],O$97:AA$97)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>
        <f>SUM(Tabla523[[#This Row],[Naranjas]:[Arandanos]])</f>
        <v>0</v>
      </c>
      <c r="AC42" s="58"/>
    </row>
    <row r="43" spans="1:29" outlineLevel="1" x14ac:dyDescent="0.25">
      <c r="A43" s="128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Row],[Naranjas]:[Arandanos]],O$97:AA$97)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>
        <f>SUM(Tabla523[[#This Row],[Naranjas]:[Arandanos]])</f>
        <v>0</v>
      </c>
      <c r="AC43" s="58"/>
    </row>
    <row r="44" spans="1:29" outlineLevel="1" x14ac:dyDescent="0.25">
      <c r="A44" s="128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Row],[Naranjas]:[Arandanos]],O$97:AA$97)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>
        <f>SUM(Tabla523[[#This Row],[Naranjas]:[Arandanos]])</f>
        <v>0</v>
      </c>
      <c r="AC44" s="58"/>
    </row>
    <row r="45" spans="1:29" outlineLevel="1" x14ac:dyDescent="0.25">
      <c r="A45" s="128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Row],[Naranjas]:[Arandanos]],O$97:AA$97)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>
        <f>SUM(Tabla523[[#This Row],[Naranjas]:[Arandanos]])</f>
        <v>0</v>
      </c>
      <c r="AC45" s="58"/>
    </row>
    <row r="46" spans="1:29" outlineLevel="1" x14ac:dyDescent="0.25">
      <c r="A46" s="128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Row],[Naranjas]:[Arandanos]],O$97:AA$97)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>
        <f>SUM(Tabla523[[#This Row],[Naranjas]:[Arandanos]])</f>
        <v>0</v>
      </c>
      <c r="AC46" s="58"/>
    </row>
    <row r="47" spans="1:29" outlineLevel="1" x14ac:dyDescent="0.25">
      <c r="A47" s="128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Row],[Naranjas]:[Arandanos]],O$97:AA$97)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>
        <f>SUM(Tabla523[[#This Row],[Naranjas]:[Arandanos]])</f>
        <v>0</v>
      </c>
      <c r="AC47" s="58"/>
    </row>
    <row r="48" spans="1:29" outlineLevel="1" x14ac:dyDescent="0.25">
      <c r="A48" s="128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Row],[Naranjas]:[Arandanos]],O$97:AA$97)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>
        <f>SUM(Tabla523[[#This Row],[Naranjas]:[Arandanos]])</f>
        <v>0</v>
      </c>
      <c r="AC48" s="58"/>
    </row>
    <row r="49" spans="1:29" outlineLevel="1" x14ac:dyDescent="0.25">
      <c r="A49" s="128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Row],[Naranjas]:[Arandanos]],O$97:AA$97)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>
        <f>SUM(Tabla523[[#This Row],[Naranjas]:[Arandanos]])</f>
        <v>0</v>
      </c>
      <c r="AC49" s="58"/>
    </row>
    <row r="50" spans="1:29" outlineLevel="1" x14ac:dyDescent="0.25">
      <c r="A50" s="128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Row],[Naranjas]:[Arandanos]],O$97:AA$97)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>
        <f>SUM(Tabla523[[#This Row],[Naranjas]:[Arandanos]])</f>
        <v>0</v>
      </c>
      <c r="AC50" s="58"/>
    </row>
    <row r="51" spans="1:29" outlineLevel="1" x14ac:dyDescent="0.25">
      <c r="A51" s="128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Lukas Quense</v>
      </c>
      <c r="L51" s="52"/>
      <c r="M51" s="52"/>
      <c r="N51" s="47">
        <f>SUMPRODUCT(Tabla523[[#This Row],[Naranjas]:[Arandanos]],O$97:AA$97)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>
        <f>SUM(Tabla523[[#This Row],[Naranjas]:[Arandanos]])</f>
        <v>0</v>
      </c>
      <c r="AC51" s="58"/>
    </row>
    <row r="52" spans="1:29" outlineLevel="1" x14ac:dyDescent="0.25">
      <c r="A52" s="128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Row],[Naranjas]:[Arandanos]],O$97:AA$97)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>
        <f>SUM(Tabla523[[#This Row],[Naranjas]:[Arandanos]])</f>
        <v>0</v>
      </c>
      <c r="AC52" s="58"/>
    </row>
    <row r="53" spans="1:29" outlineLevel="1" x14ac:dyDescent="0.25">
      <c r="A53" s="128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Row],[Naranjas]:[Arandanos]],O$97:AA$97)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>
        <f>SUM(Tabla523[[#This Row],[Naranjas]:[Arandanos]])</f>
        <v>0</v>
      </c>
      <c r="AC53" s="58"/>
    </row>
    <row r="54" spans="1:29" outlineLevel="1" x14ac:dyDescent="0.25">
      <c r="A54" s="128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Row],[Naranjas]:[Arandanos]],O$97:AA$97)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>
        <f>SUM(Tabla523[[#This Row],[Naranjas]:[Arandanos]])</f>
        <v>0</v>
      </c>
      <c r="AC54" s="58"/>
    </row>
    <row r="55" spans="1:29" outlineLevel="1" x14ac:dyDescent="0.25">
      <c r="A55" s="128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Row],[Naranjas]:[Arandanos]],O$97:AA$97)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>
        <f>SUM(Tabla523[[#This Row],[Naranjas]:[Arandanos]])</f>
        <v>0</v>
      </c>
      <c r="AC55" s="58"/>
    </row>
    <row r="56" spans="1:29" outlineLevel="1" x14ac:dyDescent="0.25">
      <c r="A56" s="128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Row],[Naranjas]:[Arandanos]],O$97:AA$97)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>
        <f>SUM(Tabla523[[#This Row],[Naranjas]:[Arandanos]])</f>
        <v>0</v>
      </c>
      <c r="AC56" s="58"/>
    </row>
    <row r="57" spans="1:29" outlineLevel="1" x14ac:dyDescent="0.25">
      <c r="A57" s="128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Row],[Naranjas]:[Arandanos]],O$97:AA$97)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>
        <f>SUM(Tabla523[[#This Row],[Naranjas]:[Arandanos]])</f>
        <v>0</v>
      </c>
      <c r="AC57" s="58"/>
    </row>
    <row r="58" spans="1:29" outlineLevel="1" x14ac:dyDescent="0.25">
      <c r="A58" s="128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Row],[Naranjas]:[Arandanos]],O$97:AA$97)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>
        <f>SUM(Tabla523[[#This Row],[Naranjas]:[Arandanos]])</f>
        <v>0</v>
      </c>
      <c r="AC58" s="58"/>
    </row>
    <row r="59" spans="1:29" outlineLevel="1" x14ac:dyDescent="0.25">
      <c r="A59" s="128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Row],[Naranjas]:[Arandanos]],O$97:AA$97)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>
        <f>SUM(Tabla523[[#This Row],[Naranjas]:[Arandanos]])</f>
        <v>0</v>
      </c>
      <c r="AC59" s="58"/>
    </row>
    <row r="60" spans="1:29" outlineLevel="1" x14ac:dyDescent="0.25">
      <c r="A60" s="128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Row],[Naranjas]:[Arandanos]],O$97:AA$97)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>
        <f>SUM(Tabla523[[#This Row],[Naranjas]:[Arandanos]])</f>
        <v>0</v>
      </c>
      <c r="AC60" s="58"/>
    </row>
    <row r="61" spans="1:29" outlineLevel="1" x14ac:dyDescent="0.25">
      <c r="A61" s="128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Row],[Naranjas]:[Arandanos]],O$97:AA$97)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>
        <f>SUM(Tabla523[[#This Row],[Naranjas]:[Arandanos]])</f>
        <v>0</v>
      </c>
      <c r="AC61" s="58"/>
    </row>
    <row r="62" spans="1:29" outlineLevel="1" x14ac:dyDescent="0.25">
      <c r="A62" s="128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Row],[Naranjas]:[Arandanos]],O$97:AA$97)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>
        <f>SUM(Tabla523[[#This Row],[Naranjas]:[Arandanos]])</f>
        <v>0</v>
      </c>
      <c r="AC62" s="58"/>
    </row>
    <row r="63" spans="1:29" outlineLevel="1" x14ac:dyDescent="0.25">
      <c r="A63" s="128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Row],[Naranjas]:[Arandanos]],O$97:AA$97)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>
        <f>SUM(Tabla523[[#This Row],[Naranjas]:[Arandanos]])</f>
        <v>0</v>
      </c>
      <c r="AC63" s="58"/>
    </row>
    <row r="64" spans="1:29" outlineLevel="1" x14ac:dyDescent="0.25">
      <c r="A64" s="128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Row],[Naranjas]:[Arandanos]],O$97:AA$97)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>
        <f>SUM(Tabla523[[#This Row],[Naranjas]:[Arandanos]])</f>
        <v>0</v>
      </c>
      <c r="AC64" s="58"/>
    </row>
    <row r="65" spans="1:29" outlineLevel="1" x14ac:dyDescent="0.25">
      <c r="A65" s="128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Row],[Naranjas]:[Arandanos]],O$97:AA$97)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>
        <f>SUM(Tabla523[[#This Row],[Naranjas]:[Arandanos]])</f>
        <v>0</v>
      </c>
      <c r="AC65" s="58"/>
    </row>
    <row r="66" spans="1:29" outlineLevel="1" x14ac:dyDescent="0.25">
      <c r="A66" s="128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Row],[Naranjas]:[Arandanos]],O$97:AA$97)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>
        <f>SUM(Tabla523[[#This Row],[Naranjas]:[Arandanos]])</f>
        <v>0</v>
      </c>
      <c r="AC66" s="58"/>
    </row>
    <row r="67" spans="1:29" outlineLevel="1" x14ac:dyDescent="0.25">
      <c r="A67" s="128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Row],[Naranjas]:[Arandanos]],O$97:AA$97)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>
        <f>SUM(Tabla523[[#This Row],[Naranjas]:[Arandanos]])</f>
        <v>0</v>
      </c>
      <c r="AC67" s="58"/>
    </row>
    <row r="68" spans="1:29" outlineLevel="1" x14ac:dyDescent="0.25">
      <c r="A68" s="128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Row],[Naranjas]:[Arandanos]],O$97:AA$97)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>
        <f>SUM(Tabla523[[#This Row],[Naranjas]:[Arandanos]])</f>
        <v>0</v>
      </c>
      <c r="AC68" s="58"/>
    </row>
    <row r="69" spans="1:29" outlineLevel="1" x14ac:dyDescent="0.25">
      <c r="A69" s="128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Row],[Naranjas]:[Arandanos]],O$97:AA$97)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>
        <f>SUM(Tabla523[[#This Row],[Naranjas]:[Arandanos]])</f>
        <v>0</v>
      </c>
      <c r="AC69" s="58"/>
    </row>
    <row r="70" spans="1:29" outlineLevel="1" x14ac:dyDescent="0.25">
      <c r="A70" s="128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Row],[Naranjas]:[Arandanos]],O$97:AA$97)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>
        <f>SUM(Tabla523[[#This Row],[Naranjas]:[Arandanos]])</f>
        <v>0</v>
      </c>
      <c r="AC70" s="58"/>
    </row>
    <row r="71" spans="1:29" outlineLevel="1" x14ac:dyDescent="0.25">
      <c r="A71" s="128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Row],[Naranjas]:[Arandanos]],O$97:AA$97)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>
        <f>SUM(Tabla523[[#This Row],[Naranjas]:[Arandanos]])</f>
        <v>0</v>
      </c>
      <c r="AC71" s="58"/>
    </row>
    <row r="72" spans="1:29" outlineLevel="1" x14ac:dyDescent="0.25">
      <c r="A72" s="128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Row],[Naranjas]:[Arandanos]],O$97:AA$97)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>
        <f>SUM(Tabla523[[#This Row],[Naranjas]:[Arandanos]])</f>
        <v>0</v>
      </c>
      <c r="AC72" s="58"/>
    </row>
    <row r="73" spans="1:29" outlineLevel="1" x14ac:dyDescent="0.25">
      <c r="A73" s="128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Row],[Naranjas]:[Arandanos]],O$97:AA$97)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>
        <f>SUM(Tabla523[[#This Row],[Naranjas]:[Arandanos]])</f>
        <v>0</v>
      </c>
      <c r="AC73" s="58"/>
    </row>
    <row r="74" spans="1:29" outlineLevel="1" x14ac:dyDescent="0.25">
      <c r="A74" s="128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Row],[Naranjas]:[Arandanos]],O$97:AA$97)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>
        <f>SUM(Tabla523[[#This Row],[Naranjas]:[Arandanos]])</f>
        <v>0</v>
      </c>
      <c r="AC74" s="58"/>
    </row>
    <row r="75" spans="1:29" outlineLevel="1" x14ac:dyDescent="0.25">
      <c r="A75" s="128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Row],[Naranjas]:[Arandanos]],O$97:AA$97)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>
        <f>SUM(Tabla523[[#This Row],[Naranjas]:[Arandanos]])</f>
        <v>0</v>
      </c>
      <c r="AC75" s="58"/>
    </row>
    <row r="76" spans="1:29" outlineLevel="1" x14ac:dyDescent="0.25">
      <c r="A76" s="128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Row],[Naranjas]:[Arandanos]],O$97:AA$97)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>
        <f>SUM(Tabla523[[#This Row],[Naranjas]:[Arandanos]])</f>
        <v>0</v>
      </c>
      <c r="AC76" s="58"/>
    </row>
    <row r="77" spans="1:29" outlineLevel="1" x14ac:dyDescent="0.25">
      <c r="A77" s="128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Row],[Naranjas]:[Arandanos]],O$97:AA$97)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>
        <f>SUM(Tabla523[[#This Row],[Naranjas]:[Arandanos]])</f>
        <v>0</v>
      </c>
      <c r="AC77" s="58"/>
    </row>
    <row r="78" spans="1:29" outlineLevel="1" x14ac:dyDescent="0.25">
      <c r="A78" s="128"/>
      <c r="B78" s="50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Joaquin Eichholz</v>
      </c>
      <c r="L78" s="52"/>
      <c r="M78" s="52"/>
      <c r="N78" s="70">
        <f>SUMPRODUCT(Tabla523[[#This Row],[Naranjas]:[Arandanos]],O$97:AA$97)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>
        <f>SUM(Tabla523[[#This Row],[Naranjas]:[Arandanos]])</f>
        <v>0</v>
      </c>
      <c r="AC78" s="58"/>
    </row>
    <row r="79" spans="1:29" outlineLevel="1" x14ac:dyDescent="0.25">
      <c r="A79" s="128"/>
      <c r="B79" s="50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Row],[Naranjas]:[Arandanos]],O$97:AA$97)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>
        <f>SUM(Tabla523[[#This Row],[Naranjas]:[Arandanos]])</f>
        <v>0</v>
      </c>
      <c r="AC79" s="58"/>
    </row>
    <row r="80" spans="1:29" outlineLevel="1" x14ac:dyDescent="0.25">
      <c r="A80" s="128"/>
      <c r="B80" s="50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Row],[Naranjas]:[Arandanos]],O$97:AA$97)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>
        <f>SUM(Tabla523[[#This Row],[Naranjas]:[Arandanos]])</f>
        <v>0</v>
      </c>
      <c r="AC80" s="58"/>
    </row>
    <row r="81" spans="1:29" outlineLevel="1" x14ac:dyDescent="0.25">
      <c r="A81" s="128"/>
      <c r="B81" s="50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Row],[Naranjas]:[Arandanos]],O$97:AA$97)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>
        <f>SUM(Tabla523[[#This Row],[Naranjas]:[Arandanos]])</f>
        <v>0</v>
      </c>
      <c r="AC81" s="58"/>
    </row>
    <row r="82" spans="1:29" outlineLevel="1" x14ac:dyDescent="0.25">
      <c r="A82" s="128"/>
      <c r="B82" s="50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Row],[Naranjas]:[Arandanos]],O$97:AA$97)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>
        <f>SUM(Tabla523[[#This Row],[Naranjas]:[Arandanos]])</f>
        <v>0</v>
      </c>
      <c r="AC82" s="58"/>
    </row>
    <row r="83" spans="1:29" outlineLevel="1" x14ac:dyDescent="0.25">
      <c r="A83" s="128"/>
      <c r="B83" s="50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Row],[Naranjas]:[Arandanos]],O$97:AA$97)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>
        <f>SUM(Tabla523[[#This Row],[Naranjas]:[Arandanos]])</f>
        <v>0</v>
      </c>
      <c r="AC83" s="58"/>
    </row>
    <row r="84" spans="1:29" outlineLevel="1" x14ac:dyDescent="0.25">
      <c r="A84" s="128"/>
      <c r="B84" s="50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Row],[Naranjas]:[Arandanos]],O$97:AA$97)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>
        <f>SUM(Tabla523[[#This Row],[Naranjas]:[Arandanos]])</f>
        <v>0</v>
      </c>
      <c r="AC84" s="58"/>
    </row>
    <row r="85" spans="1:29" outlineLevel="1" x14ac:dyDescent="0.25">
      <c r="A85" s="128"/>
      <c r="B85" s="50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Row],[Naranjas]:[Arandanos]],O$97:AA$97)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>
        <f>SUM(Tabla523[[#This Row],[Naranjas]:[Arandanos]])</f>
        <v>0</v>
      </c>
      <c r="AC85" s="58"/>
    </row>
    <row r="86" spans="1:29" outlineLevel="1" x14ac:dyDescent="0.25">
      <c r="A86" s="128"/>
      <c r="B86" s="50" t="str">
        <f>[1]Personas!A83</f>
        <v>Isidora</v>
      </c>
      <c r="C86" s="48" t="str">
        <f>[1]Personas!B83</f>
        <v>De La Barra</v>
      </c>
      <c r="D86" s="59" t="str">
        <f>[1]Personas!C83</f>
        <v>Parque Antonio Rabbat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Row],[Naranjas]:[Arandanos]],O$97:AA$97)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>
        <f>SUM(Tabla523[[#This Row],[Naranjas]:[Arandanos]])</f>
        <v>0</v>
      </c>
      <c r="AC86" s="58"/>
    </row>
    <row r="87" spans="1:29" ht="15.75" outlineLevel="1" thickBot="1" x14ac:dyDescent="0.3">
      <c r="A87" s="129"/>
      <c r="B87" s="13" t="str">
        <f>[1]Personas!A84</f>
        <v>Juan Pablo</v>
      </c>
      <c r="C87" s="14" t="str">
        <f>[1]Personas!B84</f>
        <v>Germain</v>
      </c>
      <c r="D87" s="65" t="str">
        <f>[1]Personas!C84</f>
        <v>Santa Veronica 1035</v>
      </c>
      <c r="E87" s="65" t="str">
        <f>[1]Personas!D84</f>
        <v>Las Condes</v>
      </c>
      <c r="F87" s="65" t="str">
        <f>[1]Personas!E84</f>
        <v>San Carlos</v>
      </c>
      <c r="G87" s="65" t="str">
        <f>[1]Personas!F84</f>
        <v>UC</v>
      </c>
      <c r="H87" s="65" t="str">
        <f>[1]Personas!G84</f>
        <v>JEFE</v>
      </c>
      <c r="I87" s="66">
        <f>[1]Personas!H84</f>
        <v>56966685970</v>
      </c>
      <c r="J87" s="46" t="str">
        <f>[1]Personas!I84</f>
        <v>jpgermain17@gmail.com</v>
      </c>
      <c r="K87" s="46" t="str">
        <f>[1]Personas!J84</f>
        <v>Joaquin Eichholz</v>
      </c>
      <c r="L87" s="16"/>
      <c r="M87" s="16"/>
      <c r="N87" s="71">
        <f>SUMPRODUCT(Tabla523[[#This Row],[Naranjas]:[Arandanos]],O$97:AA$97)</f>
        <v>0</v>
      </c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f>SUM(Tabla523[[#This Row],[Naranjas]:[Arandanos]])</f>
        <v>0</v>
      </c>
      <c r="AC87" s="45"/>
    </row>
    <row r="88" spans="1:29" outlineLevel="1" x14ac:dyDescent="0.25">
      <c r="A88" s="18"/>
      <c r="B88" s="19"/>
      <c r="C88" s="19"/>
      <c r="D88" s="19"/>
      <c r="E88" s="19"/>
      <c r="F88" s="19"/>
      <c r="G88" s="19"/>
      <c r="H88" s="19"/>
      <c r="I88" s="32"/>
      <c r="J88" s="31"/>
      <c r="K88" s="31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9" ht="15.75" thickBot="1" x14ac:dyDescent="0.3"/>
    <row r="90" spans="1:29" ht="14.65" customHeight="1" thickBot="1" x14ac:dyDescent="0.3">
      <c r="A90" s="141" t="s">
        <v>20</v>
      </c>
      <c r="B90" s="156" t="s">
        <v>7</v>
      </c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8"/>
      <c r="N90" s="41" t="s">
        <v>9</v>
      </c>
      <c r="O90" s="8">
        <f>SUM(Tabla523[Naranjas])</f>
        <v>0</v>
      </c>
      <c r="P90" s="49">
        <f>SUM(Tabla523[Mandarinas])</f>
        <v>0</v>
      </c>
      <c r="Q90" s="49">
        <f>SUM(Tabla523[Paltas])</f>
        <v>0</v>
      </c>
      <c r="R90" s="49">
        <f>SUM(Tabla523[Quesos])</f>
        <v>0</v>
      </c>
      <c r="S90" s="49">
        <f>SUM(Tabla523[Frutillas])</f>
        <v>0</v>
      </c>
      <c r="T90" s="49">
        <f>SUM(Tabla523[Tomate Cherry])</f>
        <v>0</v>
      </c>
      <c r="U90" s="49">
        <f>SUM(Tabla523[Nueces])</f>
        <v>0</v>
      </c>
      <c r="V90" s="49">
        <f>SUM(Tabla523[Mani])</f>
        <v>0</v>
      </c>
      <c r="W90" s="49">
        <f>SUM(Tabla523[Pistachos])</f>
        <v>0</v>
      </c>
      <c r="X90" s="49">
        <f>SUM(Tabla523[Caju])</f>
        <v>0</v>
      </c>
      <c r="Y90" s="49">
        <f>SUM(Tabla523[Almendras])</f>
        <v>0</v>
      </c>
      <c r="Z90" s="49">
        <f>SUM(Tabla523[Cerezas])</f>
        <v>0</v>
      </c>
      <c r="AA90" s="4">
        <f>SUM(Tabla523[Arandanos])</f>
        <v>0</v>
      </c>
    </row>
    <row r="91" spans="1:29" ht="14.65" customHeight="1" thickBot="1" x14ac:dyDescent="0.3">
      <c r="A91" s="142"/>
      <c r="B91" s="159"/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61"/>
      <c r="N91" s="41" t="s">
        <v>28</v>
      </c>
      <c r="O91" s="9">
        <v>5</v>
      </c>
      <c r="P91" s="52">
        <v>4</v>
      </c>
      <c r="Q91" s="52">
        <v>2</v>
      </c>
      <c r="R91" s="37">
        <v>1</v>
      </c>
      <c r="S91" s="37">
        <v>2</v>
      </c>
      <c r="T91" s="52">
        <v>1</v>
      </c>
      <c r="U91" s="83">
        <v>0.5</v>
      </c>
      <c r="V91" s="83">
        <v>1</v>
      </c>
      <c r="W91" s="83">
        <v>0.5</v>
      </c>
      <c r="X91" s="83">
        <v>0.4</v>
      </c>
      <c r="Y91" s="83">
        <v>0.5</v>
      </c>
      <c r="Z91" s="83">
        <v>5</v>
      </c>
      <c r="AA91" s="38">
        <v>0.5</v>
      </c>
    </row>
    <row r="92" spans="1:29" ht="14.65" customHeight="1" thickBot="1" x14ac:dyDescent="0.3">
      <c r="A92" s="142"/>
      <c r="B92" s="159"/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61"/>
      <c r="N92" s="41" t="s">
        <v>8</v>
      </c>
      <c r="O92" s="9">
        <f>O91*O90</f>
        <v>0</v>
      </c>
      <c r="P92" s="52">
        <f t="shared" ref="P92:U92" si="0">P91*P90</f>
        <v>0</v>
      </c>
      <c r="Q92" s="52">
        <f t="shared" si="0"/>
        <v>0</v>
      </c>
      <c r="R92" s="52">
        <f t="shared" si="0"/>
        <v>0</v>
      </c>
      <c r="S92" s="52">
        <f>S91*S90</f>
        <v>0</v>
      </c>
      <c r="T92" s="52">
        <f t="shared" si="0"/>
        <v>0</v>
      </c>
      <c r="U92" s="52">
        <f t="shared" si="0"/>
        <v>0</v>
      </c>
      <c r="V92" s="52">
        <f t="shared" ref="V92:AA92" si="1">V91*V90</f>
        <v>0</v>
      </c>
      <c r="W92" s="52">
        <f t="shared" si="1"/>
        <v>0</v>
      </c>
      <c r="X92" s="52">
        <f t="shared" si="1"/>
        <v>0</v>
      </c>
      <c r="Y92" s="52">
        <f t="shared" si="1"/>
        <v>0</v>
      </c>
      <c r="Z92" s="52">
        <f t="shared" si="1"/>
        <v>0</v>
      </c>
      <c r="AA92" s="11">
        <f t="shared" si="1"/>
        <v>0</v>
      </c>
    </row>
    <row r="93" spans="1:29" ht="15.75" thickBot="1" x14ac:dyDescent="0.3">
      <c r="A93" s="142"/>
      <c r="B93" s="162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4"/>
      <c r="N93" s="41" t="s">
        <v>10</v>
      </c>
      <c r="O93" s="10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2"/>
    </row>
    <row r="94" spans="1:29" ht="15.75" thickBot="1" x14ac:dyDescent="0.3">
      <c r="A94" s="142"/>
      <c r="B94" s="42"/>
      <c r="C94" s="19"/>
      <c r="D94" s="23"/>
      <c r="E94" s="24"/>
      <c r="F94" s="24"/>
      <c r="G94" s="24"/>
      <c r="H94" s="24"/>
      <c r="I94" s="24"/>
      <c r="J94" s="24"/>
      <c r="K94" s="25"/>
      <c r="N94" s="3"/>
    </row>
    <row r="95" spans="1:29" ht="15.75" thickBot="1" x14ac:dyDescent="0.3">
      <c r="A95" s="142"/>
      <c r="B95" s="156" t="s">
        <v>12</v>
      </c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8"/>
      <c r="N95" s="41" t="s">
        <v>13</v>
      </c>
      <c r="O95" s="54">
        <f>O96*O91</f>
        <v>2750</v>
      </c>
      <c r="P95" s="51">
        <f t="shared" ref="P95:U95" si="2">P96*P91</f>
        <v>2200</v>
      </c>
      <c r="Q95" s="51">
        <f t="shared" si="2"/>
        <v>3100</v>
      </c>
      <c r="R95" s="51">
        <f t="shared" si="2"/>
        <v>6716</v>
      </c>
      <c r="S95" s="51">
        <f>S96*S91</f>
        <v>2600</v>
      </c>
      <c r="T95" s="51">
        <f t="shared" si="2"/>
        <v>2300</v>
      </c>
      <c r="U95" s="51">
        <f t="shared" si="2"/>
        <v>3750</v>
      </c>
      <c r="V95" s="51">
        <f t="shared" ref="V95:AA95" si="3">V96*V91</f>
        <v>3500</v>
      </c>
      <c r="W95" s="51">
        <f t="shared" si="3"/>
        <v>7050</v>
      </c>
      <c r="X95" s="51">
        <f t="shared" si="3"/>
        <v>5320</v>
      </c>
      <c r="Y95" s="51">
        <f t="shared" si="3"/>
        <v>5350</v>
      </c>
      <c r="Z95" s="51">
        <f t="shared" si="3"/>
        <v>6000</v>
      </c>
      <c r="AA95" s="15">
        <f t="shared" si="3"/>
        <v>600</v>
      </c>
    </row>
    <row r="96" spans="1:29" ht="15.75" thickBot="1" x14ac:dyDescent="0.3">
      <c r="A96" s="142"/>
      <c r="B96" s="159"/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61"/>
      <c r="N96" s="41" t="s">
        <v>8</v>
      </c>
      <c r="O96" s="87">
        <v>550</v>
      </c>
      <c r="P96" s="86">
        <v>550</v>
      </c>
      <c r="Q96" s="86">
        <v>1550</v>
      </c>
      <c r="R96" s="86">
        <v>6716</v>
      </c>
      <c r="S96" s="86">
        <v>1300</v>
      </c>
      <c r="T96" s="86">
        <v>2300</v>
      </c>
      <c r="U96" s="86">
        <v>7500</v>
      </c>
      <c r="V96" s="86">
        <v>3500</v>
      </c>
      <c r="W96" s="86">
        <v>14100</v>
      </c>
      <c r="X96" s="86">
        <v>13300</v>
      </c>
      <c r="Y96" s="86">
        <v>10700</v>
      </c>
      <c r="Z96" s="86">
        <f>6000/5</f>
        <v>1200</v>
      </c>
      <c r="AA96" s="90">
        <f>6000/5</f>
        <v>1200</v>
      </c>
    </row>
    <row r="97" spans="1:27" ht="15.75" thickBot="1" x14ac:dyDescent="0.3">
      <c r="A97" s="142"/>
      <c r="B97" s="162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4"/>
      <c r="N97" s="41" t="s">
        <v>14</v>
      </c>
      <c r="O97" s="88">
        <v>3500</v>
      </c>
      <c r="P97" s="89">
        <v>4500</v>
      </c>
      <c r="Q97" s="89">
        <v>4500</v>
      </c>
      <c r="R97" s="89">
        <v>7500</v>
      </c>
      <c r="S97" s="89">
        <v>4500</v>
      </c>
      <c r="T97" s="89">
        <v>4500</v>
      </c>
      <c r="U97" s="89">
        <v>5500</v>
      </c>
      <c r="V97" s="89">
        <v>4500</v>
      </c>
      <c r="W97" s="89">
        <v>8500</v>
      </c>
      <c r="X97" s="89">
        <v>7500</v>
      </c>
      <c r="Y97" s="89">
        <v>7500</v>
      </c>
      <c r="Z97" s="89">
        <v>9500</v>
      </c>
      <c r="AA97" s="91">
        <v>4500</v>
      </c>
    </row>
    <row r="98" spans="1:27" ht="15.75" thickBot="1" x14ac:dyDescent="0.3">
      <c r="A98" s="142"/>
      <c r="B98" s="42"/>
      <c r="C98" s="19"/>
      <c r="D98" s="23"/>
      <c r="E98" s="24"/>
      <c r="F98" s="24"/>
      <c r="G98" s="24"/>
      <c r="H98" s="24"/>
      <c r="I98" s="24"/>
      <c r="J98" s="24"/>
      <c r="K98" s="25"/>
      <c r="N98" s="3"/>
    </row>
    <row r="99" spans="1:27" ht="14.65" customHeight="1" thickBot="1" x14ac:dyDescent="0.3">
      <c r="A99" s="142"/>
      <c r="B99" s="156" t="s">
        <v>15</v>
      </c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8"/>
      <c r="N99" s="41" t="s">
        <v>19</v>
      </c>
      <c r="O99" s="104">
        <f>O90*O95</f>
        <v>0</v>
      </c>
      <c r="P99" s="105">
        <f t="shared" ref="P99:U99" si="4">P90*P95</f>
        <v>0</v>
      </c>
      <c r="Q99" s="105">
        <f t="shared" si="4"/>
        <v>0</v>
      </c>
      <c r="R99" s="106">
        <f t="shared" si="4"/>
        <v>0</v>
      </c>
      <c r="S99" s="106">
        <f t="shared" si="4"/>
        <v>0</v>
      </c>
      <c r="T99" s="105">
        <f>T90*T95</f>
        <v>0</v>
      </c>
      <c r="U99" s="105">
        <f t="shared" si="4"/>
        <v>0</v>
      </c>
      <c r="V99" s="105">
        <f t="shared" ref="V99:AA99" si="5">V90*V95</f>
        <v>0</v>
      </c>
      <c r="W99" s="105">
        <f t="shared" si="5"/>
        <v>0</v>
      </c>
      <c r="X99" s="105">
        <f t="shared" si="5"/>
        <v>0</v>
      </c>
      <c r="Y99" s="105">
        <f t="shared" si="5"/>
        <v>0</v>
      </c>
      <c r="Z99" s="105">
        <f t="shared" si="5"/>
        <v>0</v>
      </c>
      <c r="AA99" s="107">
        <f t="shared" si="5"/>
        <v>0</v>
      </c>
    </row>
    <row r="100" spans="1:27" ht="15.75" thickBot="1" x14ac:dyDescent="0.3">
      <c r="A100" s="142"/>
      <c r="B100" s="162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4"/>
      <c r="N100" s="41" t="s">
        <v>16</v>
      </c>
      <c r="O100" s="133">
        <f>SUM(O99:AA99)</f>
        <v>0</v>
      </c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5"/>
    </row>
    <row r="101" spans="1:27" ht="15.75" thickBot="1" x14ac:dyDescent="0.3">
      <c r="A101" s="142"/>
      <c r="B101" s="156" t="s">
        <v>17</v>
      </c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  <c r="M101" s="158"/>
      <c r="N101" s="41" t="s">
        <v>19</v>
      </c>
      <c r="O101" s="50">
        <f t="shared" ref="O101:AA101" si="6">O97*O90</f>
        <v>0</v>
      </c>
      <c r="P101" s="48">
        <f t="shared" si="6"/>
        <v>0</v>
      </c>
      <c r="Q101" s="48">
        <f t="shared" si="6"/>
        <v>0</v>
      </c>
      <c r="R101" s="48">
        <f t="shared" si="6"/>
        <v>0</v>
      </c>
      <c r="S101" s="48">
        <f t="shared" si="6"/>
        <v>0</v>
      </c>
      <c r="T101" s="48">
        <f t="shared" si="6"/>
        <v>0</v>
      </c>
      <c r="U101" s="48">
        <f t="shared" si="6"/>
        <v>0</v>
      </c>
      <c r="V101" s="48">
        <f t="shared" si="6"/>
        <v>0</v>
      </c>
      <c r="W101" s="48">
        <f t="shared" si="6"/>
        <v>0</v>
      </c>
      <c r="X101" s="48">
        <f t="shared" si="6"/>
        <v>0</v>
      </c>
      <c r="Y101" s="48">
        <f t="shared" si="6"/>
        <v>0</v>
      </c>
      <c r="Z101" s="48">
        <f t="shared" si="6"/>
        <v>0</v>
      </c>
      <c r="AA101" s="108">
        <f t="shared" si="6"/>
        <v>0</v>
      </c>
    </row>
    <row r="102" spans="1:27" ht="15.75" thickBot="1" x14ac:dyDescent="0.3">
      <c r="A102" s="142"/>
      <c r="B102" s="162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4"/>
      <c r="N102" s="41" t="s">
        <v>16</v>
      </c>
      <c r="O102" s="133">
        <f>SUM(O101:AA101)</f>
        <v>0</v>
      </c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5"/>
    </row>
    <row r="103" spans="1:27" ht="14.65" customHeight="1" thickBot="1" x14ac:dyDescent="0.3">
      <c r="A103" s="142"/>
      <c r="B103" s="156" t="s">
        <v>18</v>
      </c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  <c r="M103" s="158"/>
      <c r="N103" s="41" t="s">
        <v>19</v>
      </c>
      <c r="O103" s="50">
        <f>O101-O99</f>
        <v>0</v>
      </c>
      <c r="P103" s="48">
        <f t="shared" ref="P103:AA103" si="7">P101-P99</f>
        <v>0</v>
      </c>
      <c r="Q103" s="48">
        <f t="shared" si="7"/>
        <v>0</v>
      </c>
      <c r="R103" s="48">
        <f t="shared" si="7"/>
        <v>0</v>
      </c>
      <c r="S103" s="48">
        <f t="shared" si="7"/>
        <v>0</v>
      </c>
      <c r="T103" s="48">
        <f t="shared" si="7"/>
        <v>0</v>
      </c>
      <c r="U103" s="48">
        <f t="shared" si="7"/>
        <v>0</v>
      </c>
      <c r="V103" s="48">
        <f t="shared" si="7"/>
        <v>0</v>
      </c>
      <c r="W103" s="48">
        <f t="shared" si="7"/>
        <v>0</v>
      </c>
      <c r="X103" s="48">
        <f t="shared" si="7"/>
        <v>0</v>
      </c>
      <c r="Y103" s="48">
        <f t="shared" si="7"/>
        <v>0</v>
      </c>
      <c r="Z103" s="48">
        <f t="shared" si="7"/>
        <v>0</v>
      </c>
      <c r="AA103" s="108">
        <f t="shared" si="7"/>
        <v>0</v>
      </c>
    </row>
    <row r="104" spans="1:27" ht="29.65" customHeight="1" thickBot="1" x14ac:dyDescent="0.3">
      <c r="A104" s="142"/>
      <c r="B104" s="162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164"/>
      <c r="N104" s="41" t="s">
        <v>29</v>
      </c>
      <c r="O104" s="130">
        <f>O102-O100</f>
        <v>0</v>
      </c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2"/>
    </row>
    <row r="105" spans="1:27" ht="15.75" thickBot="1" x14ac:dyDescent="0.3">
      <c r="A105" s="142"/>
    </row>
    <row r="106" spans="1:27" ht="14.65" customHeight="1" thickBot="1" x14ac:dyDescent="0.3">
      <c r="A106" s="142"/>
      <c r="B106" s="168" t="s">
        <v>25</v>
      </c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70"/>
      <c r="O106" s="150" t="s">
        <v>26</v>
      </c>
      <c r="P106" s="151"/>
      <c r="Q106" s="152"/>
      <c r="R106" s="29" t="s">
        <v>27</v>
      </c>
      <c r="S106" s="61"/>
      <c r="T106" s="5"/>
      <c r="U106" s="5"/>
      <c r="V106" s="5"/>
      <c r="W106" s="5"/>
      <c r="X106" s="5"/>
      <c r="Y106" s="5"/>
      <c r="Z106" s="5"/>
      <c r="AA106" s="5"/>
    </row>
    <row r="107" spans="1:27" ht="15" customHeight="1" x14ac:dyDescent="0.25">
      <c r="A107" s="142"/>
      <c r="B107" s="171"/>
      <c r="C107" s="172"/>
      <c r="D107" s="172"/>
      <c r="E107" s="172"/>
      <c r="F107" s="172"/>
      <c r="G107" s="172"/>
      <c r="H107" s="172"/>
      <c r="I107" s="172"/>
      <c r="J107" s="172"/>
      <c r="K107" s="172"/>
      <c r="L107" s="172"/>
      <c r="M107" s="172"/>
      <c r="N107" s="173"/>
      <c r="O107" s="177"/>
      <c r="P107" s="178"/>
      <c r="Q107" s="179"/>
      <c r="R107" s="33"/>
      <c r="S107" s="62"/>
      <c r="T107" s="6"/>
      <c r="U107" s="6"/>
      <c r="V107" s="6"/>
      <c r="W107" s="6"/>
      <c r="X107" s="6"/>
      <c r="Y107" s="6"/>
      <c r="Z107" s="6"/>
      <c r="AA107" s="6"/>
    </row>
    <row r="108" spans="1:27" ht="15" customHeight="1" x14ac:dyDescent="0.25">
      <c r="A108" s="142"/>
      <c r="B108" s="171"/>
      <c r="C108" s="172"/>
      <c r="D108" s="172"/>
      <c r="E108" s="172"/>
      <c r="F108" s="172"/>
      <c r="G108" s="172"/>
      <c r="H108" s="172"/>
      <c r="I108" s="172"/>
      <c r="J108" s="172"/>
      <c r="K108" s="172"/>
      <c r="L108" s="172"/>
      <c r="M108" s="172"/>
      <c r="N108" s="173"/>
      <c r="O108" s="165"/>
      <c r="P108" s="166"/>
      <c r="Q108" s="167"/>
      <c r="R108" s="34"/>
      <c r="S108" s="62"/>
      <c r="T108" s="6"/>
      <c r="U108" s="6"/>
      <c r="V108" s="6"/>
      <c r="W108" s="6"/>
      <c r="X108" s="6"/>
      <c r="Y108" s="6"/>
      <c r="Z108" s="6"/>
      <c r="AA108" s="6"/>
    </row>
    <row r="109" spans="1:27" ht="15" customHeight="1" x14ac:dyDescent="0.25">
      <c r="A109" s="142"/>
      <c r="B109" s="171"/>
      <c r="C109" s="172"/>
      <c r="D109" s="172"/>
      <c r="E109" s="172"/>
      <c r="F109" s="172"/>
      <c r="G109" s="172"/>
      <c r="H109" s="172"/>
      <c r="I109" s="172"/>
      <c r="J109" s="172"/>
      <c r="K109" s="172"/>
      <c r="L109" s="172"/>
      <c r="M109" s="172"/>
      <c r="N109" s="173"/>
      <c r="O109" s="165"/>
      <c r="P109" s="166"/>
      <c r="Q109" s="167"/>
      <c r="R109" s="34"/>
      <c r="S109" s="62"/>
      <c r="T109" s="6"/>
      <c r="U109" s="6"/>
      <c r="V109" s="6"/>
      <c r="W109" s="6"/>
      <c r="X109" s="6"/>
      <c r="Y109" s="6"/>
      <c r="Z109" s="6"/>
      <c r="AA109" s="6"/>
    </row>
    <row r="110" spans="1:27" ht="15" customHeight="1" x14ac:dyDescent="0.25">
      <c r="A110" s="142"/>
      <c r="B110" s="171"/>
      <c r="C110" s="172"/>
      <c r="D110" s="172"/>
      <c r="E110" s="172"/>
      <c r="F110" s="172"/>
      <c r="G110" s="172"/>
      <c r="H110" s="172"/>
      <c r="I110" s="172"/>
      <c r="J110" s="172"/>
      <c r="K110" s="172"/>
      <c r="L110" s="172"/>
      <c r="M110" s="172"/>
      <c r="N110" s="173"/>
      <c r="O110" s="165"/>
      <c r="P110" s="166"/>
      <c r="Q110" s="167"/>
      <c r="R110" s="34"/>
      <c r="S110" s="62"/>
      <c r="T110" s="6"/>
      <c r="U110" s="6"/>
      <c r="V110" s="6"/>
      <c r="W110" s="6"/>
      <c r="X110" s="6"/>
      <c r="Y110" s="6"/>
      <c r="Z110" s="6"/>
      <c r="AA110" s="6"/>
    </row>
    <row r="111" spans="1:27" ht="15" customHeight="1" x14ac:dyDescent="0.25">
      <c r="A111" s="142"/>
      <c r="B111" s="171"/>
      <c r="C111" s="172"/>
      <c r="D111" s="172"/>
      <c r="E111" s="172"/>
      <c r="F111" s="172"/>
      <c r="G111" s="172"/>
      <c r="H111" s="172"/>
      <c r="I111" s="172"/>
      <c r="J111" s="172"/>
      <c r="K111" s="172"/>
      <c r="L111" s="172"/>
      <c r="M111" s="172"/>
      <c r="N111" s="173"/>
      <c r="O111" s="165"/>
      <c r="P111" s="166"/>
      <c r="Q111" s="167"/>
      <c r="R111" s="34"/>
      <c r="S111" s="62"/>
      <c r="T111" s="6"/>
      <c r="U111" s="6"/>
      <c r="V111" s="6"/>
      <c r="W111" s="6"/>
      <c r="X111" s="6"/>
      <c r="Y111" s="6"/>
      <c r="Z111" s="6"/>
      <c r="AA111" s="6"/>
    </row>
    <row r="112" spans="1:27" ht="15" customHeight="1" x14ac:dyDescent="0.25">
      <c r="A112" s="142"/>
      <c r="B112" s="171"/>
      <c r="C112" s="172"/>
      <c r="D112" s="172"/>
      <c r="E112" s="172"/>
      <c r="F112" s="172"/>
      <c r="G112" s="172"/>
      <c r="H112" s="172"/>
      <c r="I112" s="172"/>
      <c r="J112" s="172"/>
      <c r="K112" s="172"/>
      <c r="L112" s="172"/>
      <c r="M112" s="172"/>
      <c r="N112" s="173"/>
      <c r="O112" s="165"/>
      <c r="P112" s="166"/>
      <c r="Q112" s="167"/>
      <c r="R112" s="34"/>
      <c r="S112" s="62"/>
      <c r="T112" s="6"/>
      <c r="U112" s="6"/>
      <c r="V112" s="6"/>
      <c r="W112" s="6"/>
      <c r="X112" s="6"/>
      <c r="Y112" s="6"/>
      <c r="Z112" s="6"/>
      <c r="AA112" s="6"/>
    </row>
    <row r="113" spans="1:27" ht="15" customHeight="1" thickBot="1" x14ac:dyDescent="0.3">
      <c r="A113" s="142"/>
      <c r="B113" s="171"/>
      <c r="C113" s="172"/>
      <c r="D113" s="172"/>
      <c r="E113" s="172"/>
      <c r="F113" s="172"/>
      <c r="G113" s="172"/>
      <c r="H113" s="172"/>
      <c r="I113" s="172"/>
      <c r="J113" s="172"/>
      <c r="K113" s="172"/>
      <c r="L113" s="172"/>
      <c r="M113" s="172"/>
      <c r="N113" s="173"/>
      <c r="O113" s="144"/>
      <c r="P113" s="145"/>
      <c r="Q113" s="146"/>
      <c r="R113" s="34"/>
      <c r="S113" s="62"/>
      <c r="T113" s="6"/>
      <c r="U113" s="6"/>
      <c r="V113" s="6"/>
      <c r="W113" s="6"/>
      <c r="X113" s="6"/>
      <c r="Y113" s="6"/>
      <c r="Z113" s="6"/>
      <c r="AA113" s="6"/>
    </row>
    <row r="114" spans="1:27" ht="15.75" customHeight="1" thickBot="1" x14ac:dyDescent="0.3">
      <c r="A114" s="142"/>
      <c r="B114" s="174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6"/>
      <c r="O114" s="147" t="s">
        <v>16</v>
      </c>
      <c r="P114" s="148"/>
      <c r="Q114" s="149"/>
      <c r="R114" s="35">
        <f>SUM(R107:R113)</f>
        <v>0</v>
      </c>
      <c r="S114" s="63"/>
      <c r="T114" s="6"/>
      <c r="U114" s="6"/>
      <c r="V114" s="6"/>
      <c r="W114" s="6"/>
      <c r="X114" s="6"/>
      <c r="Y114" s="6"/>
      <c r="Z114" s="6"/>
      <c r="AA114" s="6"/>
    </row>
    <row r="115" spans="1:27" ht="15.75" thickBot="1" x14ac:dyDescent="0.3">
      <c r="A115" s="142"/>
    </row>
    <row r="116" spans="1:27" ht="51.75" customHeight="1" thickBot="1" x14ac:dyDescent="0.3">
      <c r="A116" s="143"/>
      <c r="B116" s="150" t="s">
        <v>18</v>
      </c>
      <c r="C116" s="151"/>
      <c r="D116" s="151"/>
      <c r="E116" s="151"/>
      <c r="F116" s="151"/>
      <c r="G116" s="151"/>
      <c r="H116" s="151"/>
      <c r="I116" s="151"/>
      <c r="J116" s="151"/>
      <c r="K116" s="151"/>
      <c r="L116" s="152"/>
      <c r="M116" s="64"/>
      <c r="N116" s="40" t="s">
        <v>16</v>
      </c>
      <c r="O116" s="153">
        <f>O104-SUM(R107:R113)</f>
        <v>0</v>
      </c>
      <c r="P116" s="154"/>
      <c r="Q116" s="154"/>
      <c r="R116" s="154"/>
      <c r="S116" s="154"/>
      <c r="T116" s="154"/>
      <c r="U116" s="155"/>
      <c r="V116" s="72"/>
      <c r="W116" s="72"/>
      <c r="X116" s="72"/>
      <c r="Y116" s="72"/>
      <c r="Z116" s="72"/>
      <c r="AA116" s="72"/>
    </row>
    <row r="117" spans="1:27" ht="15.75" customHeight="1" x14ac:dyDescent="0.25">
      <c r="A117" s="30"/>
      <c r="P117" s="28"/>
      <c r="Q117" s="28"/>
      <c r="R117" s="28"/>
      <c r="S117" s="28"/>
      <c r="U117" s="43"/>
      <c r="V117" s="69"/>
      <c r="W117" s="69"/>
      <c r="X117" s="69"/>
      <c r="Y117" s="69"/>
      <c r="Z117" s="102"/>
      <c r="AA117" s="120"/>
    </row>
    <row r="118" spans="1:27" ht="15" customHeight="1" x14ac:dyDescent="0.25">
      <c r="A118" s="30"/>
      <c r="P118" s="28"/>
      <c r="Q118" s="28"/>
      <c r="R118" s="28"/>
      <c r="S118" s="28"/>
      <c r="U118" s="7"/>
      <c r="V118" s="7"/>
      <c r="W118" s="7"/>
      <c r="X118" s="7"/>
      <c r="Y118" s="7"/>
      <c r="Z118" s="7"/>
      <c r="AA118" s="7"/>
    </row>
    <row r="119" spans="1:27" ht="15" customHeight="1" x14ac:dyDescent="0.25">
      <c r="P119" s="28"/>
      <c r="Q119" s="28"/>
      <c r="R119" s="28"/>
      <c r="S119" s="28"/>
      <c r="U119" s="7"/>
      <c r="V119" s="7"/>
      <c r="W119" s="7"/>
      <c r="X119" s="7"/>
      <c r="Y119" s="7"/>
      <c r="Z119" s="7"/>
      <c r="AA119" s="7"/>
    </row>
    <row r="120" spans="1:27" ht="15" customHeight="1" x14ac:dyDescent="0.25">
      <c r="P120" s="28"/>
      <c r="Q120" s="28"/>
      <c r="R120" s="28"/>
      <c r="S120" s="28"/>
      <c r="U120" s="7"/>
      <c r="V120" s="7"/>
      <c r="W120" s="7"/>
      <c r="X120" s="7"/>
      <c r="Y120" s="7"/>
      <c r="Z120" s="7"/>
      <c r="AA120" s="7"/>
    </row>
    <row r="121" spans="1:27" ht="15" customHeight="1" x14ac:dyDescent="0.25">
      <c r="P121" s="28"/>
      <c r="Q121" s="28"/>
      <c r="R121" s="28"/>
      <c r="S121" s="28"/>
      <c r="U121" s="7"/>
      <c r="V121" s="7"/>
      <c r="W121" s="7"/>
      <c r="X121" s="7"/>
      <c r="Y121" s="7"/>
      <c r="Z121" s="7"/>
      <c r="AA121" s="7"/>
    </row>
    <row r="122" spans="1:27" ht="15" customHeight="1" x14ac:dyDescent="0.25">
      <c r="P122" s="28"/>
      <c r="Q122" s="28"/>
      <c r="R122" s="28"/>
      <c r="S122" s="28"/>
      <c r="U122" s="7"/>
      <c r="V122" s="7"/>
      <c r="W122" s="7"/>
      <c r="X122" s="7"/>
      <c r="Y122" s="7"/>
      <c r="Z122" s="7"/>
      <c r="AA122" s="7"/>
    </row>
    <row r="123" spans="1:27" ht="15" customHeight="1" x14ac:dyDescent="0.25">
      <c r="P123" s="28"/>
      <c r="Q123" s="28"/>
      <c r="R123" s="28"/>
      <c r="S123" s="28"/>
      <c r="U123" s="7"/>
      <c r="V123" s="7"/>
      <c r="W123" s="7"/>
      <c r="X123" s="7"/>
      <c r="Y123" s="7"/>
      <c r="Z123" s="7"/>
      <c r="AA123" s="7"/>
    </row>
    <row r="124" spans="1:27" ht="15" customHeight="1" x14ac:dyDescent="0.25">
      <c r="P124" s="28"/>
      <c r="Q124" s="28"/>
      <c r="R124" s="28"/>
      <c r="S124" s="28"/>
      <c r="U124" s="7"/>
      <c r="V124" s="7"/>
      <c r="W124" s="7"/>
      <c r="X124" s="7"/>
      <c r="Y124" s="7"/>
      <c r="Z124" s="7"/>
      <c r="AA124" s="7"/>
    </row>
    <row r="125" spans="1:27" ht="15.75" customHeight="1" x14ac:dyDescent="0.25">
      <c r="P125" s="28"/>
      <c r="Q125" s="28"/>
      <c r="R125" s="28"/>
      <c r="S125" s="28"/>
      <c r="U125" s="7"/>
      <c r="V125" s="7"/>
      <c r="W125" s="7"/>
      <c r="X125" s="7"/>
      <c r="Y125" s="7"/>
      <c r="Z125" s="7"/>
      <c r="AA125" s="7"/>
    </row>
  </sheetData>
  <mergeCells count="24">
    <mergeCell ref="B99:M100"/>
    <mergeCell ref="B101:M102"/>
    <mergeCell ref="B106:N114"/>
    <mergeCell ref="O106:Q106"/>
    <mergeCell ref="O107:Q107"/>
    <mergeCell ref="O108:Q108"/>
    <mergeCell ref="O109:Q109"/>
    <mergeCell ref="O110:Q110"/>
    <mergeCell ref="A5:A87"/>
    <mergeCell ref="O104:AA104"/>
    <mergeCell ref="O102:AA102"/>
    <mergeCell ref="O100:AA100"/>
    <mergeCell ref="O2:AA2"/>
    <mergeCell ref="B2:N2"/>
    <mergeCell ref="A90:A116"/>
    <mergeCell ref="O113:Q113"/>
    <mergeCell ref="O114:Q114"/>
    <mergeCell ref="B116:L116"/>
    <mergeCell ref="O116:U116"/>
    <mergeCell ref="B90:M93"/>
    <mergeCell ref="B95:M97"/>
    <mergeCell ref="O111:Q111"/>
    <mergeCell ref="O112:Q112"/>
    <mergeCell ref="B103:M104"/>
  </mergeCells>
  <conditionalFormatting sqref="AB5:AB87">
    <cfRule type="cellIs" dxfId="296" priority="1" operator="lessThan">
      <formula>20</formula>
    </cfRule>
    <cfRule type="cellIs" dxfId="295" priority="2" operator="between">
      <formula>20</formula>
      <formula>29</formula>
    </cfRule>
    <cfRule type="cellIs" dxfId="2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:K104857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180" t="s">
        <v>38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2"/>
      <c r="O2" s="183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7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65" customHeight="1" outlineLevel="1" x14ac:dyDescent="0.25">
      <c r="A5" s="127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25">
      <c r="A6" s="128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59000</v>
      </c>
      <c r="O6" s="52">
        <v>1</v>
      </c>
      <c r="P6" s="52">
        <v>0</v>
      </c>
      <c r="Q6" s="52">
        <v>5</v>
      </c>
      <c r="R6" s="52">
        <v>1</v>
      </c>
      <c r="S6" s="52">
        <v>1</v>
      </c>
      <c r="T6" s="52">
        <v>1</v>
      </c>
      <c r="U6" s="52">
        <v>0</v>
      </c>
      <c r="V6" s="52">
        <v>1</v>
      </c>
      <c r="W6" s="52">
        <v>1</v>
      </c>
      <c r="X6" s="52">
        <v>1</v>
      </c>
      <c r="Y6" s="52">
        <v>0</v>
      </c>
      <c r="Z6" s="52">
        <f>SUM(Tabla5232[[#This Row],[Naranjas]:[Almendras]])</f>
        <v>12</v>
      </c>
      <c r="AA6" s="58"/>
    </row>
    <row r="7" spans="1:27" outlineLevel="1" x14ac:dyDescent="0.25">
      <c r="A7" s="128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7500</v>
      </c>
      <c r="O7" s="52">
        <v>0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SUM(Tabla5232[[#This Row],[Naranjas]:[Almendras]])</f>
        <v>1</v>
      </c>
      <c r="AA7" s="58"/>
    </row>
    <row r="8" spans="1:27" outlineLevel="1" x14ac:dyDescent="0.25">
      <c r="A8" s="128"/>
      <c r="B8" s="56" t="s">
        <v>128</v>
      </c>
      <c r="C8" s="47" t="s">
        <v>129</v>
      </c>
      <c r="D8" s="47" t="s">
        <v>130</v>
      </c>
      <c r="E8" s="47" t="s">
        <v>46</v>
      </c>
      <c r="F8" s="47" t="s">
        <v>111</v>
      </c>
      <c r="G8" s="47" t="s">
        <v>62</v>
      </c>
      <c r="H8" s="47" t="s">
        <v>41</v>
      </c>
      <c r="I8" s="53">
        <v>56995483434</v>
      </c>
      <c r="J8" s="27" t="s">
        <v>131</v>
      </c>
      <c r="K8" s="27" t="s">
        <v>42</v>
      </c>
      <c r="L8" s="52" t="s">
        <v>142</v>
      </c>
      <c r="M8" s="52" t="s">
        <v>143</v>
      </c>
      <c r="N8" s="47">
        <f>SUMPRODUCT(Tabla5232[[#This Row],[Naranjas]:[Almendras]],O$33:Y$33)</f>
        <v>20100</v>
      </c>
      <c r="O8" s="52">
        <v>0</v>
      </c>
      <c r="P8" s="52">
        <v>0</v>
      </c>
      <c r="Q8" s="52">
        <v>3</v>
      </c>
      <c r="R8" s="52">
        <v>0</v>
      </c>
      <c r="S8" s="52">
        <v>2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5</v>
      </c>
      <c r="AA8" s="58"/>
    </row>
    <row r="9" spans="1:27" outlineLevel="1" x14ac:dyDescent="0.25">
      <c r="A9" s="128"/>
      <c r="B9" s="50" t="s">
        <v>133</v>
      </c>
      <c r="C9" s="48" t="s">
        <v>134</v>
      </c>
      <c r="D9" s="59" t="s">
        <v>136</v>
      </c>
      <c r="E9" s="59" t="s">
        <v>50</v>
      </c>
      <c r="F9" s="59" t="s">
        <v>109</v>
      </c>
      <c r="G9" s="59" t="s">
        <v>48</v>
      </c>
      <c r="H9" s="59" t="s">
        <v>41</v>
      </c>
      <c r="I9" s="60">
        <v>56997792386</v>
      </c>
      <c r="J9" s="27" t="s">
        <v>135</v>
      </c>
      <c r="K9" s="27" t="s">
        <v>52</v>
      </c>
      <c r="L9" s="52" t="s">
        <v>142</v>
      </c>
      <c r="M9" s="52" t="s">
        <v>143</v>
      </c>
      <c r="N9" s="70">
        <f>SUMPRODUCT(Tabla5232[[#This Row],[Naranjas]:[Almendras]],O$33:Y$33)</f>
        <v>101100</v>
      </c>
      <c r="O9" s="52">
        <v>0</v>
      </c>
      <c r="P9" s="52">
        <v>0</v>
      </c>
      <c r="Q9" s="52">
        <v>8</v>
      </c>
      <c r="R9" s="52">
        <v>1</v>
      </c>
      <c r="S9" s="52">
        <v>3</v>
      </c>
      <c r="T9" s="52">
        <v>5</v>
      </c>
      <c r="U9" s="52">
        <v>0</v>
      </c>
      <c r="V9" s="52">
        <v>1</v>
      </c>
      <c r="W9" s="52">
        <v>1</v>
      </c>
      <c r="X9" s="52">
        <v>1</v>
      </c>
      <c r="Y9" s="52">
        <v>1</v>
      </c>
      <c r="Z9" s="52">
        <f>SUM(Tabla5232[[#This Row],[Naranjas]:[Almendras]])</f>
        <v>21</v>
      </c>
      <c r="AA9" s="58"/>
    </row>
    <row r="10" spans="1:27" outlineLevel="1" x14ac:dyDescent="0.25">
      <c r="A10" s="128"/>
      <c r="B10" s="56" t="s">
        <v>69</v>
      </c>
      <c r="C10" s="47" t="s">
        <v>61</v>
      </c>
      <c r="D10" s="47" t="s">
        <v>70</v>
      </c>
      <c r="E10" s="47" t="s">
        <v>40</v>
      </c>
      <c r="F10" s="47" t="s">
        <v>58</v>
      </c>
      <c r="G10" s="47" t="s">
        <v>48</v>
      </c>
      <c r="H10" s="47" t="s">
        <v>41</v>
      </c>
      <c r="I10" s="53">
        <v>56986194003</v>
      </c>
      <c r="J10" s="27" t="s">
        <v>71</v>
      </c>
      <c r="K10" s="27" t="s">
        <v>52</v>
      </c>
      <c r="L10" s="52" t="s">
        <v>142</v>
      </c>
      <c r="M10" s="52" t="s">
        <v>143</v>
      </c>
      <c r="N10" s="47">
        <f>SUMPRODUCT(Tabla5232[[#This Row],[Naranjas]:[Almendras]],O$33:Y$33)</f>
        <v>111000</v>
      </c>
      <c r="O10" s="52">
        <v>0</v>
      </c>
      <c r="P10" s="52">
        <v>0</v>
      </c>
      <c r="Q10" s="52">
        <v>30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SUM(Tabla5232[[#This Row],[Naranjas]:[Almendras]])</f>
        <v>30</v>
      </c>
      <c r="AA10" s="58"/>
    </row>
    <row r="11" spans="1:27" outlineLevel="1" x14ac:dyDescent="0.25">
      <c r="A11" s="128"/>
      <c r="B11" s="50" t="s">
        <v>124</v>
      </c>
      <c r="C11" s="48" t="s">
        <v>125</v>
      </c>
      <c r="D11" s="59" t="s">
        <v>126</v>
      </c>
      <c r="E11" s="59" t="s">
        <v>40</v>
      </c>
      <c r="F11" s="59" t="s">
        <v>58</v>
      </c>
      <c r="G11" s="59" t="s">
        <v>93</v>
      </c>
      <c r="H11" s="59" t="s">
        <v>41</v>
      </c>
      <c r="I11" s="60">
        <v>56974397201</v>
      </c>
      <c r="J11" s="27" t="s">
        <v>127</v>
      </c>
      <c r="K11" s="27" t="s">
        <v>64</v>
      </c>
      <c r="L11" s="52" t="s">
        <v>142</v>
      </c>
      <c r="M11" s="52" t="s">
        <v>142</v>
      </c>
      <c r="N11" s="47">
        <f>SUMPRODUCT(Tabla5232[[#This Row],[Naranjas]:[Almendras]],O$33:Y$33)</f>
        <v>31600</v>
      </c>
      <c r="O11" s="52">
        <v>0</v>
      </c>
      <c r="P11" s="52">
        <v>0</v>
      </c>
      <c r="Q11" s="52">
        <v>3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1</v>
      </c>
      <c r="X11" s="52">
        <v>1</v>
      </c>
      <c r="Y11" s="52">
        <v>0</v>
      </c>
      <c r="Z11" s="52">
        <f>SUM(Tabla5232[[#This Row],[Naranjas]:[Almendras]])</f>
        <v>6</v>
      </c>
      <c r="AA11" s="58"/>
    </row>
    <row r="12" spans="1:27" outlineLevel="1" x14ac:dyDescent="0.25">
      <c r="A12" s="128"/>
      <c r="B12" s="56" t="s">
        <v>65</v>
      </c>
      <c r="C12" s="47" t="s">
        <v>66</v>
      </c>
      <c r="D12" s="47" t="s">
        <v>67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56967898535</v>
      </c>
      <c r="J12" s="27" t="s">
        <v>68</v>
      </c>
      <c r="K12" s="27" t="s">
        <v>64</v>
      </c>
      <c r="L12" s="52" t="s">
        <v>142</v>
      </c>
      <c r="M12" s="52" t="s">
        <v>142</v>
      </c>
      <c r="N12" s="47">
        <f>SUMPRODUCT(Tabla5232[[#This Row],[Naranjas]:[Almendras]],O$33:Y$33)</f>
        <v>49800</v>
      </c>
      <c r="O12" s="52">
        <v>0</v>
      </c>
      <c r="P12" s="52">
        <v>0</v>
      </c>
      <c r="Q12" s="52">
        <v>9</v>
      </c>
      <c r="R12" s="52">
        <v>1</v>
      </c>
      <c r="S12" s="52">
        <v>2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SUM(Tabla5232[[#This Row],[Naranjas]:[Almendras]])</f>
        <v>12</v>
      </c>
      <c r="AA12" s="58"/>
    </row>
    <row r="13" spans="1:27" outlineLevel="1" x14ac:dyDescent="0.25">
      <c r="A13" s="128"/>
      <c r="B13" s="56" t="s">
        <v>63</v>
      </c>
      <c r="C13" s="47" t="s">
        <v>90</v>
      </c>
      <c r="D13" s="47" t="s">
        <v>91</v>
      </c>
      <c r="E13" s="47" t="s">
        <v>40</v>
      </c>
      <c r="F13" s="47" t="s">
        <v>92</v>
      </c>
      <c r="G13" s="47" t="s">
        <v>93</v>
      </c>
      <c r="H13" s="47" t="s">
        <v>41</v>
      </c>
      <c r="I13" s="53">
        <v>56966477967</v>
      </c>
      <c r="J13" s="27" t="s">
        <v>94</v>
      </c>
      <c r="K13" s="27" t="s">
        <v>64</v>
      </c>
      <c r="L13" s="52" t="s">
        <v>142</v>
      </c>
      <c r="M13" s="52" t="s">
        <v>142</v>
      </c>
      <c r="N13" s="47">
        <f>SUMPRODUCT(Tabla5232[[#This Row],[Naranjas]:[Almendras]],O$33:Y$33)</f>
        <v>106900</v>
      </c>
      <c r="O13" s="52">
        <v>0</v>
      </c>
      <c r="P13" s="52">
        <v>0</v>
      </c>
      <c r="Q13" s="52">
        <v>12</v>
      </c>
      <c r="R13" s="52">
        <v>1</v>
      </c>
      <c r="S13" s="52">
        <v>3</v>
      </c>
      <c r="T13" s="52">
        <v>3</v>
      </c>
      <c r="U13" s="52">
        <v>0</v>
      </c>
      <c r="V13" s="52">
        <v>1</v>
      </c>
      <c r="W13" s="52">
        <v>1</v>
      </c>
      <c r="X13" s="52">
        <v>0</v>
      </c>
      <c r="Y13" s="52">
        <v>2</v>
      </c>
      <c r="Z13" s="52">
        <f>SUM(Tabla5232[[#This Row],[Naranjas]:[Almendras]])</f>
        <v>23</v>
      </c>
      <c r="AA13" s="58"/>
    </row>
    <row r="14" spans="1:27" outlineLevel="1" x14ac:dyDescent="0.25">
      <c r="A14" s="128"/>
      <c r="B14" s="56" t="s">
        <v>115</v>
      </c>
      <c r="C14" s="47" t="s">
        <v>116</v>
      </c>
      <c r="D14" s="47" t="s">
        <v>117</v>
      </c>
      <c r="E14" s="47" t="s">
        <v>40</v>
      </c>
      <c r="F14" s="47" t="s">
        <v>92</v>
      </c>
      <c r="G14" s="47" t="s">
        <v>118</v>
      </c>
      <c r="H14" s="47" t="s">
        <v>41</v>
      </c>
      <c r="I14" s="53">
        <v>56998246537</v>
      </c>
      <c r="J14" s="27" t="s">
        <v>119</v>
      </c>
      <c r="K14" s="27" t="s">
        <v>42</v>
      </c>
      <c r="L14" s="52" t="s">
        <v>142</v>
      </c>
      <c r="M14" s="52" t="s">
        <v>142</v>
      </c>
      <c r="N14" s="47">
        <f>SUMPRODUCT(Tabla5232[[#This Row],[Naranjas]:[Almendras]],O$33:Y$33)</f>
        <v>211800</v>
      </c>
      <c r="O14" s="52">
        <v>0</v>
      </c>
      <c r="P14" s="52">
        <v>0</v>
      </c>
      <c r="Q14" s="52">
        <v>19</v>
      </c>
      <c r="R14" s="52">
        <v>5</v>
      </c>
      <c r="S14" s="52">
        <v>11</v>
      </c>
      <c r="T14" s="52">
        <v>9</v>
      </c>
      <c r="U14" s="52">
        <v>1</v>
      </c>
      <c r="V14" s="52">
        <v>0</v>
      </c>
      <c r="W14" s="52">
        <v>1</v>
      </c>
      <c r="X14" s="52">
        <v>0</v>
      </c>
      <c r="Y14" s="52">
        <v>0</v>
      </c>
      <c r="Z14" s="52">
        <f>SUM(Tabla5232[[#This Row],[Naranjas]:[Almendras]])</f>
        <v>46</v>
      </c>
      <c r="AA14" s="58"/>
    </row>
    <row r="15" spans="1:27" outlineLevel="1" x14ac:dyDescent="0.25">
      <c r="A15" s="128"/>
      <c r="B15" s="56" t="s">
        <v>43</v>
      </c>
      <c r="C15" s="47" t="s">
        <v>44</v>
      </c>
      <c r="D15" s="47" t="s">
        <v>45</v>
      </c>
      <c r="E15" s="47" t="s">
        <v>46</v>
      </c>
      <c r="F15" s="47" t="s">
        <v>47</v>
      </c>
      <c r="G15" s="47" t="s">
        <v>48</v>
      </c>
      <c r="H15" s="47" t="s">
        <v>41</v>
      </c>
      <c r="I15" s="53">
        <v>56942723186</v>
      </c>
      <c r="J15" s="27" t="s">
        <v>49</v>
      </c>
      <c r="K15" s="27" t="s">
        <v>42</v>
      </c>
      <c r="L15" s="52" t="s">
        <v>142</v>
      </c>
      <c r="M15" s="52" t="s">
        <v>142</v>
      </c>
      <c r="N15" s="47">
        <f>SUMPRODUCT(Tabla5232[[#This Row],[Naranjas]:[Almendras]],O$33:Y$33)</f>
        <v>7400</v>
      </c>
      <c r="O15" s="52">
        <v>0</v>
      </c>
      <c r="P15" s="52">
        <v>0</v>
      </c>
      <c r="Q15" s="52">
        <v>2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SUM(Tabla5232[[#This Row],[Naranjas]:[Almendras]])</f>
        <v>2</v>
      </c>
      <c r="AA15" s="58"/>
    </row>
    <row r="16" spans="1:27" outlineLevel="1" x14ac:dyDescent="0.25">
      <c r="A16" s="128"/>
      <c r="B16" s="56" t="s">
        <v>103</v>
      </c>
      <c r="C16" s="47" t="s">
        <v>123</v>
      </c>
      <c r="D16" s="47" t="s">
        <v>104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56963033603</v>
      </c>
      <c r="J16" s="27" t="s">
        <v>132</v>
      </c>
      <c r="K16" s="27" t="s">
        <v>42</v>
      </c>
      <c r="L16" s="52" t="s">
        <v>142</v>
      </c>
      <c r="M16" s="52" t="s">
        <v>142</v>
      </c>
      <c r="N16" s="47">
        <f>SUMPRODUCT(Tabla5232[[#This Row],[Naranjas]:[Almendras]],O$33:Y$33)</f>
        <v>7400</v>
      </c>
      <c r="O16" s="52">
        <v>0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SUM(Tabla5232[[#This Row],[Naranjas]:[Almendras]])</f>
        <v>2</v>
      </c>
      <c r="AA16" s="58"/>
    </row>
    <row r="17" spans="1:27" outlineLevel="1" x14ac:dyDescent="0.25">
      <c r="A17" s="128"/>
      <c r="B17" s="50" t="s">
        <v>53</v>
      </c>
      <c r="C17" s="48" t="s">
        <v>54</v>
      </c>
      <c r="D17" s="59" t="s">
        <v>55</v>
      </c>
      <c r="E17" s="59" t="s">
        <v>50</v>
      </c>
      <c r="F17" s="59" t="s">
        <v>56</v>
      </c>
      <c r="G17" s="59" t="s">
        <v>48</v>
      </c>
      <c r="H17" s="59" t="s">
        <v>41</v>
      </c>
      <c r="I17" s="60">
        <v>56999699652</v>
      </c>
      <c r="J17" s="27" t="s">
        <v>57</v>
      </c>
      <c r="K17" s="27" t="s">
        <v>42</v>
      </c>
      <c r="L17" s="52" t="s">
        <v>142</v>
      </c>
      <c r="M17" s="52" t="s">
        <v>142</v>
      </c>
      <c r="N17" s="47">
        <f>SUMPRODUCT(Tabla5232[[#This Row],[Naranjas]:[Almendras]],O$33:Y$33)</f>
        <v>45900</v>
      </c>
      <c r="O17" s="52">
        <v>0</v>
      </c>
      <c r="P17" s="52">
        <v>0</v>
      </c>
      <c r="Q17" s="52">
        <v>2</v>
      </c>
      <c r="R17" s="52">
        <v>0</v>
      </c>
      <c r="S17" s="52">
        <v>4</v>
      </c>
      <c r="T17" s="52">
        <v>1</v>
      </c>
      <c r="U17" s="52">
        <v>0</v>
      </c>
      <c r="V17" s="52">
        <v>0</v>
      </c>
      <c r="W17" s="52">
        <v>1</v>
      </c>
      <c r="X17" s="52">
        <v>0</v>
      </c>
      <c r="Y17" s="52">
        <v>1</v>
      </c>
      <c r="Z17" s="52">
        <f>SUM(Tabla5232[[#This Row],[Naranjas]:[Almendras]])</f>
        <v>9</v>
      </c>
      <c r="AA17" s="58"/>
    </row>
    <row r="18" spans="1:27" outlineLevel="1" x14ac:dyDescent="0.25">
      <c r="A18" s="128"/>
      <c r="B18" s="50" t="s">
        <v>137</v>
      </c>
      <c r="C18" s="48" t="s">
        <v>138</v>
      </c>
      <c r="D18" s="59" t="s">
        <v>139</v>
      </c>
      <c r="E18" s="59" t="s">
        <v>46</v>
      </c>
      <c r="F18" s="59" t="s">
        <v>51</v>
      </c>
      <c r="G18" s="59" t="s">
        <v>140</v>
      </c>
      <c r="H18" s="59" t="s">
        <v>41</v>
      </c>
      <c r="I18" s="60">
        <v>56975580528</v>
      </c>
      <c r="J18" s="27" t="s">
        <v>141</v>
      </c>
      <c r="K18" s="27" t="s">
        <v>42</v>
      </c>
      <c r="L18" s="52" t="s">
        <v>142</v>
      </c>
      <c r="M18" s="52" t="s">
        <v>142</v>
      </c>
      <c r="N18" s="70">
        <f>SUMPRODUCT(Tabla5232[[#This Row],[Naranjas]:[Almendras]],O$33:Y$33)</f>
        <v>96900</v>
      </c>
      <c r="O18" s="52">
        <v>1</v>
      </c>
      <c r="P18" s="52">
        <v>0</v>
      </c>
      <c r="Q18" s="52">
        <v>7</v>
      </c>
      <c r="R18" s="52">
        <v>1</v>
      </c>
      <c r="S18" s="52">
        <v>8</v>
      </c>
      <c r="T18" s="52">
        <v>1</v>
      </c>
      <c r="U18" s="52">
        <v>0</v>
      </c>
      <c r="V18" s="52">
        <v>1</v>
      </c>
      <c r="W18" s="52">
        <v>0</v>
      </c>
      <c r="X18" s="52">
        <v>0</v>
      </c>
      <c r="Y18" s="52">
        <v>2</v>
      </c>
      <c r="Z18" s="52">
        <f>SUM(Tabla5232[[#This Row],[Naranjas]:[Almendras]])</f>
        <v>21</v>
      </c>
      <c r="AA18" s="58"/>
    </row>
    <row r="19" spans="1:27" outlineLevel="1" x14ac:dyDescent="0.25">
      <c r="A19" s="128"/>
      <c r="B19" s="56" t="s">
        <v>72</v>
      </c>
      <c r="C19" s="47" t="s">
        <v>73</v>
      </c>
      <c r="D19" s="47" t="s">
        <v>85</v>
      </c>
      <c r="E19" s="47" t="s">
        <v>50</v>
      </c>
      <c r="F19" s="47" t="s">
        <v>74</v>
      </c>
      <c r="G19" s="47" t="s">
        <v>48</v>
      </c>
      <c r="H19" s="47" t="s">
        <v>41</v>
      </c>
      <c r="I19" s="53">
        <v>56979878976</v>
      </c>
      <c r="J19" s="27" t="s">
        <v>75</v>
      </c>
      <c r="K19" s="27" t="s">
        <v>42</v>
      </c>
      <c r="L19" s="52" t="s">
        <v>142</v>
      </c>
      <c r="M19" s="52" t="s">
        <v>142</v>
      </c>
      <c r="N19" s="47">
        <f>SUMPRODUCT(Tabla5232[[#This Row],[Naranjas]:[Almendras]],O$33:Y$33)</f>
        <v>76300</v>
      </c>
      <c r="O19" s="52">
        <v>0</v>
      </c>
      <c r="P19" s="52">
        <v>0</v>
      </c>
      <c r="Q19" s="52">
        <v>9</v>
      </c>
      <c r="R19" s="52">
        <v>0</v>
      </c>
      <c r="S19" s="52">
        <v>4</v>
      </c>
      <c r="T19" s="52">
        <v>1</v>
      </c>
      <c r="U19" s="52">
        <v>1</v>
      </c>
      <c r="V19" s="52">
        <v>0</v>
      </c>
      <c r="W19" s="52">
        <v>0</v>
      </c>
      <c r="X19" s="52">
        <v>0</v>
      </c>
      <c r="Y19" s="52">
        <v>2</v>
      </c>
      <c r="Z19" s="52">
        <f>SUM(Tabla5232[[#This Row],[Naranjas]:[Almendras]])</f>
        <v>17</v>
      </c>
      <c r="AA19" s="58"/>
    </row>
    <row r="20" spans="1:27" outlineLevel="1" x14ac:dyDescent="0.25">
      <c r="A20" s="128"/>
      <c r="B20" s="56" t="s">
        <v>76</v>
      </c>
      <c r="C20" s="47" t="s">
        <v>77</v>
      </c>
      <c r="D20" s="47" t="s">
        <v>78</v>
      </c>
      <c r="E20" s="47" t="s">
        <v>40</v>
      </c>
      <c r="F20" s="47" t="s">
        <v>58</v>
      </c>
      <c r="G20" s="47" t="s">
        <v>60</v>
      </c>
      <c r="H20" s="47" t="s">
        <v>41</v>
      </c>
      <c r="I20" s="53">
        <v>56952304675</v>
      </c>
      <c r="J20" s="27" t="s">
        <v>79</v>
      </c>
      <c r="K20" s="27" t="s">
        <v>52</v>
      </c>
      <c r="L20" s="52" t="s">
        <v>142</v>
      </c>
      <c r="M20" s="52" t="s">
        <v>142</v>
      </c>
      <c r="N20" s="47">
        <f>SUMPRODUCT(Tabla5232[[#This Row],[Naranjas]:[Almendras]],O$33:Y$33)</f>
        <v>122600</v>
      </c>
      <c r="O20" s="52">
        <v>0</v>
      </c>
      <c r="P20" s="52">
        <v>0</v>
      </c>
      <c r="Q20" s="52">
        <v>13</v>
      </c>
      <c r="R20" s="52">
        <v>1</v>
      </c>
      <c r="S20" s="52">
        <v>11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1</v>
      </c>
      <c r="Z20" s="52">
        <f>SUM(Tabla5232[[#This Row],[Naranjas]:[Almendras]])</f>
        <v>28</v>
      </c>
      <c r="AA20" s="58"/>
    </row>
    <row r="21" spans="1:27" outlineLevel="1" x14ac:dyDescent="0.25">
      <c r="A21" s="128"/>
      <c r="B21" s="56" t="s">
        <v>99</v>
      </c>
      <c r="C21" s="47" t="s">
        <v>100</v>
      </c>
      <c r="D21" s="47" t="s">
        <v>101</v>
      </c>
      <c r="E21" s="47" t="s">
        <v>50</v>
      </c>
      <c r="F21" s="47" t="s">
        <v>74</v>
      </c>
      <c r="G21" s="47" t="s">
        <v>62</v>
      </c>
      <c r="H21" s="47" t="s">
        <v>41</v>
      </c>
      <c r="I21" s="53">
        <v>56955324629</v>
      </c>
      <c r="J21" s="27" t="s">
        <v>102</v>
      </c>
      <c r="K21" s="27" t="s">
        <v>52</v>
      </c>
      <c r="L21" s="52" t="s">
        <v>142</v>
      </c>
      <c r="M21" s="52" t="s">
        <v>142</v>
      </c>
      <c r="N21" s="47">
        <f>SUMPRODUCT(Tabla5232[[#This Row],[Naranjas]:[Almendras]],O$33:Y$33)</f>
        <v>39800</v>
      </c>
      <c r="O21" s="52">
        <v>0</v>
      </c>
      <c r="P21" s="52">
        <v>0</v>
      </c>
      <c r="Q21" s="52">
        <v>4</v>
      </c>
      <c r="R21" s="52">
        <v>1</v>
      </c>
      <c r="S21" s="52">
        <v>2</v>
      </c>
      <c r="T21" s="52">
        <v>0</v>
      </c>
      <c r="U21" s="52">
        <v>0</v>
      </c>
      <c r="V21" s="52">
        <v>0</v>
      </c>
      <c r="W21" s="52">
        <v>1</v>
      </c>
      <c r="X21" s="52">
        <v>0</v>
      </c>
      <c r="Y21" s="52">
        <v>0</v>
      </c>
      <c r="Z21" s="52">
        <f>SUM(Tabla5232[[#This Row],[Naranjas]:[Almendras]])</f>
        <v>8</v>
      </c>
      <c r="AA21" s="58"/>
    </row>
    <row r="22" spans="1:27" outlineLevel="1" x14ac:dyDescent="0.25">
      <c r="A22" s="128"/>
      <c r="B22" s="50" t="s">
        <v>120</v>
      </c>
      <c r="C22" s="48" t="s">
        <v>59</v>
      </c>
      <c r="D22" s="59" t="s">
        <v>121</v>
      </c>
      <c r="E22" s="59" t="s">
        <v>40</v>
      </c>
      <c r="F22" s="59" t="s">
        <v>58</v>
      </c>
      <c r="G22" s="59" t="s">
        <v>60</v>
      </c>
      <c r="H22" s="59" t="s">
        <v>41</v>
      </c>
      <c r="I22" s="60">
        <v>56966640363</v>
      </c>
      <c r="J22" s="27" t="s">
        <v>122</v>
      </c>
      <c r="K22" s="27" t="s">
        <v>52</v>
      </c>
      <c r="L22" s="52" t="s">
        <v>142</v>
      </c>
      <c r="M22" s="52" t="s">
        <v>142</v>
      </c>
      <c r="N22" s="70">
        <f>SUMPRODUCT(Tabla5232[[#This Row],[Naranjas]:[Almendras]],O$33:Y$33)</f>
        <v>56500</v>
      </c>
      <c r="O22" s="52">
        <v>0</v>
      </c>
      <c r="P22" s="52">
        <v>0</v>
      </c>
      <c r="Q22" s="52">
        <v>5</v>
      </c>
      <c r="R22" s="52">
        <v>0</v>
      </c>
      <c r="S22" s="52">
        <v>2</v>
      </c>
      <c r="T22" s="52">
        <v>1</v>
      </c>
      <c r="U22" s="52">
        <v>0</v>
      </c>
      <c r="V22" s="52">
        <v>0</v>
      </c>
      <c r="W22" s="52">
        <v>2</v>
      </c>
      <c r="X22" s="52">
        <v>1</v>
      </c>
      <c r="Y22" s="52">
        <v>0</v>
      </c>
      <c r="Z22" s="52">
        <f>SUM(Tabla5232[[#This Row],[Naranjas]:[Almendras]])</f>
        <v>11</v>
      </c>
      <c r="AA22" s="58"/>
    </row>
    <row r="23" spans="1:27" outlineLevel="1" x14ac:dyDescent="0.25">
      <c r="A23" s="18"/>
      <c r="B23" s="109" t="s">
        <v>112</v>
      </c>
      <c r="C23" s="110" t="s">
        <v>61</v>
      </c>
      <c r="D23" s="110" t="s">
        <v>113</v>
      </c>
      <c r="E23" s="110" t="s">
        <v>46</v>
      </c>
      <c r="F23" s="110" t="s">
        <v>51</v>
      </c>
      <c r="G23" s="110" t="s">
        <v>110</v>
      </c>
      <c r="H23" s="110" t="s">
        <v>41</v>
      </c>
      <c r="I23" s="111">
        <v>56982978895</v>
      </c>
      <c r="J23" s="96" t="s">
        <v>114</v>
      </c>
      <c r="K23" s="96" t="s">
        <v>52</v>
      </c>
      <c r="L23" s="52" t="s">
        <v>142</v>
      </c>
      <c r="M23" s="52" t="s">
        <v>142</v>
      </c>
      <c r="N23" s="110">
        <f>SUMPRODUCT(Tabla5232[[#This Row],[Naranjas]:[Almendras]],O$33:Y$33)</f>
        <v>90300</v>
      </c>
      <c r="O23" s="97">
        <v>0</v>
      </c>
      <c r="P23" s="97">
        <v>0</v>
      </c>
      <c r="Q23" s="97">
        <v>9</v>
      </c>
      <c r="R23" s="97">
        <v>0</v>
      </c>
      <c r="S23" s="97">
        <v>5</v>
      </c>
      <c r="T23" s="97">
        <v>6</v>
      </c>
      <c r="U23" s="97">
        <v>0</v>
      </c>
      <c r="V23" s="97">
        <v>0</v>
      </c>
      <c r="W23" s="97">
        <v>0</v>
      </c>
      <c r="X23" s="97">
        <v>1</v>
      </c>
      <c r="Y23" s="97">
        <v>0</v>
      </c>
      <c r="Z23" s="97">
        <f>SUM(Tabla5232[[#This Row],[Naranjas]:[Almendras]])</f>
        <v>21</v>
      </c>
      <c r="AA23" s="98"/>
    </row>
    <row r="24" spans="1:27" outlineLevel="1" x14ac:dyDescent="0.25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.75" thickBot="1" x14ac:dyDescent="0.3"/>
    <row r="26" spans="1:27" ht="14.65" customHeight="1" thickBot="1" x14ac:dyDescent="0.3">
      <c r="A26" s="141" t="s">
        <v>20</v>
      </c>
      <c r="B26" s="156" t="s">
        <v>7</v>
      </c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8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145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SUM(Tabla5232[Mani])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65" customHeight="1" thickBot="1" x14ac:dyDescent="0.3">
      <c r="A27" s="142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65" customHeight="1" thickBot="1" x14ac:dyDescent="0.3">
      <c r="A28" s="142"/>
      <c r="B28" s="159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1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290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.75" thickBot="1" x14ac:dyDescent="0.3">
      <c r="A29" s="142"/>
      <c r="B29" s="162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4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.75" thickBot="1" x14ac:dyDescent="0.3">
      <c r="A30" s="142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.75" thickBot="1" x14ac:dyDescent="0.3">
      <c r="A31" s="142"/>
      <c r="B31" s="156" t="s">
        <v>12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.75" thickBot="1" x14ac:dyDescent="0.3">
      <c r="A32" s="142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.75" thickBot="1" x14ac:dyDescent="0.3">
      <c r="A33" s="142"/>
      <c r="B33" s="162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4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.75" thickBot="1" x14ac:dyDescent="0.3">
      <c r="A34" s="142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65" customHeight="1" thickBot="1" x14ac:dyDescent="0.3">
      <c r="A35" s="142"/>
      <c r="B35" s="156" t="s">
        <v>15</v>
      </c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8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449500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.75" thickBot="1" x14ac:dyDescent="0.3">
      <c r="A36" s="142"/>
      <c r="B36" s="162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4"/>
      <c r="N36" s="93" t="s">
        <v>16</v>
      </c>
      <c r="O36" s="184">
        <f>SUM(O35:Y35)</f>
        <v>950058</v>
      </c>
      <c r="P36" s="185"/>
      <c r="Q36" s="185"/>
      <c r="R36" s="185"/>
      <c r="S36" s="185"/>
      <c r="T36" s="185"/>
      <c r="U36" s="185"/>
      <c r="V36" s="185"/>
      <c r="W36" s="185"/>
      <c r="X36" s="185"/>
      <c r="Y36" s="186"/>
    </row>
    <row r="37" spans="1:25" ht="15.75" thickBot="1" x14ac:dyDescent="0.3">
      <c r="A37" s="142"/>
      <c r="B37" s="156" t="s">
        <v>17</v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8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536500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.75" thickBot="1" x14ac:dyDescent="0.3">
      <c r="A38" s="142"/>
      <c r="B38" s="162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4"/>
      <c r="N38" s="93" t="s">
        <v>16</v>
      </c>
      <c r="O38" s="184">
        <f>SUM(O37:Y37)</f>
        <v>1361000</v>
      </c>
      <c r="P38" s="185"/>
      <c r="Q38" s="185"/>
      <c r="R38" s="185"/>
      <c r="S38" s="185"/>
      <c r="T38" s="185"/>
      <c r="U38" s="185"/>
      <c r="V38" s="185"/>
      <c r="W38" s="185"/>
      <c r="X38" s="185"/>
      <c r="Y38" s="186"/>
    </row>
    <row r="39" spans="1:25" ht="14.65" customHeight="1" thickBot="1" x14ac:dyDescent="0.3">
      <c r="A39" s="142"/>
      <c r="B39" s="156" t="s">
        <v>18</v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8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87000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65" customHeight="1" thickBot="1" x14ac:dyDescent="0.3">
      <c r="A40" s="142"/>
      <c r="B40" s="162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4"/>
      <c r="N40" s="93" t="s">
        <v>29</v>
      </c>
      <c r="O40" s="153">
        <f>O38-O36</f>
        <v>410942</v>
      </c>
      <c r="P40" s="154"/>
      <c r="Q40" s="154"/>
      <c r="R40" s="154"/>
      <c r="S40" s="154"/>
      <c r="T40" s="154"/>
      <c r="U40" s="154"/>
      <c r="V40" s="154"/>
      <c r="W40" s="154"/>
      <c r="X40" s="154"/>
      <c r="Y40" s="155"/>
    </row>
    <row r="41" spans="1:25" ht="15.75" thickBot="1" x14ac:dyDescent="0.3">
      <c r="A41" s="142"/>
    </row>
    <row r="42" spans="1:25" ht="14.65" customHeight="1" thickBot="1" x14ac:dyDescent="0.3">
      <c r="A42" s="142"/>
      <c r="B42" s="168" t="s">
        <v>25</v>
      </c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70"/>
      <c r="O42" s="150" t="s">
        <v>26</v>
      </c>
      <c r="P42" s="151"/>
      <c r="Q42" s="152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25">
      <c r="A43" s="142"/>
      <c r="B43" s="171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3"/>
      <c r="O43" s="177" t="s">
        <v>63</v>
      </c>
      <c r="P43" s="178"/>
      <c r="Q43" s="179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25">
      <c r="A44" s="142"/>
      <c r="B44" s="171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3"/>
      <c r="O44" s="165" t="s">
        <v>144</v>
      </c>
      <c r="P44" s="166"/>
      <c r="Q44" s="167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25">
      <c r="A45" s="142"/>
      <c r="B45" s="171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3"/>
      <c r="O45" s="165" t="s">
        <v>145</v>
      </c>
      <c r="P45" s="166"/>
      <c r="Q45" s="167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25">
      <c r="A46" s="142"/>
      <c r="B46" s="171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3"/>
      <c r="O46" s="165" t="s">
        <v>146</v>
      </c>
      <c r="P46" s="166"/>
      <c r="Q46" s="167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142"/>
      <c r="B47" s="171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3"/>
      <c r="O47" s="165"/>
      <c r="P47" s="166"/>
      <c r="Q47" s="167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142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3"/>
      <c r="O48" s="165"/>
      <c r="P48" s="166"/>
      <c r="Q48" s="167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3">
      <c r="A49" s="142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3"/>
      <c r="O49" s="144"/>
      <c r="P49" s="145"/>
      <c r="Q49" s="146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3">
      <c r="A50" s="142"/>
      <c r="B50" s="174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6"/>
      <c r="O50" s="147" t="s">
        <v>16</v>
      </c>
      <c r="P50" s="148"/>
      <c r="Q50" s="149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.75" thickBot="1" x14ac:dyDescent="0.3">
      <c r="A51" s="142"/>
    </row>
    <row r="52" spans="1:25" ht="51.75" customHeight="1" thickBot="1" x14ac:dyDescent="0.3">
      <c r="A52" s="143"/>
      <c r="B52" s="150" t="s">
        <v>18</v>
      </c>
      <c r="C52" s="151"/>
      <c r="D52" s="151"/>
      <c r="E52" s="151"/>
      <c r="F52" s="151"/>
      <c r="G52" s="151"/>
      <c r="H52" s="151"/>
      <c r="I52" s="151"/>
      <c r="J52" s="151"/>
      <c r="K52" s="151"/>
      <c r="L52" s="152"/>
      <c r="M52" s="93"/>
      <c r="N52" s="92" t="s">
        <v>16</v>
      </c>
      <c r="O52" s="153">
        <f>O40-SUM(R43:R49)</f>
        <v>230942</v>
      </c>
      <c r="P52" s="154"/>
      <c r="Q52" s="154"/>
      <c r="R52" s="154"/>
      <c r="S52" s="154"/>
      <c r="T52" s="154"/>
      <c r="U52" s="155"/>
      <c r="V52" s="72"/>
      <c r="W52" s="72"/>
      <c r="X52" s="72"/>
      <c r="Y52" s="72"/>
    </row>
    <row r="53" spans="1:25" ht="15.75" customHeight="1" x14ac:dyDescent="0.25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25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  <mergeCell ref="B42:N50"/>
    <mergeCell ref="O42:Q42"/>
    <mergeCell ref="O43:Q43"/>
    <mergeCell ref="O44:Q44"/>
    <mergeCell ref="O45:Q45"/>
    <mergeCell ref="O46:Q46"/>
    <mergeCell ref="O47:Q47"/>
    <mergeCell ref="O48:Q48"/>
  </mergeCells>
  <conditionalFormatting sqref="Z5:Z23">
    <cfRule type="cellIs" dxfId="235" priority="1" operator="lessThan">
      <formula>20</formula>
    </cfRule>
    <cfRule type="cellIs" dxfId="234" priority="2" operator="between">
      <formula>20</formula>
      <formula>29</formula>
    </cfRule>
    <cfRule type="cellIs" dxfId="23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1BC5-8688-4FEE-9262-58F678CEB6AF}">
  <sheetPr codeName="Hoja3">
    <pageSetUpPr autoPageBreaks="0"/>
  </sheetPr>
  <dimension ref="A1:AB6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5" sqref="M1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3" width="10.7109375" customWidth="1"/>
    <col min="14" max="14" width="12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80" t="s">
        <v>38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2"/>
      <c r="O2" s="183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7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7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SUMPRODUCT(Tabla5234[[#This Row],[Naranjas]:[Cerezas]],O$32:Z$32)</f>
        <v>23500</v>
      </c>
      <c r="O5" s="49">
        <v>0</v>
      </c>
      <c r="P5" s="49">
        <v>0</v>
      </c>
      <c r="Q5" s="49">
        <v>1</v>
      </c>
      <c r="R5" s="49">
        <v>0</v>
      </c>
      <c r="S5" s="49">
        <v>2</v>
      </c>
      <c r="T5" s="49">
        <v>1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f>SUM(Tabla5234[[#This Row],[Naranjas]:[Cerezas]])</f>
        <v>5</v>
      </c>
      <c r="AB5" s="57"/>
    </row>
    <row r="6" spans="1:28" outlineLevel="1" x14ac:dyDescent="0.25">
      <c r="A6" s="188"/>
      <c r="B6" s="56" t="s">
        <v>69</v>
      </c>
      <c r="C6" s="47" t="s">
        <v>87</v>
      </c>
      <c r="D6" s="47" t="s">
        <v>88</v>
      </c>
      <c r="E6" s="47" t="s">
        <v>40</v>
      </c>
      <c r="F6" s="47" t="s">
        <v>58</v>
      </c>
      <c r="G6" s="47" t="s">
        <v>62</v>
      </c>
      <c r="H6" s="47" t="s">
        <v>41</v>
      </c>
      <c r="I6" s="53">
        <v>56975684552</v>
      </c>
      <c r="J6" s="27" t="s">
        <v>89</v>
      </c>
      <c r="K6" s="27" t="s">
        <v>64</v>
      </c>
      <c r="L6" s="52" t="s">
        <v>142</v>
      </c>
      <c r="M6" s="52" t="s">
        <v>143</v>
      </c>
      <c r="N6" s="47">
        <f>SUMPRODUCT(Tabla5234[[#This Row],[Naranjas]:[Cerezas]],O$32:Z$32)</f>
        <v>18000</v>
      </c>
      <c r="O6" s="52">
        <v>0</v>
      </c>
      <c r="P6" s="52">
        <v>0</v>
      </c>
      <c r="Q6" s="52">
        <v>0</v>
      </c>
      <c r="R6" s="52">
        <v>0</v>
      </c>
      <c r="S6" s="52">
        <v>4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SUM(Tabla5234[[#This Row],[Naranjas]:[Cerezas]])</f>
        <v>4</v>
      </c>
      <c r="AB6" s="58"/>
    </row>
    <row r="7" spans="1:28" outlineLevel="1" x14ac:dyDescent="0.25">
      <c r="A7" s="188"/>
      <c r="B7" s="56" t="s">
        <v>157</v>
      </c>
      <c r="C7" s="47" t="s">
        <v>158</v>
      </c>
      <c r="D7" s="47" t="s">
        <v>159</v>
      </c>
      <c r="E7" s="47" t="s">
        <v>40</v>
      </c>
      <c r="F7" s="47" t="s">
        <v>58</v>
      </c>
      <c r="G7" s="47" t="s">
        <v>160</v>
      </c>
      <c r="H7" s="47" t="s">
        <v>41</v>
      </c>
      <c r="I7" s="53">
        <v>56968320616</v>
      </c>
      <c r="J7" s="27" t="s">
        <v>161</v>
      </c>
      <c r="K7" s="27" t="s">
        <v>64</v>
      </c>
      <c r="L7" s="52" t="s">
        <v>142</v>
      </c>
      <c r="M7" s="52" t="s">
        <v>143</v>
      </c>
      <c r="N7" s="47">
        <f>SUMPRODUCT(Tabla5234[[#This Row],[Naranjas]:[Cerezas]],O$32:Z$32)</f>
        <v>31500</v>
      </c>
      <c r="O7" s="52">
        <v>0</v>
      </c>
      <c r="P7" s="52">
        <v>0</v>
      </c>
      <c r="Q7" s="52">
        <v>0</v>
      </c>
      <c r="R7" s="52">
        <v>0</v>
      </c>
      <c r="S7" s="52">
        <v>7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SUM(Tabla5234[[#This Row],[Naranjas]:[Cerezas]])</f>
        <v>7</v>
      </c>
      <c r="AB7" s="58"/>
    </row>
    <row r="8" spans="1:28" outlineLevel="1" x14ac:dyDescent="0.25">
      <c r="A8" s="188"/>
      <c r="B8" s="50" t="s">
        <v>124</v>
      </c>
      <c r="C8" s="48" t="s">
        <v>125</v>
      </c>
      <c r="D8" s="59" t="s">
        <v>126</v>
      </c>
      <c r="E8" s="59" t="s">
        <v>40</v>
      </c>
      <c r="F8" s="59" t="s">
        <v>58</v>
      </c>
      <c r="G8" s="59" t="s">
        <v>93</v>
      </c>
      <c r="H8" s="59" t="s">
        <v>41</v>
      </c>
      <c r="I8" s="60">
        <v>56974397201</v>
      </c>
      <c r="J8" s="27" t="s">
        <v>127</v>
      </c>
      <c r="K8" s="27" t="s">
        <v>64</v>
      </c>
      <c r="L8" s="52" t="s">
        <v>142</v>
      </c>
      <c r="M8" s="52" t="s">
        <v>143</v>
      </c>
      <c r="N8" s="47">
        <f>SUMPRODUCT(Tabla5234[[#This Row],[Naranjas]:[Cerezas]],O$32:Z$32)</f>
        <v>103000</v>
      </c>
      <c r="O8" s="52">
        <v>0</v>
      </c>
      <c r="P8" s="52">
        <v>0</v>
      </c>
      <c r="Q8" s="52">
        <v>6</v>
      </c>
      <c r="R8" s="52">
        <v>1</v>
      </c>
      <c r="S8" s="52">
        <v>5</v>
      </c>
      <c r="T8" s="52">
        <v>5</v>
      </c>
      <c r="U8" s="52">
        <v>0</v>
      </c>
      <c r="V8" s="52">
        <v>0</v>
      </c>
      <c r="W8" s="52">
        <v>1</v>
      </c>
      <c r="X8" s="52">
        <v>0</v>
      </c>
      <c r="Y8" s="52">
        <v>2</v>
      </c>
      <c r="Z8" s="52">
        <v>0</v>
      </c>
      <c r="AA8" s="52">
        <f>SUM(Tabla5234[[#This Row],[Naranjas]:[Cerezas]])</f>
        <v>20</v>
      </c>
      <c r="AB8" s="58"/>
    </row>
    <row r="9" spans="1:28" outlineLevel="1" x14ac:dyDescent="0.25">
      <c r="A9" s="188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142</v>
      </c>
      <c r="M9" s="52" t="s">
        <v>143</v>
      </c>
      <c r="N9" s="47">
        <f>SUMPRODUCT(Tabla5234[[#This Row],[Naranjas]:[Cerezas]],O$32:Z$32)</f>
        <v>216000</v>
      </c>
      <c r="O9" s="52">
        <v>0</v>
      </c>
      <c r="P9" s="52">
        <v>0</v>
      </c>
      <c r="Q9" s="52">
        <v>13</v>
      </c>
      <c r="R9" s="52">
        <v>4</v>
      </c>
      <c r="S9" s="52">
        <v>22</v>
      </c>
      <c r="T9" s="52">
        <v>3</v>
      </c>
      <c r="U9" s="52">
        <v>0</v>
      </c>
      <c r="V9" s="52">
        <v>0</v>
      </c>
      <c r="W9" s="52">
        <v>0</v>
      </c>
      <c r="X9" s="52">
        <v>0</v>
      </c>
      <c r="Y9" s="52">
        <v>2</v>
      </c>
      <c r="Z9" s="52">
        <v>0</v>
      </c>
      <c r="AA9" s="52">
        <f>SUM(Tabla5234[[#This Row],[Naranjas]:[Cerezas]])</f>
        <v>44</v>
      </c>
      <c r="AB9" s="58"/>
    </row>
    <row r="10" spans="1:28" outlineLevel="1" x14ac:dyDescent="0.25">
      <c r="A10" s="188"/>
      <c r="B10" s="50" t="s">
        <v>133</v>
      </c>
      <c r="C10" s="48" t="s">
        <v>134</v>
      </c>
      <c r="D10" s="59" t="s">
        <v>136</v>
      </c>
      <c r="E10" s="59" t="s">
        <v>50</v>
      </c>
      <c r="F10" s="59" t="s">
        <v>109</v>
      </c>
      <c r="G10" s="59" t="s">
        <v>48</v>
      </c>
      <c r="H10" s="59" t="s">
        <v>41</v>
      </c>
      <c r="I10" s="60">
        <v>56997792386</v>
      </c>
      <c r="J10" s="27" t="s">
        <v>135</v>
      </c>
      <c r="K10" s="27" t="s">
        <v>52</v>
      </c>
      <c r="L10" s="52" t="s">
        <v>142</v>
      </c>
      <c r="M10" s="52" t="s">
        <v>143</v>
      </c>
      <c r="N10" s="70">
        <f>SUMPRODUCT(Tabla5234[[#This Row],[Naranjas]:[Cerezas]],O$32:Z$32)</f>
        <v>54000</v>
      </c>
      <c r="O10" s="52">
        <v>0</v>
      </c>
      <c r="P10" s="52">
        <v>0</v>
      </c>
      <c r="Q10" s="52">
        <v>2</v>
      </c>
      <c r="R10" s="52">
        <v>0</v>
      </c>
      <c r="S10" s="52">
        <v>7</v>
      </c>
      <c r="T10" s="52">
        <v>3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SUM(Tabla5234[[#This Row],[Naranjas]:[Cerezas]])</f>
        <v>12</v>
      </c>
      <c r="AB10" s="58"/>
    </row>
    <row r="11" spans="1:28" outlineLevel="1" x14ac:dyDescent="0.25">
      <c r="A11" s="188"/>
      <c r="B11" s="56" t="s">
        <v>69</v>
      </c>
      <c r="C11" s="47" t="s">
        <v>61</v>
      </c>
      <c r="D11" s="47" t="s">
        <v>70</v>
      </c>
      <c r="E11" s="47" t="s">
        <v>40</v>
      </c>
      <c r="F11" s="47" t="s">
        <v>58</v>
      </c>
      <c r="G11" s="47" t="s">
        <v>48</v>
      </c>
      <c r="H11" s="47" t="s">
        <v>41</v>
      </c>
      <c r="I11" s="53">
        <v>56986194003</v>
      </c>
      <c r="J11" s="27" t="s">
        <v>71</v>
      </c>
      <c r="K11" s="27" t="s">
        <v>52</v>
      </c>
      <c r="L11" s="52" t="s">
        <v>142</v>
      </c>
      <c r="M11" s="52" t="s">
        <v>143</v>
      </c>
      <c r="N11" s="47">
        <f>SUMPRODUCT(Tabla5234[[#This Row],[Naranjas]:[Cerezas]],O$32:Z$32)</f>
        <v>123000</v>
      </c>
      <c r="O11" s="52">
        <v>0</v>
      </c>
      <c r="P11" s="52">
        <v>0</v>
      </c>
      <c r="Q11" s="52">
        <v>24</v>
      </c>
      <c r="R11" s="52">
        <v>2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SUM(Tabla5234[[#This Row],[Naranjas]:[Cerezas]])</f>
        <v>26</v>
      </c>
      <c r="AB11" s="58"/>
    </row>
    <row r="12" spans="1:28" outlineLevel="1" x14ac:dyDescent="0.25">
      <c r="A12" s="188"/>
      <c r="B12" s="56" t="s">
        <v>150</v>
      </c>
      <c r="C12" s="47" t="s">
        <v>151</v>
      </c>
      <c r="D12" s="47" t="s">
        <v>152</v>
      </c>
      <c r="E12" s="47" t="s">
        <v>40</v>
      </c>
      <c r="F12" s="47" t="s">
        <v>58</v>
      </c>
      <c r="G12" s="47" t="s">
        <v>148</v>
      </c>
      <c r="H12" s="47" t="s">
        <v>41</v>
      </c>
      <c r="I12" s="53">
        <v>56979891544</v>
      </c>
      <c r="J12" s="27" t="s">
        <v>153</v>
      </c>
      <c r="K12" s="27" t="s">
        <v>52</v>
      </c>
      <c r="L12" s="52" t="s">
        <v>142</v>
      </c>
      <c r="M12" s="52" t="s">
        <v>143</v>
      </c>
      <c r="N12" s="47">
        <f>SUMPRODUCT(Tabla5234[[#This Row],[Naranjas]:[Cerezas]],O$32:Z$32)</f>
        <v>30000</v>
      </c>
      <c r="O12" s="52">
        <v>0</v>
      </c>
      <c r="P12" s="52">
        <v>0</v>
      </c>
      <c r="Q12" s="52">
        <v>2</v>
      </c>
      <c r="R12" s="52">
        <v>0</v>
      </c>
      <c r="S12" s="52">
        <v>1</v>
      </c>
      <c r="T12" s="52">
        <v>1</v>
      </c>
      <c r="U12" s="52">
        <v>0</v>
      </c>
      <c r="V12" s="52">
        <v>1</v>
      </c>
      <c r="W12" s="52">
        <v>0</v>
      </c>
      <c r="X12" s="52">
        <v>0</v>
      </c>
      <c r="Y12" s="52">
        <v>1</v>
      </c>
      <c r="Z12" s="52">
        <v>0</v>
      </c>
      <c r="AA12" s="52">
        <f>SUM(Tabla5234[[#This Row],[Naranjas]:[Cerezas]])</f>
        <v>6</v>
      </c>
      <c r="AB12" s="58"/>
    </row>
    <row r="13" spans="1:28" outlineLevel="1" x14ac:dyDescent="0.25">
      <c r="A13" s="188"/>
      <c r="B13" s="56" t="s">
        <v>162</v>
      </c>
      <c r="C13" s="47" t="s">
        <v>163</v>
      </c>
      <c r="D13" s="47" t="s">
        <v>164</v>
      </c>
      <c r="E13" s="47" t="s">
        <v>46</v>
      </c>
      <c r="F13" s="47" t="s">
        <v>51</v>
      </c>
      <c r="G13" s="47" t="s">
        <v>140</v>
      </c>
      <c r="H13" s="47" t="s">
        <v>41</v>
      </c>
      <c r="I13" s="53">
        <v>56956481962</v>
      </c>
      <c r="J13" s="27" t="s">
        <v>165</v>
      </c>
      <c r="K13" s="27" t="s">
        <v>52</v>
      </c>
      <c r="L13" s="52" t="s">
        <v>142</v>
      </c>
      <c r="M13" s="52" t="s">
        <v>143</v>
      </c>
      <c r="N13" s="47">
        <f>SUMPRODUCT(Tabla5234[[#This Row],[Naranjas]:[Cerezas]],O$32:Z$32)</f>
        <v>41500</v>
      </c>
      <c r="O13" s="52">
        <v>0</v>
      </c>
      <c r="P13" s="52">
        <v>0</v>
      </c>
      <c r="Q13" s="52">
        <v>3</v>
      </c>
      <c r="R13" s="52">
        <v>2</v>
      </c>
      <c r="S13" s="52">
        <v>0</v>
      </c>
      <c r="T13" s="52">
        <v>1</v>
      </c>
      <c r="U13" s="52">
        <v>0</v>
      </c>
      <c r="V13" s="52">
        <v>0</v>
      </c>
      <c r="W13" s="52">
        <v>1</v>
      </c>
      <c r="X13" s="52">
        <v>0</v>
      </c>
      <c r="Y13" s="52">
        <v>0</v>
      </c>
      <c r="Z13" s="52">
        <v>0</v>
      </c>
      <c r="AA13" s="52">
        <f>SUM(Tabla5234[[#This Row],[Naranjas]:[Cerezas]])</f>
        <v>7</v>
      </c>
      <c r="AB13" s="58"/>
    </row>
    <row r="14" spans="1:28" outlineLevel="1" x14ac:dyDescent="0.25">
      <c r="A14" s="188"/>
      <c r="B14" s="56" t="s">
        <v>72</v>
      </c>
      <c r="C14" s="47" t="s">
        <v>73</v>
      </c>
      <c r="D14" s="47" t="s">
        <v>85</v>
      </c>
      <c r="E14" s="47" t="s">
        <v>50</v>
      </c>
      <c r="F14" s="47" t="s">
        <v>74</v>
      </c>
      <c r="G14" s="47" t="s">
        <v>48</v>
      </c>
      <c r="H14" s="47" t="s">
        <v>41</v>
      </c>
      <c r="I14" s="53">
        <v>56979878976</v>
      </c>
      <c r="J14" s="27" t="s">
        <v>75</v>
      </c>
      <c r="K14" s="27" t="s">
        <v>42</v>
      </c>
      <c r="L14" s="52" t="s">
        <v>142</v>
      </c>
      <c r="M14" s="52" t="s">
        <v>142</v>
      </c>
      <c r="N14" s="47">
        <f>SUMPRODUCT(Tabla5234[[#This Row],[Naranjas]:[Cerezas]],O$32:Z$32)</f>
        <v>65500</v>
      </c>
      <c r="O14" s="52">
        <v>0</v>
      </c>
      <c r="P14" s="52">
        <v>0</v>
      </c>
      <c r="Q14" s="52">
        <v>6</v>
      </c>
      <c r="R14" s="52">
        <v>1</v>
      </c>
      <c r="S14" s="52">
        <v>3</v>
      </c>
      <c r="T14" s="52">
        <v>1</v>
      </c>
      <c r="U14" s="52">
        <v>0</v>
      </c>
      <c r="V14" s="52">
        <v>1</v>
      </c>
      <c r="W14" s="52">
        <v>1</v>
      </c>
      <c r="X14" s="52">
        <v>0</v>
      </c>
      <c r="Y14" s="52">
        <v>0</v>
      </c>
      <c r="Z14" s="52">
        <v>0</v>
      </c>
      <c r="AA14" s="52">
        <f>SUM(Tabla5234[[#This Row],[Naranjas]:[Cerezas]])</f>
        <v>13</v>
      </c>
      <c r="AB14" s="58"/>
    </row>
    <row r="15" spans="1:28" outlineLevel="1" x14ac:dyDescent="0.25">
      <c r="A15" s="188"/>
      <c r="B15" s="50" t="s">
        <v>170</v>
      </c>
      <c r="C15" s="48" t="s">
        <v>171</v>
      </c>
      <c r="D15" s="59" t="s">
        <v>172</v>
      </c>
      <c r="E15" s="59" t="s">
        <v>173</v>
      </c>
      <c r="F15" s="59" t="s">
        <v>174</v>
      </c>
      <c r="G15" s="59" t="s">
        <v>62</v>
      </c>
      <c r="H15" s="59" t="s">
        <v>41</v>
      </c>
      <c r="I15" s="60">
        <v>56996310424</v>
      </c>
      <c r="J15" s="27" t="s">
        <v>193</v>
      </c>
      <c r="K15" s="27" t="s">
        <v>52</v>
      </c>
      <c r="L15" s="52" t="s">
        <v>142</v>
      </c>
      <c r="M15" s="52" t="s">
        <v>222</v>
      </c>
      <c r="N15" s="70">
        <f>SUMPRODUCT(Tabla5234[[#This Row],[Naranjas]:[Cerezas]],O$32:Z$32)</f>
        <v>94000</v>
      </c>
      <c r="O15" s="52">
        <v>0</v>
      </c>
      <c r="P15" s="52">
        <v>0</v>
      </c>
      <c r="Q15" s="52">
        <v>9</v>
      </c>
      <c r="R15" s="52">
        <v>3</v>
      </c>
      <c r="S15" s="52">
        <v>3</v>
      </c>
      <c r="T15" s="52">
        <v>1</v>
      </c>
      <c r="U15" s="52">
        <v>1</v>
      </c>
      <c r="V15" s="52">
        <v>0</v>
      </c>
      <c r="W15" s="52">
        <v>0</v>
      </c>
      <c r="X15" s="52">
        <v>0</v>
      </c>
      <c r="Y15" s="52">
        <v>1</v>
      </c>
      <c r="Z15" s="52">
        <v>0</v>
      </c>
      <c r="AA15" s="52">
        <f>SUM(Tabla5234[[#This Row],[Naranjas]:[Cerezas]])</f>
        <v>18</v>
      </c>
      <c r="AB15" s="58"/>
    </row>
    <row r="16" spans="1:28" outlineLevel="1" x14ac:dyDescent="0.25">
      <c r="A16" s="188"/>
      <c r="B16" s="50" t="s">
        <v>166</v>
      </c>
      <c r="C16" s="48" t="s">
        <v>167</v>
      </c>
      <c r="D16" s="59" t="s">
        <v>168</v>
      </c>
      <c r="E16" s="59" t="s">
        <v>50</v>
      </c>
      <c r="F16" s="59" t="s">
        <v>47</v>
      </c>
      <c r="G16" s="59" t="s">
        <v>110</v>
      </c>
      <c r="H16" s="59" t="s">
        <v>41</v>
      </c>
      <c r="I16" s="60">
        <v>56994792301</v>
      </c>
      <c r="J16" s="27" t="s">
        <v>169</v>
      </c>
      <c r="K16" s="27" t="s">
        <v>64</v>
      </c>
      <c r="L16" s="52" t="s">
        <v>142</v>
      </c>
      <c r="M16" s="52" t="s">
        <v>142</v>
      </c>
      <c r="N16" s="70">
        <f>SUMPRODUCT(Tabla5234[[#This Row],[Naranjas]:[Cerezas]],O$32:Z$32)</f>
        <v>68500</v>
      </c>
      <c r="O16" s="52">
        <v>0</v>
      </c>
      <c r="P16" s="52">
        <v>0</v>
      </c>
      <c r="Q16" s="52">
        <v>1</v>
      </c>
      <c r="R16" s="52">
        <v>2</v>
      </c>
      <c r="S16" s="52">
        <v>2</v>
      </c>
      <c r="T16" s="52">
        <v>1</v>
      </c>
      <c r="U16" s="52">
        <v>0</v>
      </c>
      <c r="V16" s="52">
        <v>1</v>
      </c>
      <c r="W16" s="52">
        <v>1</v>
      </c>
      <c r="X16" s="52">
        <v>2</v>
      </c>
      <c r="Y16" s="52">
        <v>1</v>
      </c>
      <c r="Z16" s="52">
        <v>0</v>
      </c>
      <c r="AA16" s="52">
        <f>SUM(Tabla5234[[#This Row],[Naranjas]:[Cerezas]])</f>
        <v>11</v>
      </c>
      <c r="AB16" s="58"/>
    </row>
    <row r="17" spans="1:28" outlineLevel="1" x14ac:dyDescent="0.25">
      <c r="A17" s="188"/>
      <c r="B17" s="56" t="s">
        <v>65</v>
      </c>
      <c r="C17" s="47" t="s">
        <v>66</v>
      </c>
      <c r="D17" s="47" t="s">
        <v>67</v>
      </c>
      <c r="E17" s="47" t="s">
        <v>40</v>
      </c>
      <c r="F17" s="47" t="s">
        <v>58</v>
      </c>
      <c r="G17" s="47" t="s">
        <v>48</v>
      </c>
      <c r="H17" s="47" t="s">
        <v>41</v>
      </c>
      <c r="I17" s="53">
        <v>56967898535</v>
      </c>
      <c r="J17" s="27" t="s">
        <v>68</v>
      </c>
      <c r="K17" s="27" t="s">
        <v>64</v>
      </c>
      <c r="L17" s="52" t="s">
        <v>142</v>
      </c>
      <c r="M17" s="52" t="s">
        <v>142</v>
      </c>
      <c r="N17" s="47">
        <f>SUMPRODUCT(Tabla5234[[#This Row],[Naranjas]:[Cerezas]],O$32:Z$32)</f>
        <v>125000</v>
      </c>
      <c r="O17" s="52">
        <v>0</v>
      </c>
      <c r="P17" s="52">
        <v>0</v>
      </c>
      <c r="Q17" s="52">
        <v>10</v>
      </c>
      <c r="R17" s="52">
        <v>1</v>
      </c>
      <c r="S17" s="52">
        <v>5</v>
      </c>
      <c r="T17" s="52">
        <v>3</v>
      </c>
      <c r="U17" s="52">
        <v>1</v>
      </c>
      <c r="V17" s="52">
        <v>0</v>
      </c>
      <c r="W17" s="52">
        <v>1</v>
      </c>
      <c r="X17" s="52">
        <v>1</v>
      </c>
      <c r="Y17" s="52">
        <v>2</v>
      </c>
      <c r="Z17" s="52">
        <v>0</v>
      </c>
      <c r="AA17" s="52">
        <f>SUM(Tabla5234[[#This Row],[Naranjas]:[Cerezas]])</f>
        <v>24</v>
      </c>
      <c r="AB17" s="58"/>
    </row>
    <row r="18" spans="1:28" outlineLevel="1" x14ac:dyDescent="0.25">
      <c r="A18" s="188"/>
      <c r="B18" s="50" t="s">
        <v>53</v>
      </c>
      <c r="C18" s="48" t="s">
        <v>54</v>
      </c>
      <c r="D18" s="59" t="s">
        <v>55</v>
      </c>
      <c r="E18" s="59" t="s">
        <v>50</v>
      </c>
      <c r="F18" s="59" t="s">
        <v>56</v>
      </c>
      <c r="G18" s="59" t="s">
        <v>48</v>
      </c>
      <c r="H18" s="59" t="s">
        <v>41</v>
      </c>
      <c r="I18" s="60">
        <v>56999699652</v>
      </c>
      <c r="J18" s="27" t="s">
        <v>57</v>
      </c>
      <c r="K18" s="27" t="s">
        <v>42</v>
      </c>
      <c r="L18" s="52" t="s">
        <v>142</v>
      </c>
      <c r="M18" s="52" t="s">
        <v>142</v>
      </c>
      <c r="N18" s="47">
        <f>SUMPRODUCT(Tabla5234[[#This Row],[Naranjas]:[Cerezas]],O$32:Z$32)</f>
        <v>42000</v>
      </c>
      <c r="O18" s="52">
        <v>0</v>
      </c>
      <c r="P18" s="52">
        <v>0</v>
      </c>
      <c r="Q18" s="52">
        <v>1</v>
      </c>
      <c r="R18" s="52">
        <v>0</v>
      </c>
      <c r="S18" s="52">
        <v>5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2</v>
      </c>
      <c r="Z18" s="52">
        <v>0</v>
      </c>
      <c r="AA18" s="52">
        <f>SUM(Tabla5234[[#This Row],[Naranjas]:[Cerezas]])</f>
        <v>8</v>
      </c>
      <c r="AB18" s="58"/>
    </row>
    <row r="19" spans="1:28" outlineLevel="1" x14ac:dyDescent="0.25">
      <c r="A19" s="188"/>
      <c r="B19" s="56" t="s">
        <v>149</v>
      </c>
      <c r="C19" s="47" t="s">
        <v>154</v>
      </c>
      <c r="D19" s="47" t="s">
        <v>155</v>
      </c>
      <c r="E19" s="47" t="s">
        <v>40</v>
      </c>
      <c r="F19" s="47" t="s">
        <v>92</v>
      </c>
      <c r="G19" s="47" t="s">
        <v>148</v>
      </c>
      <c r="H19" s="47" t="s">
        <v>41</v>
      </c>
      <c r="I19" s="53">
        <v>56988587944</v>
      </c>
      <c r="J19" s="27" t="s">
        <v>156</v>
      </c>
      <c r="K19" s="27" t="s">
        <v>52</v>
      </c>
      <c r="L19" s="52" t="s">
        <v>142</v>
      </c>
      <c r="M19" s="52" t="s">
        <v>142</v>
      </c>
      <c r="N19" s="47">
        <f>SUMPRODUCT(Tabla5234[[#This Row],[Naranjas]:[Cerezas]],O$32:Z$32)</f>
        <v>153000</v>
      </c>
      <c r="O19" s="52">
        <v>0</v>
      </c>
      <c r="P19" s="52">
        <v>0</v>
      </c>
      <c r="Q19" s="52">
        <v>13</v>
      </c>
      <c r="R19" s="52">
        <v>1</v>
      </c>
      <c r="S19" s="52">
        <v>14</v>
      </c>
      <c r="T19" s="52">
        <v>1</v>
      </c>
      <c r="U19" s="52">
        <v>2</v>
      </c>
      <c r="V19" s="52">
        <v>0</v>
      </c>
      <c r="W19" s="52">
        <v>1</v>
      </c>
      <c r="X19" s="52">
        <v>0</v>
      </c>
      <c r="Y19" s="52">
        <v>0</v>
      </c>
      <c r="Z19" s="52">
        <v>0</v>
      </c>
      <c r="AA19" s="52">
        <f>SUM(Tabla5234[[#This Row],[Naranjas]:[Cerezas]])</f>
        <v>32</v>
      </c>
      <c r="AB19" s="58"/>
    </row>
    <row r="20" spans="1:28" outlineLevel="1" x14ac:dyDescent="0.25">
      <c r="A20" s="188"/>
      <c r="B20" s="50" t="s">
        <v>120</v>
      </c>
      <c r="C20" s="48" t="s">
        <v>59</v>
      </c>
      <c r="D20" s="59" t="s">
        <v>121</v>
      </c>
      <c r="E20" s="59" t="s">
        <v>40</v>
      </c>
      <c r="F20" s="59" t="s">
        <v>58</v>
      </c>
      <c r="G20" s="59" t="s">
        <v>60</v>
      </c>
      <c r="H20" s="59" t="s">
        <v>41</v>
      </c>
      <c r="I20" s="60">
        <v>56966640363</v>
      </c>
      <c r="J20" s="27" t="s">
        <v>122</v>
      </c>
      <c r="K20" s="27" t="s">
        <v>52</v>
      </c>
      <c r="L20" s="52" t="s">
        <v>142</v>
      </c>
      <c r="M20" s="52" t="s">
        <v>142</v>
      </c>
      <c r="N20" s="70">
        <f>SUMPRODUCT(Tabla5234[[#This Row],[Naranjas]:[Cerezas]],O$32:Z$32)</f>
        <v>252000</v>
      </c>
      <c r="O20" s="52">
        <v>0</v>
      </c>
      <c r="P20" s="52">
        <v>0</v>
      </c>
      <c r="Q20" s="52">
        <v>2</v>
      </c>
      <c r="R20" s="52">
        <v>0</v>
      </c>
      <c r="S20" s="52">
        <v>53</v>
      </c>
      <c r="T20" s="52">
        <v>1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0</v>
      </c>
      <c r="AA20" s="52">
        <f>SUM(Tabla5234[[#This Row],[Naranjas]:[Cerezas]])</f>
        <v>56</v>
      </c>
      <c r="AB20" s="58"/>
    </row>
    <row r="21" spans="1:28" outlineLevel="1" x14ac:dyDescent="0.25">
      <c r="A21" s="188"/>
      <c r="B21" s="56" t="s">
        <v>76</v>
      </c>
      <c r="C21" s="47" t="s">
        <v>77</v>
      </c>
      <c r="D21" s="47" t="s">
        <v>78</v>
      </c>
      <c r="E21" s="47" t="s">
        <v>40</v>
      </c>
      <c r="F21" s="47" t="s">
        <v>58</v>
      </c>
      <c r="G21" s="47" t="s">
        <v>60</v>
      </c>
      <c r="H21" s="47" t="s">
        <v>41</v>
      </c>
      <c r="I21" s="53">
        <v>56952304675</v>
      </c>
      <c r="J21" s="27" t="s">
        <v>79</v>
      </c>
      <c r="K21" s="27" t="s">
        <v>52</v>
      </c>
      <c r="L21" s="52" t="s">
        <v>142</v>
      </c>
      <c r="M21" s="52" t="s">
        <v>142</v>
      </c>
      <c r="N21" s="47">
        <f>SUMPRODUCT(Tabla5234[[#This Row],[Naranjas]:[Cerezas]],O$32:Z$32)</f>
        <v>208500</v>
      </c>
      <c r="O21" s="52">
        <v>0</v>
      </c>
      <c r="P21" s="52">
        <v>0</v>
      </c>
      <c r="Q21" s="52">
        <v>18</v>
      </c>
      <c r="R21" s="52">
        <v>3</v>
      </c>
      <c r="S21" s="52">
        <v>8</v>
      </c>
      <c r="T21" s="52">
        <v>2</v>
      </c>
      <c r="U21" s="52">
        <v>1</v>
      </c>
      <c r="V21" s="52">
        <v>0</v>
      </c>
      <c r="W21" s="52">
        <v>2</v>
      </c>
      <c r="X21" s="52">
        <v>0</v>
      </c>
      <c r="Y21" s="52">
        <v>5</v>
      </c>
      <c r="Z21" s="52">
        <v>0</v>
      </c>
      <c r="AA21" s="52">
        <f>SUM(Tabla5234[[#This Row],[Naranjas]:[Cerezas]])</f>
        <v>39</v>
      </c>
      <c r="AB21" s="58"/>
    </row>
    <row r="22" spans="1:28" outlineLevel="1" x14ac:dyDescent="0.25">
      <c r="A22" s="188"/>
      <c r="B22" s="56" t="s">
        <v>112</v>
      </c>
      <c r="C22" s="47" t="s">
        <v>61</v>
      </c>
      <c r="D22" s="47" t="s">
        <v>113</v>
      </c>
      <c r="E22" s="47" t="s">
        <v>46</v>
      </c>
      <c r="F22" s="47" t="s">
        <v>51</v>
      </c>
      <c r="G22" s="47" t="s">
        <v>110</v>
      </c>
      <c r="H22" s="47" t="s">
        <v>41</v>
      </c>
      <c r="I22" s="53">
        <v>56982978895</v>
      </c>
      <c r="J22" s="27" t="s">
        <v>114</v>
      </c>
      <c r="K22" s="27" t="s">
        <v>52</v>
      </c>
      <c r="L22" s="52" t="s">
        <v>142</v>
      </c>
      <c r="M22" s="52" t="s">
        <v>142</v>
      </c>
      <c r="N22" s="47">
        <f>SUMPRODUCT(Tabla5234[[#This Row],[Naranjas]:[Cerezas]],O$32:Z$32)</f>
        <v>55500</v>
      </c>
      <c r="O22" s="52">
        <v>0</v>
      </c>
      <c r="P22" s="52">
        <v>0</v>
      </c>
      <c r="Q22" s="52">
        <v>2</v>
      </c>
      <c r="R22" s="52">
        <v>2</v>
      </c>
      <c r="S22" s="52">
        <v>2</v>
      </c>
      <c r="T22" s="52">
        <v>5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f>SUM(Tabla5234[[#This Row],[Naranjas]:[Cerezas]])</f>
        <v>11</v>
      </c>
      <c r="AB22" s="58"/>
    </row>
    <row r="23" spans="1:28" outlineLevel="1" x14ac:dyDescent="0.2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.75" thickBot="1" x14ac:dyDescent="0.3"/>
    <row r="25" spans="1:28" ht="14.65" customHeight="1" thickBot="1" x14ac:dyDescent="0.3">
      <c r="A25" s="141" t="s">
        <v>20</v>
      </c>
      <c r="B25" s="156" t="s">
        <v>7</v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8"/>
      <c r="N25" s="100" t="s">
        <v>9</v>
      </c>
      <c r="O25" s="8">
        <f>SUM(Tabla5234[Naranjas])</f>
        <v>0</v>
      </c>
      <c r="P25" s="49">
        <f>SUM(Tabla5234[Mandarinas])</f>
        <v>0</v>
      </c>
      <c r="Q25" s="49">
        <f>SUM(Tabla5234[Paltas])</f>
        <v>113</v>
      </c>
      <c r="R25" s="49">
        <f>SUM(Tabla5234[Quesos])</f>
        <v>22</v>
      </c>
      <c r="S25" s="49">
        <f>SUM(Tabla5234[Frutillas])</f>
        <v>143</v>
      </c>
      <c r="T25" s="49">
        <f>SUM(Tabla5234[Tomate Cherry])</f>
        <v>29</v>
      </c>
      <c r="U25" s="49">
        <f>SUM(Tabla5234[Nueces])</f>
        <v>6</v>
      </c>
      <c r="V25" s="49">
        <f>SUM(Tabla5234[Mani])</f>
        <v>3</v>
      </c>
      <c r="W25" s="49">
        <f>SUM(Tabla5234[Pistachos])</f>
        <v>8</v>
      </c>
      <c r="X25" s="49">
        <f>SUM(Tabla5234[Caju])</f>
        <v>3</v>
      </c>
      <c r="Y25" s="49">
        <f>SUM(Tabla5234[Almendras])</f>
        <v>16</v>
      </c>
      <c r="Z25" s="4">
        <f>SUM(Tabla5234[Cerezas])</f>
        <v>0</v>
      </c>
    </row>
    <row r="26" spans="1:28" ht="14.65" customHeight="1" thickBot="1" x14ac:dyDescent="0.3">
      <c r="A26" s="142"/>
      <c r="B26" s="159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1"/>
      <c r="N26" s="100" t="s">
        <v>28</v>
      </c>
      <c r="O26" s="9">
        <v>5</v>
      </c>
      <c r="P26" s="52">
        <v>4</v>
      </c>
      <c r="Q26" s="52">
        <v>2</v>
      </c>
      <c r="R26" s="37">
        <v>1</v>
      </c>
      <c r="S26" s="37">
        <v>2</v>
      </c>
      <c r="T26" s="52">
        <v>1</v>
      </c>
      <c r="U26" s="83">
        <v>0.5</v>
      </c>
      <c r="V26" s="83">
        <v>1</v>
      </c>
      <c r="W26" s="83">
        <v>0.5</v>
      </c>
      <c r="X26" s="83">
        <v>0.4</v>
      </c>
      <c r="Y26" s="83">
        <v>0.5</v>
      </c>
      <c r="Z26" s="38">
        <v>5</v>
      </c>
    </row>
    <row r="27" spans="1:28" ht="14.65" customHeight="1" thickBot="1" x14ac:dyDescent="0.3">
      <c r="A27" s="142"/>
      <c r="B27" s="159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1"/>
      <c r="N27" s="100" t="s">
        <v>8</v>
      </c>
      <c r="O27" s="9">
        <f>O26*O25</f>
        <v>0</v>
      </c>
      <c r="P27" s="52">
        <f t="shared" ref="P27:U27" si="0">P26*P25</f>
        <v>0</v>
      </c>
      <c r="Q27" s="52">
        <f t="shared" si="0"/>
        <v>226</v>
      </c>
      <c r="R27" s="52">
        <f t="shared" si="0"/>
        <v>22</v>
      </c>
      <c r="S27" s="52">
        <f>S26*S25</f>
        <v>286</v>
      </c>
      <c r="T27" s="52">
        <f t="shared" si="0"/>
        <v>29</v>
      </c>
      <c r="U27" s="52">
        <f t="shared" si="0"/>
        <v>3</v>
      </c>
      <c r="V27" s="52">
        <f>V26*V25</f>
        <v>3</v>
      </c>
      <c r="W27" s="52">
        <f>W26*W25</f>
        <v>4</v>
      </c>
      <c r="X27" s="52">
        <f>X26*X25</f>
        <v>1.2000000000000002</v>
      </c>
      <c r="Y27" s="52">
        <f>Y26*Y25</f>
        <v>8</v>
      </c>
      <c r="Z27" s="11">
        <f>Z26*Z25</f>
        <v>0</v>
      </c>
    </row>
    <row r="28" spans="1:28" ht="15.75" thickBot="1" x14ac:dyDescent="0.3">
      <c r="A28" s="142"/>
      <c r="B28" s="162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4"/>
      <c r="N28" s="10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.75" thickBot="1" x14ac:dyDescent="0.3">
      <c r="A29" s="142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.75" thickBot="1" x14ac:dyDescent="0.3">
      <c r="A30" s="142"/>
      <c r="B30" s="156" t="s">
        <v>12</v>
      </c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8"/>
      <c r="N30" s="100" t="s">
        <v>13</v>
      </c>
      <c r="O30" s="54">
        <f>O31*O26</f>
        <v>2750</v>
      </c>
      <c r="P30" s="51">
        <f t="shared" ref="P30:U30" si="1">P31*P26</f>
        <v>2200</v>
      </c>
      <c r="Q30" s="51">
        <f t="shared" si="1"/>
        <v>3100</v>
      </c>
      <c r="R30" s="51">
        <f t="shared" si="1"/>
        <v>6716</v>
      </c>
      <c r="S30" s="51">
        <f>S31*S26</f>
        <v>2600</v>
      </c>
      <c r="T30" s="51">
        <f t="shared" si="1"/>
        <v>2300</v>
      </c>
      <c r="U30" s="51">
        <f t="shared" si="1"/>
        <v>3750</v>
      </c>
      <c r="V30" s="51">
        <f>V31*V26</f>
        <v>3500</v>
      </c>
      <c r="W30" s="51">
        <f>W31*W26</f>
        <v>7050</v>
      </c>
      <c r="X30" s="51">
        <f>X31*X26</f>
        <v>5320</v>
      </c>
      <c r="Y30" s="51">
        <f>Y31*Y26</f>
        <v>5350</v>
      </c>
      <c r="Z30" s="15">
        <f>Z31*Z26</f>
        <v>6000</v>
      </c>
    </row>
    <row r="31" spans="1:28" ht="15.75" thickBot="1" x14ac:dyDescent="0.3">
      <c r="A31" s="142"/>
      <c r="B31" s="159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1"/>
      <c r="N31" s="100" t="s">
        <v>8</v>
      </c>
      <c r="O31" s="87">
        <v>550</v>
      </c>
      <c r="P31" s="86">
        <v>550</v>
      </c>
      <c r="Q31" s="86">
        <v>1550</v>
      </c>
      <c r="R31" s="86">
        <v>6716</v>
      </c>
      <c r="S31" s="86">
        <v>1300</v>
      </c>
      <c r="T31" s="86">
        <v>2300</v>
      </c>
      <c r="U31" s="86">
        <v>7500</v>
      </c>
      <c r="V31" s="86">
        <v>3500</v>
      </c>
      <c r="W31" s="86">
        <v>14100</v>
      </c>
      <c r="X31" s="86">
        <v>13300</v>
      </c>
      <c r="Y31" s="86">
        <v>10700</v>
      </c>
      <c r="Z31" s="90">
        <f>6000/5</f>
        <v>1200</v>
      </c>
    </row>
    <row r="32" spans="1:28" ht="15.75" thickBot="1" x14ac:dyDescent="0.3">
      <c r="A32" s="142"/>
      <c r="B32" s="162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4"/>
      <c r="N32" s="100" t="s">
        <v>14</v>
      </c>
      <c r="O32" s="88">
        <v>3500</v>
      </c>
      <c r="P32" s="89">
        <v>4500</v>
      </c>
      <c r="Q32" s="89">
        <v>4500</v>
      </c>
      <c r="R32" s="89">
        <v>7500</v>
      </c>
      <c r="S32" s="89">
        <v>4500</v>
      </c>
      <c r="T32" s="89">
        <v>4500</v>
      </c>
      <c r="U32" s="89">
        <v>5500</v>
      </c>
      <c r="V32" s="89">
        <v>4500</v>
      </c>
      <c r="W32" s="89">
        <v>8500</v>
      </c>
      <c r="X32" s="89">
        <v>7500</v>
      </c>
      <c r="Y32" s="89">
        <v>7500</v>
      </c>
      <c r="Z32" s="91">
        <v>9500</v>
      </c>
    </row>
    <row r="33" spans="1:26" ht="15.75" thickBot="1" x14ac:dyDescent="0.3">
      <c r="A33" s="142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3">
      <c r="A34" s="142"/>
      <c r="B34" s="156" t="s">
        <v>15</v>
      </c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8"/>
      <c r="N34" s="100" t="s">
        <v>19</v>
      </c>
      <c r="O34" s="104">
        <f>O25*O30</f>
        <v>0</v>
      </c>
      <c r="P34" s="105">
        <f t="shared" ref="P34:U34" si="2">P25*P30</f>
        <v>0</v>
      </c>
      <c r="Q34" s="105">
        <f t="shared" si="2"/>
        <v>350300</v>
      </c>
      <c r="R34" s="106">
        <f t="shared" si="2"/>
        <v>147752</v>
      </c>
      <c r="S34" s="106">
        <f t="shared" si="2"/>
        <v>371800</v>
      </c>
      <c r="T34" s="105">
        <f>T25*T30</f>
        <v>66700</v>
      </c>
      <c r="U34" s="105">
        <f t="shared" si="2"/>
        <v>22500</v>
      </c>
      <c r="V34" s="105">
        <f>V25*V30</f>
        <v>10500</v>
      </c>
      <c r="W34" s="105">
        <f>W25*W30</f>
        <v>56400</v>
      </c>
      <c r="X34" s="105">
        <f>X25*X30</f>
        <v>15960</v>
      </c>
      <c r="Y34" s="105">
        <f>Y25*Y30</f>
        <v>85600</v>
      </c>
      <c r="Z34" s="107">
        <f>Z25*Z30</f>
        <v>0</v>
      </c>
    </row>
    <row r="35" spans="1:26" ht="15.75" thickBot="1" x14ac:dyDescent="0.3">
      <c r="A35" s="142"/>
      <c r="B35" s="162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4"/>
      <c r="N35" s="100" t="s">
        <v>16</v>
      </c>
      <c r="O35" s="133">
        <f>SUM(O34:Z34)</f>
        <v>1127512</v>
      </c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5"/>
    </row>
    <row r="36" spans="1:26" ht="15.75" thickBot="1" x14ac:dyDescent="0.3">
      <c r="A36" s="142"/>
      <c r="B36" s="156" t="s">
        <v>17</v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8"/>
      <c r="N36" s="100" t="s">
        <v>19</v>
      </c>
      <c r="O36" s="50">
        <f t="shared" ref="O36:Z36" si="3">O32*O25</f>
        <v>0</v>
      </c>
      <c r="P36" s="48">
        <f t="shared" si="3"/>
        <v>0</v>
      </c>
      <c r="Q36" s="48">
        <f t="shared" si="3"/>
        <v>508500</v>
      </c>
      <c r="R36" s="48">
        <f t="shared" si="3"/>
        <v>165000</v>
      </c>
      <c r="S36" s="48">
        <f t="shared" si="3"/>
        <v>643500</v>
      </c>
      <c r="T36" s="48">
        <f t="shared" si="3"/>
        <v>130500</v>
      </c>
      <c r="U36" s="48">
        <f t="shared" si="3"/>
        <v>33000</v>
      </c>
      <c r="V36" s="48">
        <f t="shared" si="3"/>
        <v>13500</v>
      </c>
      <c r="W36" s="48">
        <f t="shared" si="3"/>
        <v>68000</v>
      </c>
      <c r="X36" s="48">
        <f t="shared" si="3"/>
        <v>22500</v>
      </c>
      <c r="Y36" s="48">
        <f t="shared" si="3"/>
        <v>120000</v>
      </c>
      <c r="Z36" s="108">
        <f t="shared" si="3"/>
        <v>0</v>
      </c>
    </row>
    <row r="37" spans="1:26" ht="15.75" thickBot="1" x14ac:dyDescent="0.3">
      <c r="A37" s="142"/>
      <c r="B37" s="162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4"/>
      <c r="N37" s="100" t="s">
        <v>16</v>
      </c>
      <c r="O37" s="133">
        <f>SUM(O36:Z36)</f>
        <v>1704500</v>
      </c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5"/>
    </row>
    <row r="38" spans="1:26" ht="14.65" customHeight="1" thickBot="1" x14ac:dyDescent="0.3">
      <c r="A38" s="142"/>
      <c r="B38" s="156" t="s">
        <v>18</v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8"/>
      <c r="N38" s="100" t="s">
        <v>19</v>
      </c>
      <c r="O38" s="50">
        <f>O36-O34</f>
        <v>0</v>
      </c>
      <c r="P38" s="48">
        <f t="shared" ref="P38:Z38" si="4">P36-P34</f>
        <v>0</v>
      </c>
      <c r="Q38" s="48">
        <f t="shared" si="4"/>
        <v>158200</v>
      </c>
      <c r="R38" s="48">
        <f t="shared" si="4"/>
        <v>17248</v>
      </c>
      <c r="S38" s="48">
        <f t="shared" si="4"/>
        <v>271700</v>
      </c>
      <c r="T38" s="48">
        <f t="shared" si="4"/>
        <v>63800</v>
      </c>
      <c r="U38" s="48">
        <f t="shared" si="4"/>
        <v>10500</v>
      </c>
      <c r="V38" s="48">
        <f t="shared" si="4"/>
        <v>3000</v>
      </c>
      <c r="W38" s="48">
        <f t="shared" si="4"/>
        <v>11600</v>
      </c>
      <c r="X38" s="48">
        <f t="shared" si="4"/>
        <v>6540</v>
      </c>
      <c r="Y38" s="48">
        <f t="shared" si="4"/>
        <v>34400</v>
      </c>
      <c r="Z38" s="108">
        <f t="shared" si="4"/>
        <v>0</v>
      </c>
    </row>
    <row r="39" spans="1:26" ht="29.65" customHeight="1" thickBot="1" x14ac:dyDescent="0.3">
      <c r="A39" s="142"/>
      <c r="B39" s="162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4"/>
      <c r="N39" s="100" t="s">
        <v>29</v>
      </c>
      <c r="O39" s="130">
        <f>O37-O35</f>
        <v>576988</v>
      </c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2"/>
    </row>
    <row r="40" spans="1:26" ht="15.75" thickBot="1" x14ac:dyDescent="0.3">
      <c r="A40" s="142"/>
    </row>
    <row r="41" spans="1:26" ht="14.65" customHeight="1" thickBot="1" x14ac:dyDescent="0.3">
      <c r="A41" s="142"/>
      <c r="B41" s="168" t="s">
        <v>25</v>
      </c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70"/>
      <c r="O41" s="150" t="s">
        <v>26</v>
      </c>
      <c r="P41" s="151"/>
      <c r="Q41" s="152"/>
      <c r="R41" s="29" t="s">
        <v>27</v>
      </c>
      <c r="S41" s="61"/>
      <c r="T41" s="5"/>
      <c r="U41" s="5"/>
      <c r="V41" s="5"/>
      <c r="W41" s="5"/>
      <c r="X41" s="5"/>
      <c r="Y41" s="5"/>
      <c r="Z41" s="5"/>
    </row>
    <row r="42" spans="1:26" ht="15" customHeight="1" x14ac:dyDescent="0.25">
      <c r="A42" s="142"/>
      <c r="B42" s="171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3"/>
      <c r="O42" s="177" t="s">
        <v>175</v>
      </c>
      <c r="P42" s="178"/>
      <c r="Q42" s="179"/>
      <c r="R42" s="33">
        <v>50000</v>
      </c>
      <c r="S42" s="62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42"/>
      <c r="B43" s="171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3"/>
      <c r="O43" s="165" t="s">
        <v>63</v>
      </c>
      <c r="P43" s="166"/>
      <c r="Q43" s="167"/>
      <c r="R43" s="34">
        <v>50000</v>
      </c>
      <c r="S43" s="62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42"/>
      <c r="B44" s="171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3"/>
      <c r="O44" s="165" t="s">
        <v>145</v>
      </c>
      <c r="P44" s="166"/>
      <c r="Q44" s="167"/>
      <c r="R44" s="34">
        <v>50000</v>
      </c>
      <c r="S44" s="62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42"/>
      <c r="B45" s="171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3"/>
      <c r="O45" s="165" t="s">
        <v>144</v>
      </c>
      <c r="P45" s="166"/>
      <c r="Q45" s="167"/>
      <c r="R45" s="34">
        <v>50000</v>
      </c>
      <c r="S45" s="62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42"/>
      <c r="B46" s="171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3"/>
      <c r="O46" s="165" t="s">
        <v>176</v>
      </c>
      <c r="P46" s="166"/>
      <c r="Q46" s="167"/>
      <c r="R46" s="34">
        <v>20000</v>
      </c>
      <c r="S46" s="62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42"/>
      <c r="B47" s="171"/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3"/>
      <c r="O47" s="165"/>
      <c r="P47" s="166"/>
      <c r="Q47" s="167"/>
      <c r="R47" s="34"/>
      <c r="S47" s="62"/>
      <c r="T47" s="6"/>
      <c r="U47" s="6"/>
      <c r="V47" s="6"/>
      <c r="W47" s="6"/>
      <c r="X47" s="6"/>
      <c r="Y47" s="6"/>
      <c r="Z47" s="6"/>
    </row>
    <row r="48" spans="1:26" ht="15" customHeight="1" thickBot="1" x14ac:dyDescent="0.3">
      <c r="A48" s="142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3"/>
      <c r="O48" s="144"/>
      <c r="P48" s="145"/>
      <c r="Q48" s="146"/>
      <c r="R48" s="34"/>
      <c r="S48" s="62"/>
      <c r="T48" s="6"/>
      <c r="U48" s="6"/>
      <c r="V48" s="6"/>
      <c r="W48" s="6"/>
      <c r="X48" s="6"/>
      <c r="Y48" s="6"/>
      <c r="Z48" s="6"/>
    </row>
    <row r="49" spans="1:26" ht="15.75" customHeight="1" thickBot="1" x14ac:dyDescent="0.3">
      <c r="A49" s="142"/>
      <c r="B49" s="174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6"/>
      <c r="O49" s="147" t="s">
        <v>16</v>
      </c>
      <c r="P49" s="148"/>
      <c r="Q49" s="149"/>
      <c r="R49" s="35">
        <f>SUM(R42:R48)</f>
        <v>220000</v>
      </c>
      <c r="S49" s="63"/>
      <c r="T49" s="6"/>
      <c r="U49" s="6"/>
      <c r="V49" s="6"/>
      <c r="W49" s="6"/>
      <c r="X49" s="6"/>
      <c r="Y49" s="6"/>
      <c r="Z49" s="6"/>
    </row>
    <row r="50" spans="1:26" ht="15.75" thickBot="1" x14ac:dyDescent="0.3">
      <c r="A50" s="142"/>
    </row>
    <row r="51" spans="1:26" ht="51.75" customHeight="1" thickBot="1" x14ac:dyDescent="0.3">
      <c r="A51" s="143"/>
      <c r="B51" s="150" t="s">
        <v>18</v>
      </c>
      <c r="C51" s="151"/>
      <c r="D51" s="151"/>
      <c r="E51" s="151"/>
      <c r="F51" s="151"/>
      <c r="G51" s="151"/>
      <c r="H51" s="151"/>
      <c r="I51" s="151"/>
      <c r="J51" s="151"/>
      <c r="K51" s="151"/>
      <c r="L51" s="152"/>
      <c r="M51" s="100"/>
      <c r="N51" s="99" t="s">
        <v>16</v>
      </c>
      <c r="O51" s="153">
        <f>O39-SUM(R42:R48)</f>
        <v>356988</v>
      </c>
      <c r="P51" s="154"/>
      <c r="Q51" s="154"/>
      <c r="R51" s="154"/>
      <c r="S51" s="154"/>
      <c r="T51" s="154"/>
      <c r="U51" s="155"/>
      <c r="V51" s="72"/>
      <c r="W51" s="72"/>
      <c r="X51" s="72"/>
      <c r="Y51" s="72"/>
      <c r="Z51" s="72"/>
    </row>
    <row r="52" spans="1:26" ht="15.75" customHeight="1" x14ac:dyDescent="0.25">
      <c r="A52" s="30"/>
      <c r="P52" s="28"/>
      <c r="Q52" s="28"/>
      <c r="R52" s="28"/>
      <c r="S52" s="28"/>
      <c r="U52" s="102"/>
      <c r="V52" s="102"/>
      <c r="W52" s="102"/>
      <c r="X52" s="102"/>
      <c r="Y52" s="102"/>
      <c r="Z52" s="102"/>
    </row>
    <row r="53" spans="1:26" ht="15" customHeight="1" x14ac:dyDescent="0.25">
      <c r="A53" s="30"/>
      <c r="P53" s="28"/>
      <c r="Q53" s="28"/>
      <c r="R53" s="28"/>
      <c r="S53" s="28"/>
      <c r="U53" s="7"/>
      <c r="V53" s="7"/>
      <c r="W53" s="7"/>
      <c r="X53" s="7"/>
      <c r="Y53" s="7"/>
      <c r="Z53" s="7"/>
    </row>
    <row r="54" spans="1:26" ht="15" customHeight="1" x14ac:dyDescent="0.25">
      <c r="P54" s="28"/>
      <c r="Q54" s="28"/>
      <c r="R54" s="28"/>
      <c r="S54" s="28"/>
      <c r="U54" s="7"/>
      <c r="V54" s="7"/>
      <c r="W54" s="7"/>
      <c r="X54" s="7"/>
      <c r="Y54" s="7"/>
      <c r="Z54" s="7"/>
    </row>
    <row r="55" spans="1:26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  <c r="Z55" s="7"/>
    </row>
    <row r="56" spans="1:26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  <c r="Z56" s="7"/>
    </row>
    <row r="57" spans="1:26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.7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</sheetData>
  <mergeCells count="24"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O48:Q48"/>
    <mergeCell ref="O49:Q49"/>
    <mergeCell ref="B51:L51"/>
    <mergeCell ref="O51:U51"/>
    <mergeCell ref="A5:A22"/>
    <mergeCell ref="B38:M39"/>
    <mergeCell ref="O39:Z39"/>
    <mergeCell ref="B41:N49"/>
    <mergeCell ref="O41:Q41"/>
    <mergeCell ref="O42:Q42"/>
    <mergeCell ref="O43:Q43"/>
    <mergeCell ref="O44:Q44"/>
    <mergeCell ref="O45:Q45"/>
    <mergeCell ref="O46:Q46"/>
    <mergeCell ref="O47:Q47"/>
  </mergeCells>
  <conditionalFormatting sqref="AA5:AA22">
    <cfRule type="cellIs" dxfId="178" priority="1" operator="lessThan">
      <formula>20</formula>
    </cfRule>
    <cfRule type="cellIs" dxfId="177" priority="2" operator="between">
      <formula>20</formula>
      <formula>29</formula>
    </cfRule>
    <cfRule type="cellIs" dxfId="176" priority="3" operator="greaterThan">
      <formula>29</formula>
    </cfRule>
  </conditionalFormatting>
  <hyperlinks>
    <hyperlink ref="J15" r:id="rId1" xr:uid="{CC118354-AA41-4A98-9F81-0A08C5F258A4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2819-1727-4E40-A011-3080A8DCE749}">
  <sheetPr codeName="Hoja4">
    <pageSetUpPr autoPageBreaks="0"/>
  </sheetPr>
  <dimension ref="A1:AB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3" width="10.7109375" customWidth="1"/>
    <col min="14" max="14" width="11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80" t="s">
        <v>38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2"/>
      <c r="O2" s="183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7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7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SUMPRODUCT(Tabla5235[[#This Row],[Naranjas]:[Cerezas]],O$38:Z$38)</f>
        <v>39500</v>
      </c>
      <c r="O5" s="49">
        <v>0</v>
      </c>
      <c r="P5" s="49">
        <v>0</v>
      </c>
      <c r="Q5" s="49">
        <v>3</v>
      </c>
      <c r="R5" s="49">
        <v>1</v>
      </c>
      <c r="S5" s="49">
        <v>0</v>
      </c>
      <c r="T5" s="49">
        <v>1</v>
      </c>
      <c r="U5" s="49">
        <v>0</v>
      </c>
      <c r="V5" s="49">
        <v>1</v>
      </c>
      <c r="W5" s="49">
        <v>0</v>
      </c>
      <c r="X5" s="49">
        <v>0</v>
      </c>
      <c r="Y5" s="49">
        <v>0</v>
      </c>
      <c r="Z5" s="49">
        <f>1</f>
        <v>1</v>
      </c>
      <c r="AA5" s="49">
        <f>SUM(Tabla5235[[#This Row],[Naranjas]:[Cerezas]])</f>
        <v>7</v>
      </c>
      <c r="AB5" s="57"/>
    </row>
    <row r="6" spans="1:28" outlineLevel="1" x14ac:dyDescent="0.25">
      <c r="A6" s="188"/>
      <c r="B6" s="50" t="s">
        <v>124</v>
      </c>
      <c r="C6" s="48" t="s">
        <v>125</v>
      </c>
      <c r="D6" s="59" t="s">
        <v>126</v>
      </c>
      <c r="E6" s="59" t="s">
        <v>40</v>
      </c>
      <c r="F6" s="59" t="s">
        <v>58</v>
      </c>
      <c r="G6" s="59" t="s">
        <v>93</v>
      </c>
      <c r="H6" s="59" t="s">
        <v>41</v>
      </c>
      <c r="I6" s="60">
        <v>56974397201</v>
      </c>
      <c r="J6" s="27" t="s">
        <v>127</v>
      </c>
      <c r="K6" s="27" t="s">
        <v>64</v>
      </c>
      <c r="L6" s="52" t="s">
        <v>142</v>
      </c>
      <c r="M6" s="52" t="s">
        <v>143</v>
      </c>
      <c r="N6" s="47">
        <f>SUMPRODUCT(Tabla5235[[#This Row],[Naranjas]:[Cerezas]],O$38:Z$38)</f>
        <v>157500</v>
      </c>
      <c r="O6" s="52">
        <v>0</v>
      </c>
      <c r="P6" s="52">
        <v>0</v>
      </c>
      <c r="Q6" s="52">
        <v>11</v>
      </c>
      <c r="R6" s="52">
        <v>1</v>
      </c>
      <c r="S6" s="52">
        <v>10</v>
      </c>
      <c r="T6" s="52">
        <v>3</v>
      </c>
      <c r="U6" s="52">
        <v>1</v>
      </c>
      <c r="V6" s="52">
        <v>1</v>
      </c>
      <c r="W6" s="52">
        <v>2</v>
      </c>
      <c r="X6" s="52">
        <v>2</v>
      </c>
      <c r="Y6" s="52">
        <v>0</v>
      </c>
      <c r="Z6" s="52">
        <v>0</v>
      </c>
      <c r="AA6" s="52">
        <f>SUM(Tabla5235[[#This Row],[Naranjas]:[Cerezas]])</f>
        <v>31</v>
      </c>
      <c r="AB6" s="58"/>
    </row>
    <row r="7" spans="1:28" outlineLevel="1" x14ac:dyDescent="0.25">
      <c r="A7" s="188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SUMPRODUCT(Tabla5235[[#This Row],[Naranjas]:[Cerezas]],O$38:Z$38)</f>
        <v>9000</v>
      </c>
      <c r="O7" s="52">
        <v>0</v>
      </c>
      <c r="P7" s="52">
        <v>0</v>
      </c>
      <c r="Q7" s="52">
        <v>1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SUM(Tabla5235[[#This Row],[Naranjas]:[Cerezas]])</f>
        <v>2</v>
      </c>
      <c r="AB7" s="58"/>
    </row>
    <row r="8" spans="1:28" outlineLevel="1" x14ac:dyDescent="0.25">
      <c r="A8" s="188"/>
      <c r="B8" s="56" t="s">
        <v>63</v>
      </c>
      <c r="C8" s="47" t="s">
        <v>90</v>
      </c>
      <c r="D8" s="47" t="s">
        <v>91</v>
      </c>
      <c r="E8" s="47" t="s">
        <v>40</v>
      </c>
      <c r="F8" s="47" t="s">
        <v>92</v>
      </c>
      <c r="G8" s="47" t="s">
        <v>93</v>
      </c>
      <c r="H8" s="47" t="s">
        <v>41</v>
      </c>
      <c r="I8" s="53">
        <v>56966477967</v>
      </c>
      <c r="J8" s="27" t="s">
        <v>94</v>
      </c>
      <c r="K8" s="27" t="s">
        <v>64</v>
      </c>
      <c r="L8" s="52" t="s">
        <v>142</v>
      </c>
      <c r="M8" s="52" t="s">
        <v>143</v>
      </c>
      <c r="N8" s="47">
        <f>SUMPRODUCT(Tabla5235[[#This Row],[Naranjas]:[Cerezas]],O$38:Z$38)</f>
        <v>81500</v>
      </c>
      <c r="O8" s="52">
        <v>0</v>
      </c>
      <c r="P8" s="52">
        <v>0</v>
      </c>
      <c r="Q8" s="52">
        <v>6</v>
      </c>
      <c r="R8" s="52">
        <v>1</v>
      </c>
      <c r="S8" s="52">
        <v>0</v>
      </c>
      <c r="T8" s="52">
        <v>2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4</v>
      </c>
      <c r="AA8" s="52">
        <f>SUM(Tabla5235[[#This Row],[Naranjas]:[Cerezas]])</f>
        <v>13</v>
      </c>
      <c r="AB8" s="58"/>
    </row>
    <row r="9" spans="1:28" outlineLevel="1" x14ac:dyDescent="0.25">
      <c r="A9" s="188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185</v>
      </c>
      <c r="M9" s="52" t="s">
        <v>143</v>
      </c>
      <c r="N9" s="47">
        <f>SUMPRODUCT(Tabla5235[[#This Row],[Naranjas]:[Cerezas]],O$38:Z$38)</f>
        <v>212000</v>
      </c>
      <c r="O9" s="52">
        <v>0</v>
      </c>
      <c r="P9" s="52">
        <v>0</v>
      </c>
      <c r="Q9" s="52">
        <v>5</v>
      </c>
      <c r="R9" s="52">
        <v>0</v>
      </c>
      <c r="S9" s="52">
        <v>2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30-10-8+7</f>
        <v>19</v>
      </c>
      <c r="AA9" s="52">
        <f>SUM(Tabla5235[[#This Row],[Naranjas]:[Cerezas]])</f>
        <v>26</v>
      </c>
      <c r="AB9" s="58"/>
    </row>
    <row r="10" spans="1:28" outlineLevel="1" x14ac:dyDescent="0.25">
      <c r="A10" s="188"/>
      <c r="B10" s="50" t="s">
        <v>180</v>
      </c>
      <c r="C10" s="48" t="s">
        <v>181</v>
      </c>
      <c r="D10" s="59" t="s">
        <v>182</v>
      </c>
      <c r="E10" s="59" t="s">
        <v>40</v>
      </c>
      <c r="F10" s="59" t="s">
        <v>92</v>
      </c>
      <c r="G10" s="59" t="s">
        <v>118</v>
      </c>
      <c r="H10" s="59" t="s">
        <v>41</v>
      </c>
      <c r="I10" s="60">
        <v>56991592586</v>
      </c>
      <c r="J10" s="27" t="s">
        <v>183</v>
      </c>
      <c r="K10" s="27" t="s">
        <v>42</v>
      </c>
      <c r="L10" s="52" t="s">
        <v>142</v>
      </c>
      <c r="M10" s="52" t="s">
        <v>143</v>
      </c>
      <c r="N10" s="70">
        <f>SUMPRODUCT(Tabla5235[[#This Row],[Naranjas]:[Cerezas]],O$38:Z$38)</f>
        <v>47000</v>
      </c>
      <c r="O10" s="52">
        <v>0</v>
      </c>
      <c r="P10" s="52">
        <v>0</v>
      </c>
      <c r="Q10" s="52">
        <v>0</v>
      </c>
      <c r="R10" s="52">
        <v>0</v>
      </c>
      <c r="S10" s="52">
        <v>1</v>
      </c>
      <c r="T10" s="52">
        <v>1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2+2</f>
        <v>4</v>
      </c>
      <c r="AA10" s="52">
        <f>SUM(Tabla5235[[#This Row],[Naranjas]:[Cerezas]])</f>
        <v>6</v>
      </c>
      <c r="AB10" s="58"/>
    </row>
    <row r="11" spans="1:28" outlineLevel="1" x14ac:dyDescent="0.25">
      <c r="A11" s="188"/>
      <c r="B11" s="50" t="s">
        <v>190</v>
      </c>
      <c r="C11" s="48" t="s">
        <v>175</v>
      </c>
      <c r="D11" s="59" t="s">
        <v>191</v>
      </c>
      <c r="E11" s="59" t="s">
        <v>50</v>
      </c>
      <c r="F11" s="59" t="s">
        <v>56</v>
      </c>
      <c r="G11" s="59" t="s">
        <v>48</v>
      </c>
      <c r="H11" s="59" t="s">
        <v>188</v>
      </c>
      <c r="I11" s="60">
        <v>56996324787</v>
      </c>
      <c r="J11" s="27" t="s">
        <v>192</v>
      </c>
      <c r="K11" s="27" t="s">
        <v>42</v>
      </c>
      <c r="L11" s="52" t="s">
        <v>142</v>
      </c>
      <c r="M11" s="52" t="s">
        <v>143</v>
      </c>
      <c r="N11" s="70">
        <f>SUMPRODUCT(Tabla5235[[#This Row],[Naranjas]:[Cerezas]],O$38:Z$38)</f>
        <v>9500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1</v>
      </c>
      <c r="AA11" s="52">
        <f>SUM(Tabla5235[[#This Row],[Naranjas]:[Cerezas]])</f>
        <v>1</v>
      </c>
      <c r="AB11" s="58"/>
    </row>
    <row r="12" spans="1:28" outlineLevel="1" x14ac:dyDescent="0.25">
      <c r="A12" s="188"/>
      <c r="B12" s="56" t="s">
        <v>150</v>
      </c>
      <c r="C12" s="47" t="s">
        <v>151</v>
      </c>
      <c r="D12" s="47" t="s">
        <v>152</v>
      </c>
      <c r="E12" s="47" t="s">
        <v>40</v>
      </c>
      <c r="F12" s="47" t="s">
        <v>58</v>
      </c>
      <c r="G12" s="47" t="s">
        <v>148</v>
      </c>
      <c r="H12" s="47" t="s">
        <v>41</v>
      </c>
      <c r="I12" s="53">
        <v>56979891544</v>
      </c>
      <c r="J12" s="27" t="s">
        <v>153</v>
      </c>
      <c r="K12" s="27" t="s">
        <v>52</v>
      </c>
      <c r="L12" s="52" t="s">
        <v>142</v>
      </c>
      <c r="M12" s="52" t="s">
        <v>143</v>
      </c>
      <c r="N12" s="47">
        <f>SUMPRODUCT(Tabla5235[[#This Row],[Naranjas]:[Cerezas]],O$38:Z$38)</f>
        <v>35000</v>
      </c>
      <c r="O12" s="52">
        <v>0</v>
      </c>
      <c r="P12" s="52">
        <v>0</v>
      </c>
      <c r="Q12" s="52">
        <v>2</v>
      </c>
      <c r="R12" s="52">
        <v>0</v>
      </c>
      <c r="S12" s="52">
        <v>1</v>
      </c>
      <c r="T12" s="52">
        <v>1</v>
      </c>
      <c r="U12" s="52">
        <v>0</v>
      </c>
      <c r="V12" s="52">
        <v>0</v>
      </c>
      <c r="W12" s="52">
        <v>0</v>
      </c>
      <c r="X12" s="52">
        <v>1</v>
      </c>
      <c r="Y12" s="52">
        <v>0</v>
      </c>
      <c r="Z12" s="52">
        <f>1</f>
        <v>1</v>
      </c>
      <c r="AA12" s="52">
        <f>SUM(Tabla5235[[#This Row],[Naranjas]:[Cerezas]])</f>
        <v>6</v>
      </c>
      <c r="AB12" s="58"/>
    </row>
    <row r="13" spans="1:28" outlineLevel="1" x14ac:dyDescent="0.25">
      <c r="A13" s="188"/>
      <c r="B13" s="56" t="s">
        <v>162</v>
      </c>
      <c r="C13" s="47" t="s">
        <v>163</v>
      </c>
      <c r="D13" s="47" t="s">
        <v>164</v>
      </c>
      <c r="E13" s="47" t="s">
        <v>46</v>
      </c>
      <c r="F13" s="47" t="s">
        <v>51</v>
      </c>
      <c r="G13" s="47" t="s">
        <v>140</v>
      </c>
      <c r="H13" s="47" t="s">
        <v>41</v>
      </c>
      <c r="I13" s="53">
        <v>56956481962</v>
      </c>
      <c r="J13" s="27" t="s">
        <v>165</v>
      </c>
      <c r="K13" s="27" t="s">
        <v>52</v>
      </c>
      <c r="L13" s="52" t="s">
        <v>142</v>
      </c>
      <c r="M13" s="52" t="s">
        <v>143</v>
      </c>
      <c r="N13" s="47">
        <f>SUMPRODUCT(Tabla5235[[#This Row],[Naranjas]:[Cerezas]],O$38:Z$38)</f>
        <v>28500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f>3</f>
        <v>3</v>
      </c>
      <c r="AA13" s="52">
        <f>SUM(Tabla5235[[#This Row],[Naranjas]:[Cerezas]])</f>
        <v>3</v>
      </c>
      <c r="AB13" s="58"/>
    </row>
    <row r="14" spans="1:28" outlineLevel="1" x14ac:dyDescent="0.25">
      <c r="A14" s="188"/>
      <c r="B14" s="56" t="s">
        <v>76</v>
      </c>
      <c r="C14" s="47" t="s">
        <v>77</v>
      </c>
      <c r="D14" s="47" t="s">
        <v>78</v>
      </c>
      <c r="E14" s="47" t="s">
        <v>40</v>
      </c>
      <c r="F14" s="47" t="s">
        <v>58</v>
      </c>
      <c r="G14" s="47" t="s">
        <v>60</v>
      </c>
      <c r="H14" s="47" t="s">
        <v>41</v>
      </c>
      <c r="I14" s="53">
        <v>56952304675</v>
      </c>
      <c r="J14" s="27" t="s">
        <v>79</v>
      </c>
      <c r="K14" s="27" t="s">
        <v>52</v>
      </c>
      <c r="L14" s="52" t="s">
        <v>185</v>
      </c>
      <c r="M14" s="52" t="s">
        <v>143</v>
      </c>
      <c r="N14" s="47">
        <f>SUMPRODUCT(Tabla5235[[#This Row],[Naranjas]:[Cerezas]],O$38:Z$38)</f>
        <v>479500</v>
      </c>
      <c r="O14" s="52">
        <v>0</v>
      </c>
      <c r="P14" s="52">
        <v>0</v>
      </c>
      <c r="Q14" s="52">
        <v>6</v>
      </c>
      <c r="R14" s="52">
        <v>1</v>
      </c>
      <c r="S14" s="52">
        <v>10</v>
      </c>
      <c r="T14" s="52">
        <v>3</v>
      </c>
      <c r="U14" s="52">
        <v>0</v>
      </c>
      <c r="V14" s="52">
        <v>0</v>
      </c>
      <c r="W14" s="52">
        <v>1</v>
      </c>
      <c r="X14" s="52">
        <v>0</v>
      </c>
      <c r="Y14" s="52">
        <v>1</v>
      </c>
      <c r="Z14" s="52">
        <f>15+25-1</f>
        <v>39</v>
      </c>
      <c r="AA14" s="52">
        <f>SUM(Tabla5235[[#This Row],[Naranjas]:[Cerezas]])</f>
        <v>61</v>
      </c>
      <c r="AB14" s="58"/>
    </row>
    <row r="15" spans="1:28" outlineLevel="1" x14ac:dyDescent="0.25">
      <c r="A15" s="188"/>
      <c r="B15" s="56" t="s">
        <v>69</v>
      </c>
      <c r="C15" s="47" t="s">
        <v>61</v>
      </c>
      <c r="D15" s="47" t="s">
        <v>70</v>
      </c>
      <c r="E15" s="47" t="s">
        <v>40</v>
      </c>
      <c r="F15" s="47" t="s">
        <v>58</v>
      </c>
      <c r="G15" s="47" t="s">
        <v>48</v>
      </c>
      <c r="H15" s="47" t="s">
        <v>41</v>
      </c>
      <c r="I15" s="53">
        <v>56986194003</v>
      </c>
      <c r="J15" s="27" t="s">
        <v>71</v>
      </c>
      <c r="K15" s="27" t="s">
        <v>52</v>
      </c>
      <c r="L15" s="52" t="s">
        <v>142</v>
      </c>
      <c r="M15" s="52" t="s">
        <v>143</v>
      </c>
      <c r="N15" s="47">
        <f>SUMPRODUCT(Tabla5235[[#This Row],[Naranjas]:[Cerezas]],O$38:Z$38)</f>
        <v>89500</v>
      </c>
      <c r="O15" s="52">
        <v>0</v>
      </c>
      <c r="P15" s="52">
        <v>0</v>
      </c>
      <c r="Q15" s="52">
        <v>18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1</v>
      </c>
      <c r="X15" s="52">
        <v>0</v>
      </c>
      <c r="Y15" s="52">
        <v>0</v>
      </c>
      <c r="Z15" s="52">
        <v>0</v>
      </c>
      <c r="AA15" s="52">
        <f>SUM(Tabla5235[[#This Row],[Naranjas]:[Cerezas]])</f>
        <v>19</v>
      </c>
      <c r="AB15" s="58"/>
    </row>
    <row r="16" spans="1:28" outlineLevel="1" x14ac:dyDescent="0.25">
      <c r="A16" s="188"/>
      <c r="B16" s="50" t="s">
        <v>133</v>
      </c>
      <c r="C16" s="48" t="s">
        <v>134</v>
      </c>
      <c r="D16" s="59" t="s">
        <v>136</v>
      </c>
      <c r="E16" s="59" t="s">
        <v>50</v>
      </c>
      <c r="F16" s="59" t="s">
        <v>109</v>
      </c>
      <c r="G16" s="59" t="s">
        <v>48</v>
      </c>
      <c r="H16" s="59" t="s">
        <v>41</v>
      </c>
      <c r="I16" s="60">
        <v>56997792386</v>
      </c>
      <c r="J16" s="27" t="s">
        <v>135</v>
      </c>
      <c r="K16" s="27" t="s">
        <v>52</v>
      </c>
      <c r="L16" s="52" t="s">
        <v>142</v>
      </c>
      <c r="M16" s="52" t="s">
        <v>143</v>
      </c>
      <c r="N16" s="70">
        <f>SUMPRODUCT(Tabla5235[[#This Row],[Naranjas]:[Cerezas]],O$38:Z$38)</f>
        <v>62000</v>
      </c>
      <c r="O16" s="52">
        <v>0</v>
      </c>
      <c r="P16" s="52">
        <v>0</v>
      </c>
      <c r="Q16" s="52">
        <v>5</v>
      </c>
      <c r="R16" s="52">
        <v>0</v>
      </c>
      <c r="S16" s="52">
        <v>4</v>
      </c>
      <c r="T16" s="52">
        <v>1</v>
      </c>
      <c r="U16" s="52">
        <v>0</v>
      </c>
      <c r="V16" s="52">
        <v>0</v>
      </c>
      <c r="W16" s="52">
        <v>0</v>
      </c>
      <c r="X16" s="52">
        <v>0</v>
      </c>
      <c r="Y16" s="52">
        <v>1</v>
      </c>
      <c r="Z16" s="52">
        <f>7-6</f>
        <v>1</v>
      </c>
      <c r="AA16" s="52">
        <f>SUM(Tabla5235[[#This Row],[Naranjas]:[Cerezas]])</f>
        <v>12</v>
      </c>
      <c r="AB16" s="58"/>
    </row>
    <row r="17" spans="1:28" outlineLevel="1" x14ac:dyDescent="0.25">
      <c r="A17" s="188"/>
      <c r="B17" s="50" t="s">
        <v>145</v>
      </c>
      <c r="C17" s="48" t="s">
        <v>186</v>
      </c>
      <c r="D17" s="59" t="s">
        <v>187</v>
      </c>
      <c r="E17" s="59" t="s">
        <v>40</v>
      </c>
      <c r="F17" s="59" t="s">
        <v>58</v>
      </c>
      <c r="G17" s="59" t="s">
        <v>48</v>
      </c>
      <c r="H17" s="59" t="s">
        <v>188</v>
      </c>
      <c r="I17" s="60">
        <v>56987217393</v>
      </c>
      <c r="J17" s="27" t="s">
        <v>189</v>
      </c>
      <c r="K17" s="27" t="s">
        <v>52</v>
      </c>
      <c r="L17" s="52" t="s">
        <v>142</v>
      </c>
      <c r="M17" s="52" t="s">
        <v>143</v>
      </c>
      <c r="N17" s="70">
        <f>SUMPRODUCT(Tabla5235[[#This Row],[Naranjas]:[Cerezas]],O$38:Z$38)</f>
        <v>47500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f>1+4</f>
        <v>5</v>
      </c>
      <c r="AA17" s="52">
        <f>SUM(Tabla5235[[#This Row],[Naranjas]:[Cerezas]])</f>
        <v>5</v>
      </c>
      <c r="AB17" s="58"/>
    </row>
    <row r="18" spans="1:28" outlineLevel="1" x14ac:dyDescent="0.25">
      <c r="A18" s="188"/>
      <c r="B18" s="50" t="s">
        <v>177</v>
      </c>
      <c r="C18" s="48" t="s">
        <v>178</v>
      </c>
      <c r="D18" s="59" t="str">
        <f>[1]Personas!C76</f>
        <v>Malaga 195 Dpto 51</v>
      </c>
      <c r="E18" s="59" t="str">
        <f>[1]Personas!D76</f>
        <v>Las Condes</v>
      </c>
      <c r="F18" s="59" t="str">
        <f>[1]Personas!E76</f>
        <v>Vespucio</v>
      </c>
      <c r="G18" s="59" t="str">
        <f>[1]Personas!F76</f>
        <v>UCH</v>
      </c>
      <c r="H18" s="59" t="str">
        <f>[1]Personas!G76</f>
        <v>JEFE</v>
      </c>
      <c r="I18" s="60">
        <f>[1]Personas!H76</f>
        <v>56994792301</v>
      </c>
      <c r="J18" s="27" t="s">
        <v>179</v>
      </c>
      <c r="K18" s="27" t="s">
        <v>64</v>
      </c>
      <c r="L18" s="52" t="s">
        <v>142</v>
      </c>
      <c r="M18" s="52" t="s">
        <v>142</v>
      </c>
      <c r="N18" s="70">
        <f>SUMPRODUCT(Tabla5235[[#This Row],[Naranjas]:[Cerezas]],O$38:Z$38)</f>
        <v>225000</v>
      </c>
      <c r="O18" s="52">
        <v>0</v>
      </c>
      <c r="P18" s="52">
        <v>0</v>
      </c>
      <c r="Q18" s="52">
        <v>6</v>
      </c>
      <c r="R18" s="52">
        <v>3</v>
      </c>
      <c r="S18" s="52">
        <v>6</v>
      </c>
      <c r="T18" s="52">
        <v>4</v>
      </c>
      <c r="U18" s="52">
        <v>2</v>
      </c>
      <c r="V18" s="52">
        <v>0</v>
      </c>
      <c r="W18" s="52">
        <v>2</v>
      </c>
      <c r="X18" s="52">
        <v>1</v>
      </c>
      <c r="Y18" s="52">
        <v>0</v>
      </c>
      <c r="Z18" s="52">
        <v>10</v>
      </c>
      <c r="AA18" s="52">
        <f>SUM(Tabla5235[[#This Row],[Naranjas]:[Cerezas]])</f>
        <v>34</v>
      </c>
      <c r="AB18" s="58"/>
    </row>
    <row r="19" spans="1:28" outlineLevel="1" x14ac:dyDescent="0.25">
      <c r="A19" s="188"/>
      <c r="B19" s="50" t="s">
        <v>166</v>
      </c>
      <c r="C19" s="48" t="s">
        <v>167</v>
      </c>
      <c r="D19" s="59" t="s">
        <v>168</v>
      </c>
      <c r="E19" s="59" t="s">
        <v>50</v>
      </c>
      <c r="F19" s="59" t="s">
        <v>47</v>
      </c>
      <c r="G19" s="59" t="s">
        <v>110</v>
      </c>
      <c r="H19" s="59" t="s">
        <v>41</v>
      </c>
      <c r="I19" s="60">
        <v>56994792301</v>
      </c>
      <c r="J19" s="27" t="s">
        <v>169</v>
      </c>
      <c r="K19" s="27" t="s">
        <v>64</v>
      </c>
      <c r="L19" s="52" t="s">
        <v>185</v>
      </c>
      <c r="M19" s="52" t="s">
        <v>142</v>
      </c>
      <c r="N19" s="70">
        <f>SUMPRODUCT(Tabla5235[[#This Row],[Naranjas]:[Cerezas]],O$38:Z$38)</f>
        <v>28500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f>3</f>
        <v>3</v>
      </c>
      <c r="AA19" s="52">
        <f>SUM(Tabla5235[[#This Row],[Naranjas]:[Cerezas]])</f>
        <v>3</v>
      </c>
      <c r="AB19" s="58"/>
    </row>
    <row r="20" spans="1:28" outlineLevel="1" x14ac:dyDescent="0.25">
      <c r="A20" s="188"/>
      <c r="B20" s="56" t="s">
        <v>157</v>
      </c>
      <c r="C20" s="47" t="s">
        <v>158</v>
      </c>
      <c r="D20" s="47" t="s">
        <v>159</v>
      </c>
      <c r="E20" s="47" t="s">
        <v>40</v>
      </c>
      <c r="F20" s="47" t="s">
        <v>58</v>
      </c>
      <c r="G20" s="47" t="s">
        <v>160</v>
      </c>
      <c r="H20" s="47" t="s">
        <v>41</v>
      </c>
      <c r="I20" s="53">
        <v>56968320616</v>
      </c>
      <c r="J20" s="27" t="s">
        <v>161</v>
      </c>
      <c r="K20" s="27" t="s">
        <v>64</v>
      </c>
      <c r="L20" s="52" t="s">
        <v>142</v>
      </c>
      <c r="M20" s="52" t="s">
        <v>142</v>
      </c>
      <c r="N20" s="47">
        <f>SUMPRODUCT(Tabla5235[[#This Row],[Naranjas]:[Cerezas]],O$38:Z$38)</f>
        <v>37500</v>
      </c>
      <c r="O20" s="52">
        <v>0</v>
      </c>
      <c r="P20" s="52">
        <v>0</v>
      </c>
      <c r="Q20" s="52">
        <v>1</v>
      </c>
      <c r="R20" s="52">
        <v>0</v>
      </c>
      <c r="S20" s="52">
        <v>1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3</v>
      </c>
      <c r="AA20" s="52">
        <f>SUM(Tabla5235[[#This Row],[Naranjas]:[Cerezas]])</f>
        <v>5</v>
      </c>
      <c r="AB20" s="58"/>
    </row>
    <row r="21" spans="1:28" outlineLevel="1" x14ac:dyDescent="0.25">
      <c r="A21" s="188"/>
      <c r="B21" s="56" t="s">
        <v>65</v>
      </c>
      <c r="C21" s="47" t="s">
        <v>66</v>
      </c>
      <c r="D21" s="47" t="s">
        <v>67</v>
      </c>
      <c r="E21" s="47" t="s">
        <v>40</v>
      </c>
      <c r="F21" s="47" t="s">
        <v>58</v>
      </c>
      <c r="G21" s="47" t="s">
        <v>48</v>
      </c>
      <c r="H21" s="47" t="s">
        <v>41</v>
      </c>
      <c r="I21" s="53">
        <v>56967898535</v>
      </c>
      <c r="J21" s="27" t="s">
        <v>68</v>
      </c>
      <c r="K21" s="27" t="s">
        <v>64</v>
      </c>
      <c r="L21" s="52" t="s">
        <v>142</v>
      </c>
      <c r="M21" s="52" t="s">
        <v>142</v>
      </c>
      <c r="N21" s="47">
        <f>SUMPRODUCT(Tabla5235[[#This Row],[Naranjas]:[Cerezas]],O$38:Z$38)</f>
        <v>185500</v>
      </c>
      <c r="O21" s="52">
        <v>0</v>
      </c>
      <c r="P21" s="52">
        <v>0</v>
      </c>
      <c r="Q21" s="52">
        <v>10</v>
      </c>
      <c r="R21" s="52">
        <v>0</v>
      </c>
      <c r="S21" s="52">
        <v>5</v>
      </c>
      <c r="T21" s="52">
        <v>3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f>4+7</f>
        <v>11</v>
      </c>
      <c r="AA21" s="52">
        <f>SUM(Tabla5235[[#This Row],[Naranjas]:[Cerezas]])</f>
        <v>29</v>
      </c>
      <c r="AB21" s="58"/>
    </row>
    <row r="22" spans="1:28" outlineLevel="1" x14ac:dyDescent="0.25">
      <c r="A22" s="188"/>
      <c r="B22" s="56" t="s">
        <v>72</v>
      </c>
      <c r="C22" s="47" t="s">
        <v>73</v>
      </c>
      <c r="D22" s="47" t="s">
        <v>85</v>
      </c>
      <c r="E22" s="47" t="s">
        <v>50</v>
      </c>
      <c r="F22" s="47" t="s">
        <v>74</v>
      </c>
      <c r="G22" s="47" t="s">
        <v>48</v>
      </c>
      <c r="H22" s="47" t="s">
        <v>41</v>
      </c>
      <c r="I22" s="53">
        <v>56979878976</v>
      </c>
      <c r="J22" s="27" t="s">
        <v>75</v>
      </c>
      <c r="K22" s="27" t="s">
        <v>42</v>
      </c>
      <c r="L22" s="52" t="s">
        <v>142</v>
      </c>
      <c r="M22" s="52" t="s">
        <v>142</v>
      </c>
      <c r="N22" s="47">
        <f>SUMPRODUCT(Tabla5235[[#This Row],[Naranjas]:[Cerezas]],O$38:Z$38)</f>
        <v>87500</v>
      </c>
      <c r="O22" s="52">
        <v>0</v>
      </c>
      <c r="P22" s="52">
        <v>0</v>
      </c>
      <c r="Q22" s="52">
        <v>3</v>
      </c>
      <c r="R22" s="52">
        <v>2</v>
      </c>
      <c r="S22" s="52">
        <v>1</v>
      </c>
      <c r="T22" s="52">
        <v>1</v>
      </c>
      <c r="U22" s="52">
        <v>0</v>
      </c>
      <c r="V22" s="52">
        <v>0</v>
      </c>
      <c r="W22" s="52">
        <v>1</v>
      </c>
      <c r="X22" s="52">
        <v>2</v>
      </c>
      <c r="Y22" s="52">
        <v>1</v>
      </c>
      <c r="Z22" s="52">
        <v>2</v>
      </c>
      <c r="AA22" s="52">
        <f>SUM(Tabla5235[[#This Row],[Naranjas]:[Cerezas]])</f>
        <v>13</v>
      </c>
      <c r="AB22" s="58"/>
    </row>
    <row r="23" spans="1:28" outlineLevel="1" x14ac:dyDescent="0.25">
      <c r="A23" s="188"/>
      <c r="B23" s="50" t="s">
        <v>53</v>
      </c>
      <c r="C23" s="48" t="s">
        <v>54</v>
      </c>
      <c r="D23" s="59" t="s">
        <v>55</v>
      </c>
      <c r="E23" s="59" t="s">
        <v>50</v>
      </c>
      <c r="F23" s="59" t="s">
        <v>56</v>
      </c>
      <c r="G23" s="59" t="s">
        <v>48</v>
      </c>
      <c r="H23" s="59" t="s">
        <v>41</v>
      </c>
      <c r="I23" s="60">
        <v>56999699652</v>
      </c>
      <c r="J23" s="27" t="s">
        <v>57</v>
      </c>
      <c r="K23" s="27" t="s">
        <v>42</v>
      </c>
      <c r="L23" s="52" t="s">
        <v>142</v>
      </c>
      <c r="M23" s="52" t="s">
        <v>142</v>
      </c>
      <c r="N23" s="47">
        <f>SUMPRODUCT(Tabla5235[[#This Row],[Naranjas]:[Cerezas]],O$38:Z$38)</f>
        <v>55500</v>
      </c>
      <c r="O23" s="52">
        <v>0</v>
      </c>
      <c r="P23" s="52">
        <v>0</v>
      </c>
      <c r="Q23" s="52">
        <v>1</v>
      </c>
      <c r="R23" s="52">
        <v>1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2</v>
      </c>
      <c r="Z23" s="52">
        <v>3</v>
      </c>
      <c r="AA23" s="52">
        <f>SUM(Tabla5235[[#This Row],[Naranjas]:[Cerezas]])</f>
        <v>7</v>
      </c>
      <c r="AB23" s="58"/>
    </row>
    <row r="24" spans="1:28" outlineLevel="1" x14ac:dyDescent="0.25">
      <c r="A24" s="188"/>
      <c r="B24" s="56" t="s">
        <v>43</v>
      </c>
      <c r="C24" s="47" t="s">
        <v>44</v>
      </c>
      <c r="D24" s="47" t="s">
        <v>45</v>
      </c>
      <c r="E24" s="47" t="s">
        <v>46</v>
      </c>
      <c r="F24" s="47" t="s">
        <v>47</v>
      </c>
      <c r="G24" s="47" t="s">
        <v>48</v>
      </c>
      <c r="H24" s="47" t="s">
        <v>41</v>
      </c>
      <c r="I24" s="53">
        <v>56942723186</v>
      </c>
      <c r="J24" s="27" t="s">
        <v>49</v>
      </c>
      <c r="K24" s="27" t="s">
        <v>42</v>
      </c>
      <c r="L24" s="52" t="s">
        <v>142</v>
      </c>
      <c r="M24" s="52" t="s">
        <v>142</v>
      </c>
      <c r="N24" s="47">
        <f>SUMPRODUCT(Tabla5235[[#This Row],[Naranjas]:[Cerezas]],O$38:Z$38)</f>
        <v>14000</v>
      </c>
      <c r="O24" s="52">
        <v>0</v>
      </c>
      <c r="P24" s="52">
        <v>0</v>
      </c>
      <c r="Q24" s="52">
        <v>0</v>
      </c>
      <c r="R24" s="52">
        <v>0</v>
      </c>
      <c r="S24" s="52">
        <v>1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1</v>
      </c>
      <c r="AA24" s="52">
        <f>SUM(Tabla5235[[#This Row],[Naranjas]:[Cerezas]])</f>
        <v>2</v>
      </c>
      <c r="AB24" s="58"/>
    </row>
    <row r="25" spans="1:28" outlineLevel="1" x14ac:dyDescent="0.25">
      <c r="A25" s="188"/>
      <c r="B25" s="50" t="s">
        <v>157</v>
      </c>
      <c r="C25" s="48" t="s">
        <v>184</v>
      </c>
      <c r="D25" s="59" t="str">
        <f>[1]Personas!C79</f>
        <v>El Golf de Manquehue 9750 Casa 703</v>
      </c>
      <c r="E25" s="59" t="str">
        <f>[1]Personas!D79</f>
        <v>Lo Barnechea</v>
      </c>
      <c r="F25" s="59" t="str">
        <f>[1]Personas!E79</f>
        <v>Los Trapenses</v>
      </c>
      <c r="G25" s="59" t="str">
        <f>[1]Personas!F79</f>
        <v>UC</v>
      </c>
      <c r="H25" s="59" t="str">
        <f>[1]Personas!G79</f>
        <v>JEFE</v>
      </c>
      <c r="I25" s="60">
        <f>[1]Personas!H79</f>
        <v>56997594184</v>
      </c>
      <c r="J25" s="27" t="s">
        <v>179</v>
      </c>
      <c r="K25" s="27" t="s">
        <v>52</v>
      </c>
      <c r="L25" s="52" t="s">
        <v>142</v>
      </c>
      <c r="M25" s="52" t="s">
        <v>142</v>
      </c>
      <c r="N25" s="70">
        <f>SUMPRODUCT(Tabla5235[[#This Row],[Naranjas]:[Cerezas]],O$38:Z$38)</f>
        <v>155500</v>
      </c>
      <c r="O25" s="52">
        <v>0</v>
      </c>
      <c r="P25" s="52">
        <v>0</v>
      </c>
      <c r="Q25" s="52">
        <v>4</v>
      </c>
      <c r="R25" s="52">
        <v>1</v>
      </c>
      <c r="S25" s="52">
        <v>5</v>
      </c>
      <c r="T25" s="52">
        <v>5</v>
      </c>
      <c r="U25" s="52">
        <v>1</v>
      </c>
      <c r="V25" s="52">
        <v>1</v>
      </c>
      <c r="W25" s="52">
        <v>1</v>
      </c>
      <c r="X25" s="52">
        <v>0</v>
      </c>
      <c r="Y25" s="52">
        <v>0</v>
      </c>
      <c r="Z25" s="52">
        <f>7</f>
        <v>7</v>
      </c>
      <c r="AA25" s="52">
        <f>SUM(Tabla5235[[#This Row],[Naranjas]:[Cerezas]])</f>
        <v>25</v>
      </c>
      <c r="AB25" s="58"/>
    </row>
    <row r="26" spans="1:28" outlineLevel="1" x14ac:dyDescent="0.25">
      <c r="A26" s="188"/>
      <c r="B26" s="56" t="s">
        <v>149</v>
      </c>
      <c r="C26" s="47" t="s">
        <v>154</v>
      </c>
      <c r="D26" s="47" t="s">
        <v>155</v>
      </c>
      <c r="E26" s="47" t="s">
        <v>40</v>
      </c>
      <c r="F26" s="47" t="s">
        <v>92</v>
      </c>
      <c r="G26" s="47" t="s">
        <v>148</v>
      </c>
      <c r="H26" s="47" t="s">
        <v>41</v>
      </c>
      <c r="I26" s="53">
        <v>56988587944</v>
      </c>
      <c r="J26" s="27" t="s">
        <v>156</v>
      </c>
      <c r="K26" s="27" t="s">
        <v>52</v>
      </c>
      <c r="L26" s="52" t="s">
        <v>142</v>
      </c>
      <c r="M26" s="52" t="s">
        <v>142</v>
      </c>
      <c r="N26" s="47">
        <f>SUMPRODUCT(Tabla5235[[#This Row],[Naranjas]:[Cerezas]],O$38:Z$38)</f>
        <v>182000</v>
      </c>
      <c r="O26" s="52">
        <v>0</v>
      </c>
      <c r="P26" s="52">
        <v>0</v>
      </c>
      <c r="Q26" s="52">
        <v>5</v>
      </c>
      <c r="R26" s="52">
        <v>0</v>
      </c>
      <c r="S26" s="52">
        <v>8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13</v>
      </c>
      <c r="AA26" s="52">
        <f>SUM(Tabla5235[[#This Row],[Naranjas]:[Cerezas]])</f>
        <v>26</v>
      </c>
      <c r="AB26" s="58"/>
    </row>
    <row r="27" spans="1:28" outlineLevel="1" x14ac:dyDescent="0.25">
      <c r="A27" s="188"/>
      <c r="B27" s="121" t="s">
        <v>120</v>
      </c>
      <c r="C27" s="122" t="s">
        <v>59</v>
      </c>
      <c r="D27" s="123" t="s">
        <v>121</v>
      </c>
      <c r="E27" s="123" t="s">
        <v>40</v>
      </c>
      <c r="F27" s="123" t="s">
        <v>58</v>
      </c>
      <c r="G27" s="123" t="s">
        <v>60</v>
      </c>
      <c r="H27" s="123" t="s">
        <v>41</v>
      </c>
      <c r="I27" s="124">
        <v>56966640363</v>
      </c>
      <c r="J27" s="96" t="s">
        <v>122</v>
      </c>
      <c r="K27" s="96" t="s">
        <v>52</v>
      </c>
      <c r="L27" s="97" t="s">
        <v>142</v>
      </c>
      <c r="M27" s="97" t="s">
        <v>142</v>
      </c>
      <c r="N27" s="125">
        <f>SUMPRODUCT(Tabla5235[[#This Row],[Naranjas]:[Cerezas]],O$38:Z$38)</f>
        <v>1833000</v>
      </c>
      <c r="O27" s="97">
        <v>0</v>
      </c>
      <c r="P27" s="97">
        <v>0</v>
      </c>
      <c r="Q27" s="97">
        <v>0</v>
      </c>
      <c r="R27" s="97">
        <v>0</v>
      </c>
      <c r="S27" s="97">
        <v>21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f>222-9-20-21-27-1+64-11-14</f>
        <v>183</v>
      </c>
      <c r="AA27" s="97">
        <f>SUM(Tabla5235[[#This Row],[Naranjas]:[Cerezas]])</f>
        <v>204</v>
      </c>
      <c r="AB27" s="98"/>
    </row>
    <row r="28" spans="1:28" ht="15.75" outlineLevel="1" thickBot="1" x14ac:dyDescent="0.3">
      <c r="A28" s="189"/>
      <c r="B28" s="109" t="s">
        <v>112</v>
      </c>
      <c r="C28" s="110" t="s">
        <v>61</v>
      </c>
      <c r="D28" s="110" t="s">
        <v>113</v>
      </c>
      <c r="E28" s="110" t="s">
        <v>46</v>
      </c>
      <c r="F28" s="110" t="s">
        <v>51</v>
      </c>
      <c r="G28" s="110" t="s">
        <v>110</v>
      </c>
      <c r="H28" s="110" t="s">
        <v>41</v>
      </c>
      <c r="I28" s="111">
        <v>56982978895</v>
      </c>
      <c r="J28" s="96" t="s">
        <v>114</v>
      </c>
      <c r="K28" s="96" t="s">
        <v>52</v>
      </c>
      <c r="L28" s="97" t="s">
        <v>142</v>
      </c>
      <c r="M28" s="97" t="s">
        <v>142</v>
      </c>
      <c r="N28" s="110">
        <f>SUMPRODUCT(Tabla5235[[#This Row],[Naranjas]:[Cerezas]],O$38:Z$38)</f>
        <v>67500</v>
      </c>
      <c r="O28" s="97">
        <v>0</v>
      </c>
      <c r="P28" s="97">
        <v>0</v>
      </c>
      <c r="Q28" s="97">
        <v>4</v>
      </c>
      <c r="R28" s="97">
        <v>1</v>
      </c>
      <c r="S28" s="97">
        <v>1</v>
      </c>
      <c r="T28" s="97">
        <v>2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f>1+2</f>
        <v>3</v>
      </c>
      <c r="AA28" s="97">
        <f>SUM(Tabla5235[[#This Row],[Naranjas]:[Cerezas]])</f>
        <v>11</v>
      </c>
      <c r="AB28" s="98"/>
    </row>
    <row r="29" spans="1:28" outlineLevel="1" x14ac:dyDescent="0.25">
      <c r="A29" s="18"/>
      <c r="B29" s="19"/>
      <c r="C29" s="19"/>
      <c r="D29" s="19"/>
      <c r="E29" s="19"/>
      <c r="F29" s="19"/>
      <c r="G29" s="19"/>
      <c r="H29" s="19"/>
      <c r="I29" s="32"/>
      <c r="J29" s="31"/>
      <c r="K29" s="3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1:28" ht="15.75" thickBot="1" x14ac:dyDescent="0.3"/>
    <row r="31" spans="1:28" ht="14.65" customHeight="1" thickBot="1" x14ac:dyDescent="0.3">
      <c r="A31" s="141" t="s">
        <v>20</v>
      </c>
      <c r="B31" s="156" t="s">
        <v>7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  <c r="M31" s="158"/>
      <c r="N31" s="113" t="s">
        <v>9</v>
      </c>
      <c r="O31" s="8">
        <f>SUM(Tabla5235[Naranjas])</f>
        <v>0</v>
      </c>
      <c r="P31" s="49">
        <f>SUM(Tabla5235[Mandarinas])</f>
        <v>0</v>
      </c>
      <c r="Q31" s="49">
        <f>SUM(Tabla5235[Paltas])</f>
        <v>91</v>
      </c>
      <c r="R31" s="49">
        <f>SUM(Tabla5235[Quesos])</f>
        <v>12</v>
      </c>
      <c r="S31" s="49">
        <f>SUM(Tabla5235[Frutillas])</f>
        <v>78</v>
      </c>
      <c r="T31" s="49">
        <f>SUM(Tabla5235[Tomate Cherry])</f>
        <v>27</v>
      </c>
      <c r="U31" s="49">
        <f>SUM(Tabla5235[Nueces])</f>
        <v>4</v>
      </c>
      <c r="V31" s="49">
        <f>SUM(Tabla5235[Mani])</f>
        <v>3</v>
      </c>
      <c r="W31" s="49">
        <f>SUM(Tabla5235[Pistachos])</f>
        <v>8</v>
      </c>
      <c r="X31" s="49">
        <f>SUM(Tabla5235[Caju])</f>
        <v>6</v>
      </c>
      <c r="Y31" s="49">
        <f>SUM(Tabla5235[Almendras])</f>
        <v>5</v>
      </c>
      <c r="Z31" s="4">
        <f>SUM(Tabla5235[Cerezas])</f>
        <v>317</v>
      </c>
    </row>
    <row r="32" spans="1:28" ht="14.65" customHeight="1" thickBot="1" x14ac:dyDescent="0.3">
      <c r="A32" s="142"/>
      <c r="B32" s="159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1"/>
      <c r="N32" s="113" t="s">
        <v>28</v>
      </c>
      <c r="O32" s="9">
        <v>5</v>
      </c>
      <c r="P32" s="52">
        <v>4</v>
      </c>
      <c r="Q32" s="52">
        <v>2</v>
      </c>
      <c r="R32" s="37">
        <v>1</v>
      </c>
      <c r="S32" s="37">
        <v>2</v>
      </c>
      <c r="T32" s="52">
        <v>1</v>
      </c>
      <c r="U32" s="83">
        <v>0.5</v>
      </c>
      <c r="V32" s="83">
        <v>1</v>
      </c>
      <c r="W32" s="83">
        <v>0.5</v>
      </c>
      <c r="X32" s="83">
        <v>0.4</v>
      </c>
      <c r="Y32" s="83">
        <v>0.5</v>
      </c>
      <c r="Z32" s="38">
        <v>5</v>
      </c>
    </row>
    <row r="33" spans="1:27" ht="14.65" customHeight="1" thickBot="1" x14ac:dyDescent="0.3">
      <c r="A33" s="142"/>
      <c r="B33" s="159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1"/>
      <c r="N33" s="113" t="s">
        <v>8</v>
      </c>
      <c r="O33" s="9">
        <f>O32*O31</f>
        <v>0</v>
      </c>
      <c r="P33" s="52">
        <f t="shared" ref="P33:U33" si="0">P32*P31</f>
        <v>0</v>
      </c>
      <c r="Q33" s="52">
        <f t="shared" si="0"/>
        <v>182</v>
      </c>
      <c r="R33" s="52">
        <f t="shared" si="0"/>
        <v>12</v>
      </c>
      <c r="S33" s="52">
        <f>S32*S31</f>
        <v>156</v>
      </c>
      <c r="T33" s="52">
        <f t="shared" si="0"/>
        <v>27</v>
      </c>
      <c r="U33" s="52">
        <f t="shared" si="0"/>
        <v>2</v>
      </c>
      <c r="V33" s="52">
        <f>V32*V31</f>
        <v>3</v>
      </c>
      <c r="W33" s="52">
        <f>W32*W31</f>
        <v>4</v>
      </c>
      <c r="X33" s="52">
        <f>X32*X31</f>
        <v>2.4000000000000004</v>
      </c>
      <c r="Y33" s="52">
        <f>Y32*Y31</f>
        <v>2.5</v>
      </c>
      <c r="Z33" s="11">
        <f>Z32*Z31</f>
        <v>1585</v>
      </c>
      <c r="AA33" s="116"/>
    </row>
    <row r="34" spans="1:27" ht="15.75" thickBot="1" x14ac:dyDescent="0.3">
      <c r="A34" s="142"/>
      <c r="B34" s="162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4"/>
      <c r="N34" s="113" t="s">
        <v>10</v>
      </c>
      <c r="O34" s="10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2"/>
    </row>
    <row r="35" spans="1:27" ht="15.75" thickBot="1" x14ac:dyDescent="0.3">
      <c r="A35" s="142"/>
      <c r="B35" s="114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7" ht="15.75" thickBot="1" x14ac:dyDescent="0.3">
      <c r="A36" s="142"/>
      <c r="B36" s="156" t="s">
        <v>12</v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8"/>
      <c r="N36" s="113" t="s">
        <v>13</v>
      </c>
      <c r="O36" s="54">
        <f>O37*O32</f>
        <v>2750</v>
      </c>
      <c r="P36" s="51">
        <f t="shared" ref="P36:U36" si="1">P37*P32</f>
        <v>2200</v>
      </c>
      <c r="Q36" s="51">
        <f t="shared" si="1"/>
        <v>3100</v>
      </c>
      <c r="R36" s="51">
        <f t="shared" si="1"/>
        <v>6716</v>
      </c>
      <c r="S36" s="51">
        <f>S37*S32</f>
        <v>2600</v>
      </c>
      <c r="T36" s="51">
        <f t="shared" si="1"/>
        <v>2300</v>
      </c>
      <c r="U36" s="51">
        <f t="shared" si="1"/>
        <v>3750</v>
      </c>
      <c r="V36" s="51">
        <f>V37*V32</f>
        <v>3500</v>
      </c>
      <c r="W36" s="51">
        <f>W37*W32</f>
        <v>7050</v>
      </c>
      <c r="X36" s="51">
        <f>X37*X32</f>
        <v>5320</v>
      </c>
      <c r="Y36" s="51">
        <f>Y37*Y32</f>
        <v>5350</v>
      </c>
      <c r="Z36" s="15">
        <f>Z37*Z32</f>
        <v>8000</v>
      </c>
    </row>
    <row r="37" spans="1:27" ht="15.75" thickBot="1" x14ac:dyDescent="0.3">
      <c r="A37" s="142"/>
      <c r="B37" s="159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1"/>
      <c r="N37" s="113" t="s">
        <v>8</v>
      </c>
      <c r="O37" s="87">
        <v>550</v>
      </c>
      <c r="P37" s="86">
        <v>550</v>
      </c>
      <c r="Q37" s="86">
        <v>1550</v>
      </c>
      <c r="R37" s="86">
        <v>6716</v>
      </c>
      <c r="S37" s="86">
        <v>1300</v>
      </c>
      <c r="T37" s="86">
        <v>2300</v>
      </c>
      <c r="U37" s="86">
        <v>7500</v>
      </c>
      <c r="V37" s="86">
        <v>3500</v>
      </c>
      <c r="W37" s="86">
        <v>14100</v>
      </c>
      <c r="X37" s="86">
        <v>13300</v>
      </c>
      <c r="Y37" s="86">
        <v>10700</v>
      </c>
      <c r="Z37" s="90">
        <f>8000/5</f>
        <v>1600</v>
      </c>
    </row>
    <row r="38" spans="1:27" ht="15.75" thickBot="1" x14ac:dyDescent="0.3">
      <c r="A38" s="142"/>
      <c r="B38" s="162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4"/>
      <c r="N38" s="113" t="s">
        <v>14</v>
      </c>
      <c r="O38" s="88">
        <v>3500</v>
      </c>
      <c r="P38" s="89">
        <v>4500</v>
      </c>
      <c r="Q38" s="89">
        <v>4500</v>
      </c>
      <c r="R38" s="89">
        <v>7500</v>
      </c>
      <c r="S38" s="89">
        <v>4500</v>
      </c>
      <c r="T38" s="89">
        <v>4500</v>
      </c>
      <c r="U38" s="89">
        <v>5500</v>
      </c>
      <c r="V38" s="89">
        <v>4500</v>
      </c>
      <c r="W38" s="89">
        <v>8500</v>
      </c>
      <c r="X38" s="89">
        <v>7500</v>
      </c>
      <c r="Y38" s="89">
        <v>7500</v>
      </c>
      <c r="Z38" s="91">
        <v>9500</v>
      </c>
    </row>
    <row r="39" spans="1:27" ht="15.75" thickBot="1" x14ac:dyDescent="0.3">
      <c r="A39" s="142"/>
      <c r="B39" s="114"/>
      <c r="C39" s="19"/>
      <c r="D39" s="23"/>
      <c r="E39" s="24"/>
      <c r="F39" s="24"/>
      <c r="G39" s="24"/>
      <c r="H39" s="24"/>
      <c r="I39" s="24"/>
      <c r="J39" s="24"/>
      <c r="K39" s="25"/>
      <c r="N39" s="3"/>
    </row>
    <row r="40" spans="1:27" ht="14.65" customHeight="1" thickBot="1" x14ac:dyDescent="0.3">
      <c r="A40" s="142"/>
      <c r="B40" s="156" t="s">
        <v>15</v>
      </c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8"/>
      <c r="N40" s="113" t="s">
        <v>19</v>
      </c>
      <c r="O40" s="104">
        <f>O31*O36</f>
        <v>0</v>
      </c>
      <c r="P40" s="105">
        <f t="shared" ref="P40:U40" si="2">P31*P36</f>
        <v>0</v>
      </c>
      <c r="Q40" s="105">
        <f t="shared" si="2"/>
        <v>282100</v>
      </c>
      <c r="R40" s="106">
        <f t="shared" si="2"/>
        <v>80592</v>
      </c>
      <c r="S40" s="106">
        <f t="shared" si="2"/>
        <v>202800</v>
      </c>
      <c r="T40" s="105">
        <f>T31*T36</f>
        <v>62100</v>
      </c>
      <c r="U40" s="105">
        <f t="shared" si="2"/>
        <v>15000</v>
      </c>
      <c r="V40" s="105">
        <f>V31*V36</f>
        <v>10500</v>
      </c>
      <c r="W40" s="105">
        <f>W31*W36</f>
        <v>56400</v>
      </c>
      <c r="X40" s="105">
        <f>X31*X36</f>
        <v>31920</v>
      </c>
      <c r="Y40" s="105">
        <f>Y31*Y36</f>
        <v>26750</v>
      </c>
      <c r="Z40" s="107">
        <f>Z31*Z36</f>
        <v>2536000</v>
      </c>
    </row>
    <row r="41" spans="1:27" ht="15.75" thickBot="1" x14ac:dyDescent="0.3">
      <c r="A41" s="142"/>
      <c r="B41" s="162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4"/>
      <c r="N41" s="113" t="s">
        <v>16</v>
      </c>
      <c r="O41" s="133">
        <f>SUM(O40:Z40)</f>
        <v>3304162</v>
      </c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5"/>
    </row>
    <row r="42" spans="1:27" ht="15.75" thickBot="1" x14ac:dyDescent="0.3">
      <c r="A42" s="142"/>
      <c r="B42" s="156" t="s">
        <v>17</v>
      </c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8"/>
      <c r="N42" s="113" t="s">
        <v>19</v>
      </c>
      <c r="O42" s="50">
        <f t="shared" ref="O42:Z42" si="3">O38*O31</f>
        <v>0</v>
      </c>
      <c r="P42" s="48">
        <f t="shared" si="3"/>
        <v>0</v>
      </c>
      <c r="Q42" s="48">
        <f t="shared" si="3"/>
        <v>409500</v>
      </c>
      <c r="R42" s="48">
        <f t="shared" si="3"/>
        <v>90000</v>
      </c>
      <c r="S42" s="48">
        <f t="shared" si="3"/>
        <v>351000</v>
      </c>
      <c r="T42" s="48">
        <f t="shared" si="3"/>
        <v>121500</v>
      </c>
      <c r="U42" s="48">
        <f t="shared" si="3"/>
        <v>22000</v>
      </c>
      <c r="V42" s="48">
        <f t="shared" si="3"/>
        <v>13500</v>
      </c>
      <c r="W42" s="48">
        <f t="shared" si="3"/>
        <v>68000</v>
      </c>
      <c r="X42" s="48">
        <f t="shared" si="3"/>
        <v>45000</v>
      </c>
      <c r="Y42" s="48">
        <f t="shared" si="3"/>
        <v>37500</v>
      </c>
      <c r="Z42" s="108">
        <f t="shared" si="3"/>
        <v>3011500</v>
      </c>
    </row>
    <row r="43" spans="1:27" ht="15.75" thickBot="1" x14ac:dyDescent="0.3">
      <c r="A43" s="142"/>
      <c r="B43" s="162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4"/>
      <c r="N43" s="113" t="s">
        <v>16</v>
      </c>
      <c r="O43" s="133">
        <f>SUM(O42:Z42)</f>
        <v>4169500</v>
      </c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5"/>
    </row>
    <row r="44" spans="1:27" ht="14.65" customHeight="1" thickBot="1" x14ac:dyDescent="0.3">
      <c r="A44" s="142"/>
      <c r="B44" s="156" t="s">
        <v>18</v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8"/>
      <c r="N44" s="113" t="s">
        <v>19</v>
      </c>
      <c r="O44" s="50">
        <f>O42-O40</f>
        <v>0</v>
      </c>
      <c r="P44" s="48">
        <f t="shared" ref="P44:Z44" si="4">P42-P40</f>
        <v>0</v>
      </c>
      <c r="Q44" s="48">
        <f t="shared" si="4"/>
        <v>127400</v>
      </c>
      <c r="R44" s="48">
        <f t="shared" si="4"/>
        <v>9408</v>
      </c>
      <c r="S44" s="48">
        <f t="shared" si="4"/>
        <v>148200</v>
      </c>
      <c r="T44" s="48">
        <f t="shared" si="4"/>
        <v>59400</v>
      </c>
      <c r="U44" s="48">
        <f t="shared" si="4"/>
        <v>7000</v>
      </c>
      <c r="V44" s="48">
        <f t="shared" si="4"/>
        <v>3000</v>
      </c>
      <c r="W44" s="48">
        <f t="shared" si="4"/>
        <v>11600</v>
      </c>
      <c r="X44" s="48">
        <f t="shared" si="4"/>
        <v>13080</v>
      </c>
      <c r="Y44" s="48">
        <f t="shared" si="4"/>
        <v>10750</v>
      </c>
      <c r="Z44" s="108">
        <f t="shared" si="4"/>
        <v>475500</v>
      </c>
    </row>
    <row r="45" spans="1:27" ht="29.65" customHeight="1" thickBot="1" x14ac:dyDescent="0.3">
      <c r="A45" s="142"/>
      <c r="B45" s="162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4"/>
      <c r="N45" s="113" t="s">
        <v>29</v>
      </c>
      <c r="O45" s="130">
        <f>O43-O41</f>
        <v>865338</v>
      </c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2"/>
    </row>
    <row r="46" spans="1:27" ht="15.75" thickBot="1" x14ac:dyDescent="0.3">
      <c r="A46" s="142"/>
    </row>
    <row r="47" spans="1:27" ht="14.65" customHeight="1" thickBot="1" x14ac:dyDescent="0.3">
      <c r="A47" s="142"/>
      <c r="B47" s="168" t="s">
        <v>25</v>
      </c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70"/>
      <c r="O47" s="150" t="s">
        <v>26</v>
      </c>
      <c r="P47" s="151"/>
      <c r="Q47" s="152"/>
      <c r="R47" s="29" t="s">
        <v>27</v>
      </c>
      <c r="S47" s="61"/>
      <c r="T47" s="5"/>
      <c r="U47" s="5"/>
      <c r="V47" s="5"/>
      <c r="W47" s="5"/>
      <c r="X47" s="5"/>
      <c r="Y47" s="5"/>
      <c r="Z47" s="5"/>
    </row>
    <row r="48" spans="1:27" ht="15" customHeight="1" x14ac:dyDescent="0.25">
      <c r="A48" s="142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3"/>
      <c r="O48" s="177"/>
      <c r="P48" s="178"/>
      <c r="Q48" s="179"/>
      <c r="R48" s="33"/>
      <c r="S48" s="62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42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3"/>
      <c r="O49" s="165"/>
      <c r="P49" s="166"/>
      <c r="Q49" s="167"/>
      <c r="R49" s="34"/>
      <c r="S49" s="62"/>
      <c r="T49" s="6"/>
      <c r="U49" s="6"/>
      <c r="V49" s="6"/>
      <c r="W49" s="6"/>
      <c r="X49" s="6"/>
      <c r="Y49" s="6"/>
      <c r="Z49" s="6"/>
    </row>
    <row r="50" spans="1:26" ht="15" customHeight="1" x14ac:dyDescent="0.25">
      <c r="A50" s="142"/>
      <c r="B50" s="171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165"/>
      <c r="P50" s="166"/>
      <c r="Q50" s="167"/>
      <c r="R50" s="34"/>
      <c r="S50" s="62"/>
      <c r="T50" s="6"/>
      <c r="U50" s="6"/>
      <c r="V50" s="6"/>
      <c r="W50" s="6"/>
      <c r="X50" s="6"/>
      <c r="Y50" s="6"/>
      <c r="Z50" s="6"/>
    </row>
    <row r="51" spans="1:26" ht="15" customHeight="1" x14ac:dyDescent="0.25">
      <c r="A51" s="142"/>
      <c r="B51" s="171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3"/>
      <c r="O51" s="165"/>
      <c r="P51" s="166"/>
      <c r="Q51" s="167"/>
      <c r="R51" s="34"/>
      <c r="S51" s="62"/>
      <c r="T51" s="6"/>
      <c r="U51" s="6"/>
      <c r="V51" s="6"/>
      <c r="W51" s="6"/>
      <c r="X51" s="6"/>
      <c r="Y51" s="6"/>
      <c r="Z51" s="6"/>
    </row>
    <row r="52" spans="1:26" ht="15" customHeight="1" x14ac:dyDescent="0.25">
      <c r="A52" s="142"/>
      <c r="B52" s="171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3"/>
      <c r="O52" s="165"/>
      <c r="P52" s="166"/>
      <c r="Q52" s="167"/>
      <c r="R52" s="34"/>
      <c r="S52" s="62"/>
      <c r="T52" s="6"/>
      <c r="U52" s="6"/>
      <c r="V52" s="6"/>
      <c r="W52" s="6"/>
      <c r="X52" s="6"/>
      <c r="Y52" s="6"/>
      <c r="Z52" s="6"/>
    </row>
    <row r="53" spans="1:26" ht="15" customHeight="1" x14ac:dyDescent="0.25">
      <c r="A53" s="142"/>
      <c r="B53" s="171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3"/>
      <c r="O53" s="165"/>
      <c r="P53" s="166"/>
      <c r="Q53" s="167"/>
      <c r="R53" s="34"/>
      <c r="S53" s="62"/>
      <c r="T53" s="6"/>
      <c r="U53" s="6"/>
      <c r="V53" s="6"/>
      <c r="W53" s="6"/>
      <c r="X53" s="6"/>
      <c r="Y53" s="6"/>
      <c r="Z53" s="6"/>
    </row>
    <row r="54" spans="1:26" ht="15" customHeight="1" thickBot="1" x14ac:dyDescent="0.3">
      <c r="A54" s="142"/>
      <c r="B54" s="171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3"/>
      <c r="O54" s="144"/>
      <c r="P54" s="145"/>
      <c r="Q54" s="146"/>
      <c r="R54" s="34"/>
      <c r="S54" s="62"/>
      <c r="T54" s="6"/>
      <c r="U54" s="6"/>
      <c r="V54" s="6"/>
      <c r="W54" s="6"/>
      <c r="X54" s="6"/>
      <c r="Y54" s="6"/>
      <c r="Z54" s="6"/>
    </row>
    <row r="55" spans="1:26" ht="15.75" customHeight="1" thickBot="1" x14ac:dyDescent="0.3">
      <c r="A55" s="142"/>
      <c r="B55" s="174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6"/>
      <c r="O55" s="147" t="s">
        <v>16</v>
      </c>
      <c r="P55" s="148"/>
      <c r="Q55" s="149"/>
      <c r="R55" s="35">
        <f>SUM(R48:R54)</f>
        <v>0</v>
      </c>
      <c r="S55" s="63"/>
      <c r="T55" s="6"/>
      <c r="U55" s="6"/>
      <c r="V55" s="6"/>
      <c r="W55" s="6"/>
      <c r="X55" s="6"/>
      <c r="Y55" s="6"/>
      <c r="Z55" s="6"/>
    </row>
    <row r="56" spans="1:26" ht="15.75" thickBot="1" x14ac:dyDescent="0.3">
      <c r="A56" s="142"/>
    </row>
    <row r="57" spans="1:26" ht="51.75" customHeight="1" thickBot="1" x14ac:dyDescent="0.3">
      <c r="A57" s="143"/>
      <c r="B57" s="150" t="s">
        <v>18</v>
      </c>
      <c r="C57" s="151"/>
      <c r="D57" s="151"/>
      <c r="E57" s="151"/>
      <c r="F57" s="151"/>
      <c r="G57" s="151"/>
      <c r="H57" s="151"/>
      <c r="I57" s="151"/>
      <c r="J57" s="151"/>
      <c r="K57" s="151"/>
      <c r="L57" s="152"/>
      <c r="M57" s="113"/>
      <c r="N57" s="112" t="s">
        <v>16</v>
      </c>
      <c r="O57" s="153">
        <f>O45-SUM(R48:R54)</f>
        <v>865338</v>
      </c>
      <c r="P57" s="154"/>
      <c r="Q57" s="154"/>
      <c r="R57" s="154"/>
      <c r="S57" s="154"/>
      <c r="T57" s="154"/>
      <c r="U57" s="155"/>
      <c r="V57" s="72"/>
      <c r="W57" s="72"/>
      <c r="X57" s="72"/>
      <c r="Y57" s="72"/>
      <c r="Z57" s="72"/>
    </row>
    <row r="58" spans="1:26" ht="15.75" customHeight="1" x14ac:dyDescent="0.25">
      <c r="A58" s="30"/>
      <c r="P58" s="28"/>
      <c r="Q58" s="28"/>
      <c r="R58" s="28"/>
      <c r="S58" s="28"/>
      <c r="U58" s="115"/>
      <c r="V58" s="115"/>
      <c r="W58" s="115"/>
      <c r="X58" s="115"/>
      <c r="Y58" s="115"/>
      <c r="Z58" s="115"/>
    </row>
    <row r="59" spans="1:26" ht="15" customHeight="1" x14ac:dyDescent="0.25">
      <c r="A59" s="30"/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  <row r="61" spans="1:26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</row>
    <row r="62" spans="1:26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</row>
    <row r="63" spans="1:26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</row>
    <row r="64" spans="1:26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</row>
    <row r="65" spans="16:26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</row>
    <row r="66" spans="16:26" ht="15.7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</row>
  </sheetData>
  <mergeCells count="24">
    <mergeCell ref="A5:A28"/>
    <mergeCell ref="B2:N2"/>
    <mergeCell ref="O2:Z2"/>
    <mergeCell ref="A31:A57"/>
    <mergeCell ref="B31:M34"/>
    <mergeCell ref="B36:M38"/>
    <mergeCell ref="B40:M41"/>
    <mergeCell ref="O41:Z41"/>
    <mergeCell ref="B42:M43"/>
    <mergeCell ref="O43:Z43"/>
    <mergeCell ref="O54:Q54"/>
    <mergeCell ref="O55:Q55"/>
    <mergeCell ref="B57:L57"/>
    <mergeCell ref="O57:U57"/>
    <mergeCell ref="B44:M45"/>
    <mergeCell ref="O45:Z45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AA5:AA28">
    <cfRule type="cellIs" dxfId="119" priority="1" operator="lessThan">
      <formula>20</formula>
    </cfRule>
    <cfRule type="cellIs" dxfId="118" priority="2" operator="between">
      <formula>20</formula>
      <formula>29</formula>
    </cfRule>
    <cfRule type="cellIs" dxfId="11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0744-3996-47F5-9A7C-AE00EB084254}">
  <sheetPr codeName="Hoja5">
    <pageSetUpPr autoPageBreaks="0"/>
  </sheetPr>
  <dimension ref="A1:AC67"/>
  <sheetViews>
    <sheetView tabSelected="1" zoomScale="85" zoomScaleNormal="85" zoomScalePageLayoutView="85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N11" sqref="N1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38" t="s">
        <v>38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40"/>
      <c r="O2" s="136" t="s">
        <v>11</v>
      </c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6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outlineLevel="1" x14ac:dyDescent="0.25">
      <c r="A5" s="128"/>
      <c r="B5" s="54" t="s">
        <v>63</v>
      </c>
      <c r="C5" s="51" t="s">
        <v>90</v>
      </c>
      <c r="D5" s="51" t="s">
        <v>91</v>
      </c>
      <c r="E5" s="51" t="s">
        <v>40</v>
      </c>
      <c r="F5" s="51" t="s">
        <v>92</v>
      </c>
      <c r="G5" s="51" t="s">
        <v>93</v>
      </c>
      <c r="H5" s="51" t="s">
        <v>41</v>
      </c>
      <c r="I5" s="55">
        <v>56966477967</v>
      </c>
      <c r="J5" s="26" t="s">
        <v>94</v>
      </c>
      <c r="K5" s="26" t="s">
        <v>64</v>
      </c>
      <c r="L5" s="49" t="s">
        <v>142</v>
      </c>
      <c r="M5" s="49" t="s">
        <v>143</v>
      </c>
      <c r="N5" s="51">
        <f>SUMPRODUCT(Tabla5236[[#This Row],[Naranjas]:[Arandanos]],O$39:AA$39)</f>
        <v>92500</v>
      </c>
      <c r="O5" s="49">
        <v>0</v>
      </c>
      <c r="P5" s="49">
        <v>0</v>
      </c>
      <c r="Q5" s="49">
        <v>2</v>
      </c>
      <c r="R5" s="49">
        <v>1</v>
      </c>
      <c r="S5" s="49">
        <v>3</v>
      </c>
      <c r="T5" s="49">
        <v>0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6</v>
      </c>
      <c r="AA5" s="49">
        <v>0</v>
      </c>
      <c r="AB5" s="49">
        <f>SUM(Tabla5236[[#This Row],[Naranjas]:[Arandanos]])</f>
        <v>13</v>
      </c>
      <c r="AC5" s="57"/>
    </row>
    <row r="6" spans="1:29" outlineLevel="1" x14ac:dyDescent="0.25">
      <c r="A6" s="128"/>
      <c r="B6" s="56" t="s">
        <v>69</v>
      </c>
      <c r="C6" s="47" t="s">
        <v>87</v>
      </c>
      <c r="D6" s="47" t="s">
        <v>88</v>
      </c>
      <c r="E6" s="47" t="s">
        <v>40</v>
      </c>
      <c r="F6" s="47" t="s">
        <v>58</v>
      </c>
      <c r="G6" s="47" t="s">
        <v>62</v>
      </c>
      <c r="H6" s="47" t="s">
        <v>41</v>
      </c>
      <c r="I6" s="53">
        <v>56975684552</v>
      </c>
      <c r="J6" s="27" t="s">
        <v>89</v>
      </c>
      <c r="K6" s="27" t="s">
        <v>64</v>
      </c>
      <c r="L6" s="52" t="s">
        <v>142</v>
      </c>
      <c r="M6" s="52" t="s">
        <v>143</v>
      </c>
      <c r="N6" s="47">
        <f>SUMPRODUCT(Tabla5236[[#This Row],[Naranjas]:[Arandanos]],O$39:AA$39)</f>
        <v>125500</v>
      </c>
      <c r="O6" s="52">
        <v>0</v>
      </c>
      <c r="P6" s="52">
        <v>0</v>
      </c>
      <c r="Q6" s="52">
        <v>1</v>
      </c>
      <c r="R6" s="52">
        <v>0</v>
      </c>
      <c r="S6" s="52">
        <v>8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8</v>
      </c>
      <c r="AA6" s="52">
        <v>2</v>
      </c>
      <c r="AB6" s="52">
        <f>SUM(Tabla5236[[#This Row],[Naranjas]:[Arandanos]])</f>
        <v>19</v>
      </c>
      <c r="AC6" s="58"/>
    </row>
    <row r="7" spans="1:29" outlineLevel="1" x14ac:dyDescent="0.25">
      <c r="A7" s="128"/>
      <c r="B7" s="56" t="s">
        <v>157</v>
      </c>
      <c r="C7" s="47" t="s">
        <v>158</v>
      </c>
      <c r="D7" s="47" t="s">
        <v>159</v>
      </c>
      <c r="E7" s="47" t="s">
        <v>40</v>
      </c>
      <c r="F7" s="47" t="s">
        <v>58</v>
      </c>
      <c r="G7" s="47" t="s">
        <v>160</v>
      </c>
      <c r="H7" s="47" t="s">
        <v>41</v>
      </c>
      <c r="I7" s="53">
        <v>56968320616</v>
      </c>
      <c r="J7" s="27" t="s">
        <v>161</v>
      </c>
      <c r="K7" s="27" t="s">
        <v>64</v>
      </c>
      <c r="L7" s="52" t="s">
        <v>142</v>
      </c>
      <c r="M7" s="52" t="s">
        <v>143</v>
      </c>
      <c r="N7" s="47">
        <f>SUMPRODUCT(Tabla5236[[#This Row],[Naranjas]:[Arandanos]],O$39:AA$39)</f>
        <v>54000</v>
      </c>
      <c r="O7" s="52">
        <v>0</v>
      </c>
      <c r="P7" s="52">
        <v>0</v>
      </c>
      <c r="Q7" s="52">
        <v>1</v>
      </c>
      <c r="R7" s="52">
        <v>1</v>
      </c>
      <c r="S7" s="52">
        <v>3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3</v>
      </c>
      <c r="AA7" s="52">
        <v>0</v>
      </c>
      <c r="AB7" s="52">
        <f>SUM(Tabla5236[[#This Row],[Naranjas]:[Arandanos]])</f>
        <v>8</v>
      </c>
      <c r="AC7" s="58"/>
    </row>
    <row r="8" spans="1:29" outlineLevel="1" x14ac:dyDescent="0.25">
      <c r="A8" s="128"/>
      <c r="B8" s="50" t="s">
        <v>124</v>
      </c>
      <c r="C8" s="48" t="s">
        <v>125</v>
      </c>
      <c r="D8" s="59" t="s">
        <v>126</v>
      </c>
      <c r="E8" s="59" t="s">
        <v>40</v>
      </c>
      <c r="F8" s="59" t="s">
        <v>58</v>
      </c>
      <c r="G8" s="59" t="s">
        <v>93</v>
      </c>
      <c r="H8" s="59" t="s">
        <v>41</v>
      </c>
      <c r="I8" s="60">
        <v>56974397201</v>
      </c>
      <c r="J8" s="27" t="s">
        <v>127</v>
      </c>
      <c r="K8" s="27" t="s">
        <v>64</v>
      </c>
      <c r="L8" s="52" t="s">
        <v>142</v>
      </c>
      <c r="M8" s="52" t="s">
        <v>143</v>
      </c>
      <c r="N8" s="47">
        <f>SUMPRODUCT(Tabla5236[[#This Row],[Naranjas]:[Arandanos]],O$39:AA$39)</f>
        <v>71000</v>
      </c>
      <c r="O8" s="52">
        <v>0</v>
      </c>
      <c r="P8" s="52">
        <v>0</v>
      </c>
      <c r="Q8" s="52">
        <v>0</v>
      </c>
      <c r="R8" s="52">
        <v>0</v>
      </c>
      <c r="S8" s="52">
        <v>1</v>
      </c>
      <c r="T8" s="52">
        <v>0</v>
      </c>
      <c r="U8" s="52">
        <v>1</v>
      </c>
      <c r="V8" s="52">
        <v>0</v>
      </c>
      <c r="W8" s="52">
        <v>0</v>
      </c>
      <c r="X8" s="52">
        <v>0</v>
      </c>
      <c r="Y8" s="52">
        <v>0</v>
      </c>
      <c r="Z8" s="52">
        <v>5</v>
      </c>
      <c r="AA8" s="52">
        <v>3</v>
      </c>
      <c r="AB8" s="52">
        <f>SUM(Tabla5236[[#This Row],[Naranjas]:[Arandanos]])</f>
        <v>10</v>
      </c>
      <c r="AC8" s="58"/>
    </row>
    <row r="9" spans="1:29" outlineLevel="1" x14ac:dyDescent="0.25">
      <c r="A9" s="128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142</v>
      </c>
      <c r="M9" s="52" t="s">
        <v>143</v>
      </c>
      <c r="N9" s="47">
        <f>SUMPRODUCT(Tabla5236[[#This Row],[Naranjas]:[Arandanos]],O$39:AA$39)</f>
        <v>77500</v>
      </c>
      <c r="O9" s="52">
        <v>0</v>
      </c>
      <c r="P9" s="52">
        <v>0</v>
      </c>
      <c r="Q9" s="52">
        <v>3</v>
      </c>
      <c r="R9" s="52">
        <v>1</v>
      </c>
      <c r="S9" s="52">
        <v>1</v>
      </c>
      <c r="T9" s="52">
        <v>1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5</v>
      </c>
      <c r="AA9" s="52">
        <v>0</v>
      </c>
      <c r="AB9" s="52">
        <f>SUM(Tabla5236[[#This Row],[Naranjas]:[Arandanos]])</f>
        <v>11</v>
      </c>
      <c r="AC9" s="58"/>
    </row>
    <row r="10" spans="1:29" outlineLevel="1" x14ac:dyDescent="0.25">
      <c r="A10" s="128"/>
      <c r="B10" s="50" t="s">
        <v>180</v>
      </c>
      <c r="C10" s="48" t="s">
        <v>181</v>
      </c>
      <c r="D10" s="59" t="s">
        <v>182</v>
      </c>
      <c r="E10" s="59" t="s">
        <v>40</v>
      </c>
      <c r="F10" s="59" t="s">
        <v>92</v>
      </c>
      <c r="G10" s="59" t="s">
        <v>118</v>
      </c>
      <c r="H10" s="59" t="s">
        <v>41</v>
      </c>
      <c r="I10" s="60">
        <v>56991592586</v>
      </c>
      <c r="J10" s="27" t="s">
        <v>183</v>
      </c>
      <c r="K10" s="27" t="s">
        <v>42</v>
      </c>
      <c r="L10" s="52" t="s">
        <v>142</v>
      </c>
      <c r="M10" s="52" t="s">
        <v>143</v>
      </c>
      <c r="N10" s="70">
        <f>SUMPRODUCT(Tabla5236[[#This Row],[Naranjas]:[Arandanos]],O$39:AA$39)</f>
        <v>119000</v>
      </c>
      <c r="O10" s="52">
        <v>0</v>
      </c>
      <c r="P10" s="52">
        <v>0</v>
      </c>
      <c r="Q10" s="52">
        <v>4</v>
      </c>
      <c r="R10" s="52">
        <v>1</v>
      </c>
      <c r="S10" s="52">
        <v>8</v>
      </c>
      <c r="T10" s="52">
        <v>1</v>
      </c>
      <c r="U10" s="52">
        <v>0</v>
      </c>
      <c r="V10" s="52">
        <v>0</v>
      </c>
      <c r="W10" s="52">
        <v>0</v>
      </c>
      <c r="X10" s="52">
        <v>1</v>
      </c>
      <c r="Y10" s="52">
        <v>1</v>
      </c>
      <c r="Z10" s="52">
        <v>4</v>
      </c>
      <c r="AA10" s="52">
        <v>0</v>
      </c>
      <c r="AB10" s="52">
        <f>SUM(Tabla5236[[#This Row],[Naranjas]:[Arandanos]])</f>
        <v>20</v>
      </c>
      <c r="AC10" s="58"/>
    </row>
    <row r="11" spans="1:29" outlineLevel="1" x14ac:dyDescent="0.25">
      <c r="A11" s="128"/>
      <c r="B11" s="50" t="s">
        <v>53</v>
      </c>
      <c r="C11" s="48" t="s">
        <v>54</v>
      </c>
      <c r="D11" s="59" t="s">
        <v>55</v>
      </c>
      <c r="E11" s="59" t="s">
        <v>50</v>
      </c>
      <c r="F11" s="59" t="s">
        <v>56</v>
      </c>
      <c r="G11" s="59" t="s">
        <v>48</v>
      </c>
      <c r="H11" s="59" t="s">
        <v>41</v>
      </c>
      <c r="I11" s="60">
        <v>56999699652</v>
      </c>
      <c r="J11" s="27" t="s">
        <v>57</v>
      </c>
      <c r="K11" s="27" t="s">
        <v>42</v>
      </c>
      <c r="L11" s="52" t="s">
        <v>142</v>
      </c>
      <c r="M11" s="52" t="s">
        <v>143</v>
      </c>
      <c r="N11" s="47">
        <f>SUMPRODUCT(Tabla5236[[#This Row],[Naranjas]:[Arandanos]],O$39:AA$39)</f>
        <v>384000</v>
      </c>
      <c r="O11" s="52">
        <v>0</v>
      </c>
      <c r="P11" s="52">
        <v>0</v>
      </c>
      <c r="Q11" s="52">
        <v>2</v>
      </c>
      <c r="R11" s="52">
        <v>0</v>
      </c>
      <c r="S11" s="52">
        <v>20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30</v>
      </c>
      <c r="AA11" s="52">
        <v>0</v>
      </c>
      <c r="AB11" s="52">
        <f>SUM(Tabla5236[[#This Row],[Naranjas]:[Arandanos]])</f>
        <v>52</v>
      </c>
      <c r="AC11" s="58"/>
    </row>
    <row r="12" spans="1:29" outlineLevel="1" x14ac:dyDescent="0.25">
      <c r="A12" s="128"/>
      <c r="B12" s="50" t="s">
        <v>133</v>
      </c>
      <c r="C12" s="48" t="s">
        <v>134</v>
      </c>
      <c r="D12" s="59" t="s">
        <v>136</v>
      </c>
      <c r="E12" s="59" t="s">
        <v>50</v>
      </c>
      <c r="F12" s="59" t="s">
        <v>109</v>
      </c>
      <c r="G12" s="59" t="s">
        <v>48</v>
      </c>
      <c r="H12" s="59" t="s">
        <v>41</v>
      </c>
      <c r="I12" s="60">
        <v>56997792386</v>
      </c>
      <c r="J12" s="27" t="s">
        <v>135</v>
      </c>
      <c r="K12" s="27" t="s">
        <v>52</v>
      </c>
      <c r="L12" s="52" t="s">
        <v>142</v>
      </c>
      <c r="M12" s="52" t="s">
        <v>143</v>
      </c>
      <c r="N12" s="70">
        <f>SUMPRODUCT(Tabla5236[[#This Row],[Naranjas]:[Arandanos]],O$39:AA$39)</f>
        <v>155500</v>
      </c>
      <c r="O12" s="52">
        <v>0</v>
      </c>
      <c r="P12" s="52">
        <v>0</v>
      </c>
      <c r="Q12" s="52">
        <v>1</v>
      </c>
      <c r="R12" s="52">
        <v>0</v>
      </c>
      <c r="S12" s="52">
        <v>3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11+3</f>
        <v>14</v>
      </c>
      <c r="AA12" s="52">
        <v>1</v>
      </c>
      <c r="AB12" s="52">
        <f>SUM(Tabla5236[[#This Row],[Naranjas]:[Arandanos]])</f>
        <v>19</v>
      </c>
      <c r="AC12" s="58"/>
    </row>
    <row r="13" spans="1:29" outlineLevel="1" x14ac:dyDescent="0.25">
      <c r="A13" s="128"/>
      <c r="B13" s="56" t="s">
        <v>69</v>
      </c>
      <c r="C13" s="47" t="s">
        <v>61</v>
      </c>
      <c r="D13" s="47" t="s">
        <v>70</v>
      </c>
      <c r="E13" s="47" t="s">
        <v>40</v>
      </c>
      <c r="F13" s="47" t="s">
        <v>58</v>
      </c>
      <c r="G13" s="47" t="s">
        <v>48</v>
      </c>
      <c r="H13" s="47" t="s">
        <v>41</v>
      </c>
      <c r="I13" s="53">
        <v>56986194003</v>
      </c>
      <c r="J13" s="27" t="s">
        <v>71</v>
      </c>
      <c r="K13" s="27" t="s">
        <v>52</v>
      </c>
      <c r="L13" s="52" t="s">
        <v>142</v>
      </c>
      <c r="M13" s="52" t="s">
        <v>143</v>
      </c>
      <c r="N13" s="47">
        <f>SUMPRODUCT(Tabla5236[[#This Row],[Naranjas]:[Arandanos]],O$39:AA$39)</f>
        <v>45000</v>
      </c>
      <c r="O13" s="52">
        <v>0</v>
      </c>
      <c r="P13" s="52">
        <v>0</v>
      </c>
      <c r="Q13" s="52">
        <v>10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0</v>
      </c>
      <c r="AB13" s="52">
        <f>SUM(Tabla5236[[#This Row],[Naranjas]:[Arandanos]])</f>
        <v>10</v>
      </c>
      <c r="AC13" s="58"/>
    </row>
    <row r="14" spans="1:29" outlineLevel="1" x14ac:dyDescent="0.25">
      <c r="A14" s="128"/>
      <c r="B14" s="56" t="s">
        <v>150</v>
      </c>
      <c r="C14" s="47" t="s">
        <v>151</v>
      </c>
      <c r="D14" s="47" t="s">
        <v>152</v>
      </c>
      <c r="E14" s="47" t="s">
        <v>40</v>
      </c>
      <c r="F14" s="47" t="s">
        <v>58</v>
      </c>
      <c r="G14" s="47" t="s">
        <v>148</v>
      </c>
      <c r="H14" s="47" t="s">
        <v>41</v>
      </c>
      <c r="I14" s="53">
        <v>56979891544</v>
      </c>
      <c r="J14" s="27" t="s">
        <v>153</v>
      </c>
      <c r="K14" s="27" t="s">
        <v>52</v>
      </c>
      <c r="L14" s="52" t="s">
        <v>143</v>
      </c>
      <c r="M14" s="52" t="s">
        <v>143</v>
      </c>
      <c r="N14" s="47">
        <f>SUMPRODUCT(Tabla5236[[#This Row],[Naranjas]:[Arandanos]],O$39:AA$39)</f>
        <v>9500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1</v>
      </c>
      <c r="AA14" s="52">
        <v>0</v>
      </c>
      <c r="AB14" s="52">
        <f>SUM(Tabla5236[[#This Row],[Naranjas]:[Arandanos]])</f>
        <v>1</v>
      </c>
      <c r="AC14" s="58"/>
    </row>
    <row r="15" spans="1:29" outlineLevel="1" x14ac:dyDescent="0.25">
      <c r="A15" s="128"/>
      <c r="B15" s="56" t="s">
        <v>76</v>
      </c>
      <c r="C15" s="47" t="s">
        <v>77</v>
      </c>
      <c r="D15" s="47" t="s">
        <v>78</v>
      </c>
      <c r="E15" s="47" t="s">
        <v>40</v>
      </c>
      <c r="F15" s="47" t="s">
        <v>58</v>
      </c>
      <c r="G15" s="47" t="s">
        <v>60</v>
      </c>
      <c r="H15" s="47" t="s">
        <v>41</v>
      </c>
      <c r="I15" s="53">
        <v>56952304675</v>
      </c>
      <c r="J15" s="27" t="s">
        <v>79</v>
      </c>
      <c r="K15" s="27" t="s">
        <v>52</v>
      </c>
      <c r="L15" s="52" t="s">
        <v>142</v>
      </c>
      <c r="M15" s="52" t="s">
        <v>143</v>
      </c>
      <c r="N15" s="47">
        <f>SUMPRODUCT(Tabla5236[[#This Row],[Naranjas]:[Arandanos]],O$39:AA$39)</f>
        <v>298000</v>
      </c>
      <c r="O15" s="52">
        <v>0</v>
      </c>
      <c r="P15" s="52">
        <v>0</v>
      </c>
      <c r="Q15" s="52">
        <v>16</v>
      </c>
      <c r="R15" s="52">
        <v>3</v>
      </c>
      <c r="S15" s="52">
        <v>12</v>
      </c>
      <c r="T15" s="52">
        <v>1</v>
      </c>
      <c r="U15" s="52">
        <v>0</v>
      </c>
      <c r="V15" s="52">
        <v>0</v>
      </c>
      <c r="W15" s="52">
        <v>0</v>
      </c>
      <c r="X15" s="52">
        <v>1</v>
      </c>
      <c r="Y15" s="52">
        <v>0</v>
      </c>
      <c r="Z15" s="52">
        <f>12+2</f>
        <v>14</v>
      </c>
      <c r="AA15" s="52">
        <v>1</v>
      </c>
      <c r="AB15" s="52">
        <f>SUM(Tabla5236[[#This Row],[Naranjas]:[Arandanos]])</f>
        <v>48</v>
      </c>
      <c r="AC15" s="58"/>
    </row>
    <row r="16" spans="1:29" outlineLevel="1" x14ac:dyDescent="0.25">
      <c r="A16" s="128"/>
      <c r="B16" s="56" t="s">
        <v>205</v>
      </c>
      <c r="C16" s="47" t="s">
        <v>206</v>
      </c>
      <c r="D16" s="47" t="s">
        <v>207</v>
      </c>
      <c r="E16" s="47" t="s">
        <v>40</v>
      </c>
      <c r="F16" s="47" t="s">
        <v>58</v>
      </c>
      <c r="G16" s="47" t="s">
        <v>62</v>
      </c>
      <c r="H16" s="47" t="s">
        <v>41</v>
      </c>
      <c r="I16" s="53">
        <v>56987143347</v>
      </c>
      <c r="J16" s="27" t="s">
        <v>208</v>
      </c>
      <c r="K16" s="27" t="s">
        <v>52</v>
      </c>
      <c r="L16" s="52" t="s">
        <v>142</v>
      </c>
      <c r="M16" s="52" t="s">
        <v>143</v>
      </c>
      <c r="N16" s="47">
        <f>SUMPRODUCT(Tabla5236[[#This Row],[Naranjas]:[Arandanos]],O$39:AA$39)</f>
        <v>14500</v>
      </c>
      <c r="O16" s="52">
        <v>0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1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v>0</v>
      </c>
      <c r="AB16" s="52">
        <f>SUM(Tabla5236[[#This Row],[Naranjas]:[Arandanos]])</f>
        <v>3</v>
      </c>
      <c r="AC16" s="58"/>
    </row>
    <row r="17" spans="1:29" outlineLevel="1" x14ac:dyDescent="0.25">
      <c r="A17" s="128"/>
      <c r="B17" s="56" t="s">
        <v>162</v>
      </c>
      <c r="C17" s="47" t="s">
        <v>163</v>
      </c>
      <c r="D17" s="47" t="s">
        <v>164</v>
      </c>
      <c r="E17" s="47" t="s">
        <v>46</v>
      </c>
      <c r="F17" s="47" t="s">
        <v>51</v>
      </c>
      <c r="G17" s="47" t="s">
        <v>140</v>
      </c>
      <c r="H17" s="47" t="s">
        <v>41</v>
      </c>
      <c r="I17" s="53">
        <v>56956481962</v>
      </c>
      <c r="J17" s="27" t="s">
        <v>165</v>
      </c>
      <c r="K17" s="27" t="s">
        <v>52</v>
      </c>
      <c r="L17" s="52" t="s">
        <v>142</v>
      </c>
      <c r="M17" s="52" t="s">
        <v>143</v>
      </c>
      <c r="N17" s="47">
        <f>SUMPRODUCT(Tabla5236[[#This Row],[Naranjas]:[Arandanos]],O$39:AA$39)</f>
        <v>49000</v>
      </c>
      <c r="O17" s="52">
        <v>0</v>
      </c>
      <c r="P17" s="52">
        <v>0</v>
      </c>
      <c r="Q17" s="52">
        <v>0</v>
      </c>
      <c r="R17" s="52">
        <v>0</v>
      </c>
      <c r="S17" s="52">
        <v>1</v>
      </c>
      <c r="T17" s="52">
        <v>0</v>
      </c>
      <c r="U17" s="52">
        <v>0</v>
      </c>
      <c r="V17" s="52">
        <v>0</v>
      </c>
      <c r="W17" s="52">
        <v>1</v>
      </c>
      <c r="X17" s="52">
        <v>1</v>
      </c>
      <c r="Y17" s="52">
        <v>0</v>
      </c>
      <c r="Z17" s="52">
        <v>3</v>
      </c>
      <c r="AA17" s="52">
        <v>0</v>
      </c>
      <c r="AB17" s="52">
        <f>SUM(Tabla5236[[#This Row],[Naranjas]:[Arandanos]])</f>
        <v>6</v>
      </c>
      <c r="AC17" s="58"/>
    </row>
    <row r="18" spans="1:29" outlineLevel="1" x14ac:dyDescent="0.25">
      <c r="A18" s="128"/>
      <c r="B18" s="56" t="s">
        <v>65</v>
      </c>
      <c r="C18" s="47" t="s">
        <v>66</v>
      </c>
      <c r="D18" s="47" t="s">
        <v>67</v>
      </c>
      <c r="E18" s="47" t="s">
        <v>40</v>
      </c>
      <c r="F18" s="47" t="s">
        <v>58</v>
      </c>
      <c r="G18" s="47" t="s">
        <v>48</v>
      </c>
      <c r="H18" s="47" t="s">
        <v>41</v>
      </c>
      <c r="I18" s="53">
        <v>56967898535</v>
      </c>
      <c r="J18" s="27" t="s">
        <v>68</v>
      </c>
      <c r="K18" s="27" t="s">
        <v>64</v>
      </c>
      <c r="L18" s="52" t="s">
        <v>142</v>
      </c>
      <c r="M18" s="52" t="s">
        <v>142</v>
      </c>
      <c r="N18" s="47">
        <f>SUMPRODUCT(Tabla5236[[#This Row],[Naranjas]:[Arandanos]],O$39:AA$39)</f>
        <v>169500</v>
      </c>
      <c r="O18" s="52">
        <v>0</v>
      </c>
      <c r="P18" s="52">
        <v>0</v>
      </c>
      <c r="Q18" s="52">
        <v>1</v>
      </c>
      <c r="R18" s="52">
        <v>2</v>
      </c>
      <c r="S18" s="52">
        <v>2</v>
      </c>
      <c r="T18" s="52">
        <v>2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12</f>
        <v>12</v>
      </c>
      <c r="AA18" s="52">
        <v>4</v>
      </c>
      <c r="AB18" s="52">
        <f>SUM(Tabla5236[[#This Row],[Naranjas]:[Arandanos]])</f>
        <v>23</v>
      </c>
      <c r="AC18" s="58"/>
    </row>
    <row r="19" spans="1:29" outlineLevel="1" x14ac:dyDescent="0.25">
      <c r="A19" s="128"/>
      <c r="B19" s="50" t="s">
        <v>177</v>
      </c>
      <c r="C19" s="48" t="s">
        <v>178</v>
      </c>
      <c r="D19" s="59" t="s">
        <v>223</v>
      </c>
      <c r="E19" s="59" t="s">
        <v>40</v>
      </c>
      <c r="F19" s="59" t="s">
        <v>92</v>
      </c>
      <c r="G19" s="59" t="s">
        <v>148</v>
      </c>
      <c r="H19" s="59" t="s">
        <v>41</v>
      </c>
      <c r="I19" s="60">
        <v>56992704205</v>
      </c>
      <c r="J19" s="27" t="s">
        <v>224</v>
      </c>
      <c r="K19" s="27" t="s">
        <v>64</v>
      </c>
      <c r="L19" s="52" t="s">
        <v>142</v>
      </c>
      <c r="M19" s="52" t="s">
        <v>142</v>
      </c>
      <c r="N19" s="70">
        <f>SUMPRODUCT(Tabla5236[[#This Row],[Naranjas]:[Arandanos]],O$39:AA$39)</f>
        <v>63000</v>
      </c>
      <c r="O19" s="52">
        <v>0</v>
      </c>
      <c r="P19" s="52">
        <v>0</v>
      </c>
      <c r="Q19" s="52">
        <v>0</v>
      </c>
      <c r="R19" s="52">
        <v>1</v>
      </c>
      <c r="S19" s="52">
        <v>1</v>
      </c>
      <c r="T19" s="52">
        <v>1</v>
      </c>
      <c r="U19" s="52">
        <v>0</v>
      </c>
      <c r="V19" s="52">
        <v>0</v>
      </c>
      <c r="W19" s="52">
        <v>1</v>
      </c>
      <c r="X19" s="52">
        <v>0</v>
      </c>
      <c r="Y19" s="52">
        <v>0</v>
      </c>
      <c r="Z19" s="52">
        <v>4</v>
      </c>
      <c r="AA19" s="52">
        <v>0</v>
      </c>
      <c r="AB19" s="52">
        <f>SUM(Tabla5236[[#This Row],[Naranjas]:[Arandanos]])</f>
        <v>8</v>
      </c>
      <c r="AC19" s="58"/>
    </row>
    <row r="20" spans="1:29" outlineLevel="1" x14ac:dyDescent="0.25">
      <c r="A20" s="128"/>
      <c r="B20" s="50" t="s">
        <v>200</v>
      </c>
      <c r="C20" s="48" t="s">
        <v>215</v>
      </c>
      <c r="D20" s="59" t="s">
        <v>216</v>
      </c>
      <c r="E20" s="59" t="s">
        <v>46</v>
      </c>
      <c r="F20" s="59" t="s">
        <v>51</v>
      </c>
      <c r="G20" s="59" t="s">
        <v>217</v>
      </c>
      <c r="H20" s="59" t="s">
        <v>41</v>
      </c>
      <c r="I20" s="60">
        <v>56999194650</v>
      </c>
      <c r="J20" s="27" t="s">
        <v>218</v>
      </c>
      <c r="K20" s="27" t="s">
        <v>42</v>
      </c>
      <c r="L20" s="52" t="s">
        <v>142</v>
      </c>
      <c r="M20" s="52" t="s">
        <v>142</v>
      </c>
      <c r="N20" s="70">
        <f>SUMPRODUCT(Tabla5236[[#This Row],[Naranjas]:[Arandanos]],O$39:AA$39)</f>
        <v>77000</v>
      </c>
      <c r="O20" s="52">
        <v>0</v>
      </c>
      <c r="P20" s="52">
        <v>0</v>
      </c>
      <c r="Q20" s="52">
        <v>2</v>
      </c>
      <c r="R20" s="52">
        <v>1</v>
      </c>
      <c r="S20" s="52">
        <v>3</v>
      </c>
      <c r="T20" s="52">
        <v>1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4</v>
      </c>
      <c r="AA20" s="52">
        <v>1</v>
      </c>
      <c r="AB20" s="52">
        <f>SUM(Tabla5236[[#This Row],[Naranjas]:[Arandanos]])</f>
        <v>12</v>
      </c>
      <c r="AC20" s="58"/>
    </row>
    <row r="21" spans="1:29" outlineLevel="1" x14ac:dyDescent="0.25">
      <c r="A21" s="128"/>
      <c r="B21" s="50" t="s">
        <v>219</v>
      </c>
      <c r="C21" s="48" t="s">
        <v>220</v>
      </c>
      <c r="D21" s="59" t="s">
        <v>225</v>
      </c>
      <c r="E21" s="59" t="s">
        <v>50</v>
      </c>
      <c r="F21" s="59" t="s">
        <v>109</v>
      </c>
      <c r="G21" s="59" t="s">
        <v>48</v>
      </c>
      <c r="H21" s="59" t="s">
        <v>41</v>
      </c>
      <c r="I21" s="60">
        <v>56966685970</v>
      </c>
      <c r="J21" s="27" t="s">
        <v>226</v>
      </c>
      <c r="K21" s="27" t="s">
        <v>42</v>
      </c>
      <c r="L21" s="52" t="s">
        <v>142</v>
      </c>
      <c r="M21" s="52" t="s">
        <v>142</v>
      </c>
      <c r="N21" s="70">
        <f>SUMPRODUCT(Tabla5236[[#This Row],[Naranjas]:[Arandanos]],O$39:AA$39)</f>
        <v>82500</v>
      </c>
      <c r="O21" s="52">
        <v>0</v>
      </c>
      <c r="P21" s="52">
        <v>0</v>
      </c>
      <c r="Q21" s="52">
        <v>2</v>
      </c>
      <c r="R21" s="52">
        <v>2</v>
      </c>
      <c r="S21" s="52">
        <v>2</v>
      </c>
      <c r="T21" s="52">
        <v>0</v>
      </c>
      <c r="U21" s="52">
        <v>2</v>
      </c>
      <c r="V21" s="52">
        <v>1</v>
      </c>
      <c r="W21" s="52">
        <v>2</v>
      </c>
      <c r="X21" s="52">
        <v>1</v>
      </c>
      <c r="Y21" s="52">
        <v>0</v>
      </c>
      <c r="Z21" s="52">
        <v>1</v>
      </c>
      <c r="AA21" s="52">
        <v>0</v>
      </c>
      <c r="AB21" s="52">
        <f>SUM(Tabla5236[[#This Row],[Naranjas]:[Arandanos]])</f>
        <v>13</v>
      </c>
      <c r="AC21" s="58"/>
    </row>
    <row r="22" spans="1:29" outlineLevel="1" x14ac:dyDescent="0.25">
      <c r="A22" s="128"/>
      <c r="B22" s="56" t="s">
        <v>195</v>
      </c>
      <c r="C22" s="47" t="s">
        <v>202</v>
      </c>
      <c r="D22" s="47" t="s">
        <v>203</v>
      </c>
      <c r="E22" s="47" t="s">
        <v>50</v>
      </c>
      <c r="F22" s="47" t="s">
        <v>111</v>
      </c>
      <c r="G22" s="47">
        <v>0</v>
      </c>
      <c r="H22" s="47" t="s">
        <v>41</v>
      </c>
      <c r="I22" s="53">
        <v>56954243532</v>
      </c>
      <c r="J22" s="27" t="s">
        <v>204</v>
      </c>
      <c r="K22" s="27" t="s">
        <v>42</v>
      </c>
      <c r="L22" s="52" t="s">
        <v>142</v>
      </c>
      <c r="M22" s="52" t="s">
        <v>142</v>
      </c>
      <c r="N22" s="47">
        <f>SUMPRODUCT(Tabla5236[[#This Row],[Naranjas]:[Arandanos]],O$39:AA$39)</f>
        <v>44500</v>
      </c>
      <c r="O22" s="52">
        <v>0</v>
      </c>
      <c r="P22" s="52">
        <v>0</v>
      </c>
      <c r="Q22" s="52">
        <v>3</v>
      </c>
      <c r="R22" s="52">
        <v>1</v>
      </c>
      <c r="S22" s="52">
        <v>1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2</v>
      </c>
      <c r="AA22" s="52">
        <v>0</v>
      </c>
      <c r="AB22" s="52">
        <f>SUM(Tabla5236[[#This Row],[Naranjas]:[Arandanos]])</f>
        <v>7</v>
      </c>
      <c r="AC22" s="58"/>
    </row>
    <row r="23" spans="1:29" outlineLevel="1" x14ac:dyDescent="0.25">
      <c r="A23" s="128"/>
      <c r="B23" s="56" t="s">
        <v>43</v>
      </c>
      <c r="C23" s="47" t="s">
        <v>44</v>
      </c>
      <c r="D23" s="47" t="s">
        <v>45</v>
      </c>
      <c r="E23" s="47" t="s">
        <v>46</v>
      </c>
      <c r="F23" s="47" t="s">
        <v>47</v>
      </c>
      <c r="G23" s="47" t="s">
        <v>48</v>
      </c>
      <c r="H23" s="47" t="s">
        <v>41</v>
      </c>
      <c r="I23" s="53">
        <v>56942723186</v>
      </c>
      <c r="J23" s="27" t="s">
        <v>49</v>
      </c>
      <c r="K23" s="27" t="s">
        <v>42</v>
      </c>
      <c r="L23" s="52" t="s">
        <v>142</v>
      </c>
      <c r="M23" s="52" t="s">
        <v>142</v>
      </c>
      <c r="N23" s="47">
        <f>SUMPRODUCT(Tabla5236[[#This Row],[Naranjas]:[Arandanos]],O$39:AA$39)</f>
        <v>28000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2</v>
      </c>
      <c r="AA23" s="52">
        <v>2</v>
      </c>
      <c r="AB23" s="52">
        <f>SUM(Tabla5236[[#This Row],[Naranjas]:[Arandanos]])</f>
        <v>4</v>
      </c>
      <c r="AC23" s="58"/>
    </row>
    <row r="24" spans="1:29" outlineLevel="1" x14ac:dyDescent="0.25">
      <c r="A24" s="128"/>
      <c r="B24" s="56" t="s">
        <v>196</v>
      </c>
      <c r="C24" s="47" t="s">
        <v>197</v>
      </c>
      <c r="D24" s="47" t="s">
        <v>198</v>
      </c>
      <c r="E24" s="47" t="s">
        <v>50</v>
      </c>
      <c r="F24" s="47" t="s">
        <v>194</v>
      </c>
      <c r="G24" s="47" t="s">
        <v>140</v>
      </c>
      <c r="H24" s="47" t="s">
        <v>41</v>
      </c>
      <c r="I24" s="53">
        <v>56997267212</v>
      </c>
      <c r="J24" s="27" t="s">
        <v>199</v>
      </c>
      <c r="K24" s="27" t="s">
        <v>52</v>
      </c>
      <c r="L24" s="52" t="s">
        <v>142</v>
      </c>
      <c r="M24" s="52" t="s">
        <v>142</v>
      </c>
      <c r="N24" s="47">
        <f>SUMPRODUCT(Tabla5236[[#This Row],[Naranjas]:[Arandanos]],O$39:AA$39)</f>
        <v>59000</v>
      </c>
      <c r="O24" s="52">
        <v>0</v>
      </c>
      <c r="P24" s="52">
        <v>0</v>
      </c>
      <c r="Q24" s="52">
        <v>3</v>
      </c>
      <c r="R24" s="52">
        <v>1</v>
      </c>
      <c r="S24" s="52">
        <v>1</v>
      </c>
      <c r="T24" s="52">
        <v>0</v>
      </c>
      <c r="U24" s="52">
        <v>1</v>
      </c>
      <c r="V24" s="52">
        <v>1</v>
      </c>
      <c r="W24" s="52">
        <v>0</v>
      </c>
      <c r="X24" s="52">
        <v>0</v>
      </c>
      <c r="Y24" s="52">
        <v>0</v>
      </c>
      <c r="Z24" s="52">
        <v>2</v>
      </c>
      <c r="AA24" s="52">
        <v>1</v>
      </c>
      <c r="AB24" s="52">
        <f>SUM(Tabla5236[[#This Row],[Naranjas]:[Arandanos]])</f>
        <v>10</v>
      </c>
      <c r="AC24" s="58"/>
    </row>
    <row r="25" spans="1:29" outlineLevel="1" x14ac:dyDescent="0.25">
      <c r="A25" s="128"/>
      <c r="B25" s="56" t="s">
        <v>112</v>
      </c>
      <c r="C25" s="47" t="s">
        <v>61</v>
      </c>
      <c r="D25" s="47" t="s">
        <v>113</v>
      </c>
      <c r="E25" s="47" t="s">
        <v>46</v>
      </c>
      <c r="F25" s="47" t="s">
        <v>51</v>
      </c>
      <c r="G25" s="47" t="s">
        <v>110</v>
      </c>
      <c r="H25" s="47" t="s">
        <v>41</v>
      </c>
      <c r="I25" s="53">
        <v>56982978895</v>
      </c>
      <c r="J25" s="27" t="s">
        <v>114</v>
      </c>
      <c r="K25" s="27" t="s">
        <v>52</v>
      </c>
      <c r="L25" s="52" t="s">
        <v>142</v>
      </c>
      <c r="M25" s="52" t="s">
        <v>142</v>
      </c>
      <c r="N25" s="47">
        <f>SUMPRODUCT(Tabla5236[[#This Row],[Naranjas]:[Arandanos]],O$39:AA$39)</f>
        <v>18000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1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0</v>
      </c>
      <c r="AA25" s="52">
        <v>1</v>
      </c>
      <c r="AB25" s="52">
        <f>SUM(Tabla5236[[#This Row],[Naranjas]:[Arandanos]])</f>
        <v>4</v>
      </c>
      <c r="AC25" s="58"/>
    </row>
    <row r="26" spans="1:29" outlineLevel="1" x14ac:dyDescent="0.25">
      <c r="A26" s="128"/>
      <c r="B26" s="56" t="s">
        <v>149</v>
      </c>
      <c r="C26" s="47" t="s">
        <v>154</v>
      </c>
      <c r="D26" s="47" t="s">
        <v>155</v>
      </c>
      <c r="E26" s="47" t="s">
        <v>40</v>
      </c>
      <c r="F26" s="47" t="s">
        <v>92</v>
      </c>
      <c r="G26" s="47" t="s">
        <v>148</v>
      </c>
      <c r="H26" s="47" t="s">
        <v>41</v>
      </c>
      <c r="I26" s="53">
        <v>56988587944</v>
      </c>
      <c r="J26" s="27" t="s">
        <v>156</v>
      </c>
      <c r="K26" s="27" t="s">
        <v>52</v>
      </c>
      <c r="L26" s="52" t="s">
        <v>142</v>
      </c>
      <c r="M26" s="52" t="s">
        <v>142</v>
      </c>
      <c r="N26" s="47">
        <f>SUMPRODUCT(Tabla5236[[#This Row],[Naranjas]:[Arandanos]],O$39:AA$39)</f>
        <v>92500</v>
      </c>
      <c r="O26" s="52">
        <v>0</v>
      </c>
      <c r="P26" s="52">
        <v>0</v>
      </c>
      <c r="Q26" s="52">
        <v>4</v>
      </c>
      <c r="R26" s="52">
        <v>0</v>
      </c>
      <c r="S26" s="52">
        <v>6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f>2+3</f>
        <v>5</v>
      </c>
      <c r="AA26" s="52">
        <v>0</v>
      </c>
      <c r="AB26" s="52">
        <f>SUM(Tabla5236[[#This Row],[Naranjas]:[Arandanos]])</f>
        <v>15</v>
      </c>
      <c r="AC26" s="58"/>
    </row>
    <row r="27" spans="1:29" outlineLevel="1" x14ac:dyDescent="0.25">
      <c r="A27" s="128"/>
      <c r="B27" s="50" t="s">
        <v>209</v>
      </c>
      <c r="C27" s="48" t="s">
        <v>212</v>
      </c>
      <c r="D27" s="59" t="s">
        <v>213</v>
      </c>
      <c r="E27" s="59" t="s">
        <v>173</v>
      </c>
      <c r="F27" s="59" t="s">
        <v>201</v>
      </c>
      <c r="G27" s="59" t="s">
        <v>48</v>
      </c>
      <c r="H27" s="59" t="s">
        <v>41</v>
      </c>
      <c r="I27" s="60">
        <v>56979312762</v>
      </c>
      <c r="J27" s="27" t="s">
        <v>214</v>
      </c>
      <c r="K27" s="27" t="s">
        <v>52</v>
      </c>
      <c r="L27" s="52" t="s">
        <v>142</v>
      </c>
      <c r="M27" s="52" t="s">
        <v>142</v>
      </c>
      <c r="N27" s="70">
        <f>SUMPRODUCT(Tabla5236[[#This Row],[Naranjas]:[Arandanos]],O$39:AA$39)</f>
        <v>247000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26</v>
      </c>
      <c r="AA27" s="52">
        <v>0</v>
      </c>
      <c r="AB27" s="52">
        <f>SUM(Tabla5236[[#This Row],[Naranjas]:[Arandanos]])</f>
        <v>26</v>
      </c>
      <c r="AC27" s="58"/>
    </row>
    <row r="28" spans="1:29" outlineLevel="1" x14ac:dyDescent="0.25">
      <c r="A28" s="128"/>
      <c r="B28" s="50" t="s">
        <v>157</v>
      </c>
      <c r="C28" s="48" t="s">
        <v>184</v>
      </c>
      <c r="D28" s="59" t="s">
        <v>210</v>
      </c>
      <c r="E28" s="59" t="s">
        <v>40</v>
      </c>
      <c r="F28" s="59" t="s">
        <v>58</v>
      </c>
      <c r="G28" s="59" t="s">
        <v>48</v>
      </c>
      <c r="H28" s="59" t="s">
        <v>41</v>
      </c>
      <c r="I28" s="60">
        <v>56997594184</v>
      </c>
      <c r="J28" s="27" t="s">
        <v>211</v>
      </c>
      <c r="K28" s="27" t="s">
        <v>52</v>
      </c>
      <c r="L28" s="52" t="s">
        <v>142</v>
      </c>
      <c r="M28" s="52" t="s">
        <v>142</v>
      </c>
      <c r="N28" s="70">
        <f>SUMPRODUCT(Tabla5236[[#This Row],[Naranjas]:[Arandanos]],O$39:AA$39)</f>
        <v>31500</v>
      </c>
      <c r="O28" s="52">
        <v>0</v>
      </c>
      <c r="P28" s="52">
        <v>0</v>
      </c>
      <c r="Q28" s="52">
        <v>3</v>
      </c>
      <c r="R28" s="52">
        <v>0</v>
      </c>
      <c r="S28" s="52">
        <v>2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2">
        <v>0</v>
      </c>
      <c r="Z28" s="52">
        <v>0</v>
      </c>
      <c r="AA28" s="52">
        <v>2</v>
      </c>
      <c r="AB28" s="52">
        <f>SUM(Tabla5236[[#This Row],[Naranjas]:[Arandanos]])</f>
        <v>7</v>
      </c>
      <c r="AC28" s="58"/>
    </row>
    <row r="29" spans="1:29" ht="15.75" outlineLevel="1" thickBot="1" x14ac:dyDescent="0.3">
      <c r="A29" s="129"/>
      <c r="B29" s="13" t="s">
        <v>120</v>
      </c>
      <c r="C29" s="14" t="s">
        <v>59</v>
      </c>
      <c r="D29" s="65" t="s">
        <v>121</v>
      </c>
      <c r="E29" s="65" t="s">
        <v>40</v>
      </c>
      <c r="F29" s="65" t="s">
        <v>58</v>
      </c>
      <c r="G29" s="65" t="s">
        <v>60</v>
      </c>
      <c r="H29" s="65" t="s">
        <v>41</v>
      </c>
      <c r="I29" s="66">
        <v>56966640363</v>
      </c>
      <c r="J29" s="46" t="s">
        <v>122</v>
      </c>
      <c r="K29" s="46" t="s">
        <v>52</v>
      </c>
      <c r="L29" s="16" t="s">
        <v>142</v>
      </c>
      <c r="M29" s="16" t="s">
        <v>142</v>
      </c>
      <c r="N29" s="71">
        <f>SUMPRODUCT(Tabla5236[[#This Row],[Naranjas]:[Arandanos]],O$39:AA$39)</f>
        <v>387000</v>
      </c>
      <c r="O29" s="16">
        <v>0</v>
      </c>
      <c r="P29" s="16">
        <v>0</v>
      </c>
      <c r="Q29" s="16">
        <v>1</v>
      </c>
      <c r="R29" s="16">
        <v>0</v>
      </c>
      <c r="S29" s="16">
        <v>11</v>
      </c>
      <c r="T29" s="16">
        <v>1</v>
      </c>
      <c r="U29" s="16">
        <v>1</v>
      </c>
      <c r="V29" s="16">
        <v>0</v>
      </c>
      <c r="W29" s="16">
        <v>0</v>
      </c>
      <c r="X29" s="16">
        <v>0</v>
      </c>
      <c r="Y29" s="16">
        <v>0</v>
      </c>
      <c r="Z29" s="16">
        <f>23+20-9</f>
        <v>34</v>
      </c>
      <c r="AA29" s="16">
        <v>0</v>
      </c>
      <c r="AB29" s="16">
        <f>SUM(Tabla5236[[#This Row],[Naranjas]:[Arandanos]])</f>
        <v>48</v>
      </c>
      <c r="AC29" s="45"/>
    </row>
    <row r="30" spans="1:29" outlineLevel="1" x14ac:dyDescent="0.25">
      <c r="A30" s="18"/>
      <c r="B30" s="19"/>
      <c r="C30" s="19"/>
      <c r="D30" s="19"/>
      <c r="E30" s="19"/>
      <c r="F30" s="19"/>
      <c r="G30" s="19"/>
      <c r="H30" s="19"/>
      <c r="I30" s="32"/>
      <c r="J30" s="31"/>
      <c r="K30" s="3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9" ht="15.75" thickBot="1" x14ac:dyDescent="0.3"/>
    <row r="32" spans="1:29" ht="14.65" customHeight="1" thickBot="1" x14ac:dyDescent="0.3">
      <c r="A32" s="141" t="s">
        <v>20</v>
      </c>
      <c r="B32" s="156" t="s">
        <v>7</v>
      </c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8"/>
      <c r="N32" s="118" t="s">
        <v>9</v>
      </c>
      <c r="O32" s="8">
        <f>SUM(Tabla5236[Naranjas])</f>
        <v>0</v>
      </c>
      <c r="P32" s="49">
        <f>SUM(Tabla5236[Mandarinas])</f>
        <v>0</v>
      </c>
      <c r="Q32" s="49">
        <f>SUM(Tabla5236[Paltas])</f>
        <v>62</v>
      </c>
      <c r="R32" s="49">
        <f>SUM(Tabla5236[Quesos])</f>
        <v>15</v>
      </c>
      <c r="S32" s="49">
        <f>SUM(Tabla5236[Frutillas])</f>
        <v>90</v>
      </c>
      <c r="T32" s="49">
        <f>SUM(Tabla5236[Tomate Cherry])</f>
        <v>9</v>
      </c>
      <c r="U32" s="49">
        <f>SUM(Tabla5236[Nueces])</f>
        <v>7</v>
      </c>
      <c r="V32" s="49">
        <f>SUM(Tabla5236[Mani])</f>
        <v>2</v>
      </c>
      <c r="W32" s="49">
        <f>SUM(Tabla5236[Pistachos])</f>
        <v>4</v>
      </c>
      <c r="X32" s="49">
        <f>SUM(Tabla5236[Caju])</f>
        <v>4</v>
      </c>
      <c r="Y32" s="49">
        <f>SUM(Tabla5236[Almendras])</f>
        <v>1</v>
      </c>
      <c r="Z32" s="49">
        <f>SUM(Tabla5236[Cerezas])</f>
        <v>185</v>
      </c>
      <c r="AA32" s="4">
        <f>SUM(Tabla5236[Arandanos])</f>
        <v>18</v>
      </c>
    </row>
    <row r="33" spans="1:27" ht="14.65" customHeight="1" thickBot="1" x14ac:dyDescent="0.3">
      <c r="A33" s="142"/>
      <c r="B33" s="159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1"/>
      <c r="N33" s="118" t="s">
        <v>28</v>
      </c>
      <c r="O33" s="9">
        <v>5</v>
      </c>
      <c r="P33" s="52">
        <v>4</v>
      </c>
      <c r="Q33" s="52">
        <v>2</v>
      </c>
      <c r="R33" s="37">
        <v>1</v>
      </c>
      <c r="S33" s="37">
        <v>2</v>
      </c>
      <c r="T33" s="52">
        <v>1</v>
      </c>
      <c r="U33" s="83">
        <v>0.5</v>
      </c>
      <c r="V33" s="83">
        <v>1</v>
      </c>
      <c r="W33" s="83">
        <v>0.5</v>
      </c>
      <c r="X33" s="83">
        <v>0.4</v>
      </c>
      <c r="Y33" s="83">
        <v>0.5</v>
      </c>
      <c r="Z33" s="83">
        <v>5</v>
      </c>
      <c r="AA33" s="38">
        <v>0.5</v>
      </c>
    </row>
    <row r="34" spans="1:27" ht="14.65" customHeight="1" thickBot="1" x14ac:dyDescent="0.3">
      <c r="A34" s="142"/>
      <c r="B34" s="159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1"/>
      <c r="N34" s="118" t="s">
        <v>8</v>
      </c>
      <c r="O34" s="9">
        <f>O33*O32</f>
        <v>0</v>
      </c>
      <c r="P34" s="52">
        <f t="shared" ref="P34:U34" si="0">P33*P32</f>
        <v>0</v>
      </c>
      <c r="Q34" s="52">
        <f t="shared" si="0"/>
        <v>124</v>
      </c>
      <c r="R34" s="52">
        <f t="shared" si="0"/>
        <v>15</v>
      </c>
      <c r="S34" s="52">
        <f>S33*S32</f>
        <v>180</v>
      </c>
      <c r="T34" s="52">
        <f t="shared" si="0"/>
        <v>9</v>
      </c>
      <c r="U34" s="52">
        <f t="shared" si="0"/>
        <v>3.5</v>
      </c>
      <c r="V34" s="52">
        <f t="shared" ref="V34:AA34" si="1">V33*V32</f>
        <v>2</v>
      </c>
      <c r="W34" s="52">
        <f t="shared" si="1"/>
        <v>2</v>
      </c>
      <c r="X34" s="52">
        <f t="shared" si="1"/>
        <v>1.6</v>
      </c>
      <c r="Y34" s="52">
        <f t="shared" si="1"/>
        <v>0.5</v>
      </c>
      <c r="Z34" s="52">
        <f t="shared" si="1"/>
        <v>925</v>
      </c>
      <c r="AA34" s="11">
        <f t="shared" si="1"/>
        <v>9</v>
      </c>
    </row>
    <row r="35" spans="1:27" ht="15.75" thickBot="1" x14ac:dyDescent="0.3">
      <c r="A35" s="142"/>
      <c r="B35" s="162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4"/>
      <c r="N35" s="118" t="s">
        <v>10</v>
      </c>
      <c r="O35" s="10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2"/>
    </row>
    <row r="36" spans="1:27" ht="15.75" thickBot="1" x14ac:dyDescent="0.3">
      <c r="A36" s="142"/>
      <c r="B36" s="119"/>
      <c r="C36" s="19"/>
      <c r="D36" s="23"/>
      <c r="E36" s="24"/>
      <c r="F36" s="24"/>
      <c r="G36" s="24"/>
      <c r="H36" s="24"/>
      <c r="I36" s="24"/>
      <c r="J36" s="24"/>
      <c r="K36" s="25"/>
      <c r="N36" s="3"/>
    </row>
    <row r="37" spans="1:27" ht="15.75" thickBot="1" x14ac:dyDescent="0.3">
      <c r="A37" s="142"/>
      <c r="B37" s="156" t="s">
        <v>12</v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8"/>
      <c r="N37" s="118" t="s">
        <v>13</v>
      </c>
      <c r="O37" s="54">
        <f>O38*O33</f>
        <v>2750</v>
      </c>
      <c r="P37" s="51">
        <f t="shared" ref="P37:U37" si="2">P38*P33</f>
        <v>2200</v>
      </c>
      <c r="Q37" s="51">
        <f t="shared" si="2"/>
        <v>3100</v>
      </c>
      <c r="R37" s="51">
        <f t="shared" si="2"/>
        <v>6716</v>
      </c>
      <c r="S37" s="51">
        <f>S38*S33</f>
        <v>2600</v>
      </c>
      <c r="T37" s="51">
        <f t="shared" si="2"/>
        <v>2300</v>
      </c>
      <c r="U37" s="51">
        <f t="shared" si="2"/>
        <v>3750</v>
      </c>
      <c r="V37" s="51">
        <f t="shared" ref="V37:AA37" si="3">V38*V33</f>
        <v>3500</v>
      </c>
      <c r="W37" s="51">
        <f t="shared" si="3"/>
        <v>7050</v>
      </c>
      <c r="X37" s="51">
        <f t="shared" si="3"/>
        <v>5320</v>
      </c>
      <c r="Y37" s="51">
        <f t="shared" si="3"/>
        <v>5350</v>
      </c>
      <c r="Z37" s="51">
        <f t="shared" si="3"/>
        <v>7300</v>
      </c>
      <c r="AA37" s="15">
        <f t="shared" si="3"/>
        <v>2500</v>
      </c>
    </row>
    <row r="38" spans="1:27" ht="15.75" thickBot="1" x14ac:dyDescent="0.3">
      <c r="A38" s="142"/>
      <c r="B38" s="159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1"/>
      <c r="N38" s="118" t="s">
        <v>8</v>
      </c>
      <c r="O38" s="87">
        <v>550</v>
      </c>
      <c r="P38" s="86">
        <v>550</v>
      </c>
      <c r="Q38" s="86">
        <v>1550</v>
      </c>
      <c r="R38" s="86">
        <v>6716</v>
      </c>
      <c r="S38" s="86">
        <v>1300</v>
      </c>
      <c r="T38" s="86">
        <v>2300</v>
      </c>
      <c r="U38" s="86">
        <v>7500</v>
      </c>
      <c r="V38" s="86">
        <v>3500</v>
      </c>
      <c r="W38" s="86">
        <v>14100</v>
      </c>
      <c r="X38" s="86">
        <v>13300</v>
      </c>
      <c r="Y38" s="86">
        <v>10700</v>
      </c>
      <c r="Z38" s="86">
        <f>7300/5</f>
        <v>1460</v>
      </c>
      <c r="AA38" s="90">
        <f>5000</f>
        <v>5000</v>
      </c>
    </row>
    <row r="39" spans="1:27" ht="15.75" thickBot="1" x14ac:dyDescent="0.3">
      <c r="A39" s="142"/>
      <c r="B39" s="162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4"/>
      <c r="N39" s="118" t="s">
        <v>14</v>
      </c>
      <c r="O39" s="88">
        <v>3500</v>
      </c>
      <c r="P39" s="89">
        <v>4500</v>
      </c>
      <c r="Q39" s="89">
        <v>4500</v>
      </c>
      <c r="R39" s="89">
        <v>7500</v>
      </c>
      <c r="S39" s="89">
        <v>4500</v>
      </c>
      <c r="T39" s="89">
        <v>4500</v>
      </c>
      <c r="U39" s="89">
        <v>5500</v>
      </c>
      <c r="V39" s="89">
        <v>4500</v>
      </c>
      <c r="W39" s="89">
        <v>8500</v>
      </c>
      <c r="X39" s="89">
        <v>7500</v>
      </c>
      <c r="Y39" s="89">
        <v>7500</v>
      </c>
      <c r="Z39" s="89">
        <v>9500</v>
      </c>
      <c r="AA39" s="91">
        <v>4500</v>
      </c>
    </row>
    <row r="40" spans="1:27" ht="15.75" thickBot="1" x14ac:dyDescent="0.3">
      <c r="A40" s="142"/>
      <c r="B40" s="119"/>
      <c r="C40" s="19"/>
      <c r="D40" s="23"/>
      <c r="E40" s="24"/>
      <c r="F40" s="24"/>
      <c r="G40" s="24"/>
      <c r="H40" s="24"/>
      <c r="I40" s="24"/>
      <c r="J40" s="24"/>
      <c r="K40" s="25"/>
      <c r="N40" s="3"/>
    </row>
    <row r="41" spans="1:27" ht="14.65" customHeight="1" thickBot="1" x14ac:dyDescent="0.3">
      <c r="A41" s="142"/>
      <c r="B41" s="156" t="s">
        <v>15</v>
      </c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8"/>
      <c r="N41" s="118" t="s">
        <v>19</v>
      </c>
      <c r="O41" s="104">
        <f>O32*O37</f>
        <v>0</v>
      </c>
      <c r="P41" s="105">
        <f t="shared" ref="P41:U41" si="4">P32*P37</f>
        <v>0</v>
      </c>
      <c r="Q41" s="105">
        <f t="shared" si="4"/>
        <v>192200</v>
      </c>
      <c r="R41" s="106">
        <f t="shared" si="4"/>
        <v>100740</v>
      </c>
      <c r="S41" s="106">
        <f t="shared" si="4"/>
        <v>234000</v>
      </c>
      <c r="T41" s="105">
        <f>T32*T37</f>
        <v>20700</v>
      </c>
      <c r="U41" s="105">
        <f t="shared" si="4"/>
        <v>26250</v>
      </c>
      <c r="V41" s="105">
        <f t="shared" ref="V41:AA41" si="5">V32*V37</f>
        <v>7000</v>
      </c>
      <c r="W41" s="105">
        <f t="shared" si="5"/>
        <v>28200</v>
      </c>
      <c r="X41" s="105">
        <f t="shared" si="5"/>
        <v>21280</v>
      </c>
      <c r="Y41" s="105">
        <f t="shared" si="5"/>
        <v>5350</v>
      </c>
      <c r="Z41" s="105">
        <f t="shared" si="5"/>
        <v>1350500</v>
      </c>
      <c r="AA41" s="107">
        <f t="shared" si="5"/>
        <v>45000</v>
      </c>
    </row>
    <row r="42" spans="1:27" ht="15.75" thickBot="1" x14ac:dyDescent="0.3">
      <c r="A42" s="142"/>
      <c r="B42" s="162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4"/>
      <c r="N42" s="118" t="s">
        <v>16</v>
      </c>
      <c r="O42" s="133">
        <f>SUM(O41:AA41)</f>
        <v>2031220</v>
      </c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5"/>
    </row>
    <row r="43" spans="1:27" ht="15.75" thickBot="1" x14ac:dyDescent="0.3">
      <c r="A43" s="142"/>
      <c r="B43" s="156" t="s">
        <v>17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8"/>
      <c r="N43" s="118" t="s">
        <v>19</v>
      </c>
      <c r="O43" s="50">
        <f t="shared" ref="O43:AA43" si="6">O39*O32</f>
        <v>0</v>
      </c>
      <c r="P43" s="48">
        <f t="shared" si="6"/>
        <v>0</v>
      </c>
      <c r="Q43" s="48">
        <f t="shared" si="6"/>
        <v>279000</v>
      </c>
      <c r="R43" s="48">
        <f t="shared" si="6"/>
        <v>112500</v>
      </c>
      <c r="S43" s="48">
        <f t="shared" si="6"/>
        <v>405000</v>
      </c>
      <c r="T43" s="48">
        <f t="shared" si="6"/>
        <v>40500</v>
      </c>
      <c r="U43" s="48">
        <f t="shared" si="6"/>
        <v>38500</v>
      </c>
      <c r="V43" s="48">
        <f t="shared" si="6"/>
        <v>9000</v>
      </c>
      <c r="W43" s="48">
        <f t="shared" si="6"/>
        <v>34000</v>
      </c>
      <c r="X43" s="48">
        <f t="shared" si="6"/>
        <v>30000</v>
      </c>
      <c r="Y43" s="48">
        <f t="shared" si="6"/>
        <v>7500</v>
      </c>
      <c r="Z43" s="48">
        <f t="shared" si="6"/>
        <v>1757500</v>
      </c>
      <c r="AA43" s="108">
        <f t="shared" si="6"/>
        <v>81000</v>
      </c>
    </row>
    <row r="44" spans="1:27" ht="15.75" thickBot="1" x14ac:dyDescent="0.3">
      <c r="A44" s="142"/>
      <c r="B44" s="162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4"/>
      <c r="N44" s="118" t="s">
        <v>16</v>
      </c>
      <c r="O44" s="133">
        <f>SUM(O43:AA43)</f>
        <v>2794500</v>
      </c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5"/>
    </row>
    <row r="45" spans="1:27" ht="14.65" customHeight="1" thickBot="1" x14ac:dyDescent="0.3">
      <c r="A45" s="142"/>
      <c r="B45" s="156" t="s">
        <v>18</v>
      </c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8"/>
      <c r="N45" s="118" t="s">
        <v>19</v>
      </c>
      <c r="O45" s="50">
        <f>O43-O41</f>
        <v>0</v>
      </c>
      <c r="P45" s="48">
        <f t="shared" ref="P45:AA45" si="7">P43-P41</f>
        <v>0</v>
      </c>
      <c r="Q45" s="48">
        <f t="shared" si="7"/>
        <v>86800</v>
      </c>
      <c r="R45" s="48">
        <f t="shared" si="7"/>
        <v>11760</v>
      </c>
      <c r="S45" s="48">
        <f t="shared" si="7"/>
        <v>171000</v>
      </c>
      <c r="T45" s="48">
        <f t="shared" si="7"/>
        <v>19800</v>
      </c>
      <c r="U45" s="48">
        <f t="shared" si="7"/>
        <v>12250</v>
      </c>
      <c r="V45" s="48">
        <f t="shared" si="7"/>
        <v>2000</v>
      </c>
      <c r="W45" s="48">
        <f t="shared" si="7"/>
        <v>5800</v>
      </c>
      <c r="X45" s="48">
        <f t="shared" si="7"/>
        <v>8720</v>
      </c>
      <c r="Y45" s="48">
        <f t="shared" si="7"/>
        <v>2150</v>
      </c>
      <c r="Z45" s="48">
        <f t="shared" si="7"/>
        <v>407000</v>
      </c>
      <c r="AA45" s="108">
        <f t="shared" si="7"/>
        <v>36000</v>
      </c>
    </row>
    <row r="46" spans="1:27" ht="29.65" customHeight="1" thickBot="1" x14ac:dyDescent="0.3">
      <c r="A46" s="142"/>
      <c r="B46" s="162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4"/>
      <c r="N46" s="118" t="s">
        <v>29</v>
      </c>
      <c r="O46" s="130">
        <f>O44-O42</f>
        <v>763280</v>
      </c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2"/>
    </row>
    <row r="47" spans="1:27" ht="15.75" thickBot="1" x14ac:dyDescent="0.3">
      <c r="A47" s="142"/>
    </row>
    <row r="48" spans="1:27" ht="14.65" customHeight="1" thickBot="1" x14ac:dyDescent="0.3">
      <c r="A48" s="142"/>
      <c r="B48" s="168" t="s">
        <v>25</v>
      </c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70"/>
      <c r="O48" s="150" t="s">
        <v>26</v>
      </c>
      <c r="P48" s="151"/>
      <c r="Q48" s="152"/>
      <c r="R48" s="29" t="s">
        <v>27</v>
      </c>
      <c r="S48" s="61"/>
      <c r="T48" s="5"/>
      <c r="U48" s="5"/>
      <c r="V48" s="5"/>
      <c r="W48" s="5"/>
      <c r="X48" s="5"/>
      <c r="Y48" s="5"/>
      <c r="Z48" s="5"/>
      <c r="AA48" s="5"/>
    </row>
    <row r="49" spans="1:27" ht="15" customHeight="1" x14ac:dyDescent="0.25">
      <c r="A49" s="142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3"/>
      <c r="O49" s="177"/>
      <c r="P49" s="178"/>
      <c r="Q49" s="179"/>
      <c r="R49" s="33"/>
      <c r="S49" s="62"/>
      <c r="T49" s="6"/>
      <c r="U49" s="6"/>
      <c r="V49" s="6"/>
      <c r="W49" s="6"/>
      <c r="X49" s="6"/>
      <c r="Y49" s="6"/>
      <c r="Z49" s="6"/>
      <c r="AA49" s="6"/>
    </row>
    <row r="50" spans="1:27" ht="15" customHeight="1" x14ac:dyDescent="0.25">
      <c r="A50" s="142"/>
      <c r="B50" s="171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165"/>
      <c r="P50" s="166"/>
      <c r="Q50" s="167"/>
      <c r="R50" s="34"/>
      <c r="S50" s="62"/>
      <c r="T50" s="6"/>
      <c r="U50" s="6"/>
      <c r="V50" s="6"/>
      <c r="W50" s="6"/>
      <c r="X50" s="6"/>
      <c r="Y50" s="6"/>
      <c r="Z50" s="6"/>
      <c r="AA50" s="6"/>
    </row>
    <row r="51" spans="1:27" ht="15" customHeight="1" x14ac:dyDescent="0.25">
      <c r="A51" s="142"/>
      <c r="B51" s="171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3"/>
      <c r="O51" s="165"/>
      <c r="P51" s="166"/>
      <c r="Q51" s="167"/>
      <c r="R51" s="34"/>
      <c r="S51" s="62"/>
      <c r="T51" s="6"/>
      <c r="U51" s="6"/>
      <c r="V51" s="6"/>
      <c r="W51" s="6"/>
      <c r="X51" s="6"/>
      <c r="Y51" s="6"/>
      <c r="Z51" s="6"/>
      <c r="AA51" s="6"/>
    </row>
    <row r="52" spans="1:27" ht="15" customHeight="1" x14ac:dyDescent="0.25">
      <c r="A52" s="142"/>
      <c r="B52" s="171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3"/>
      <c r="O52" s="165"/>
      <c r="P52" s="166"/>
      <c r="Q52" s="167"/>
      <c r="R52" s="34"/>
      <c r="S52" s="62"/>
      <c r="T52" s="6"/>
      <c r="U52" s="6"/>
      <c r="V52" s="6"/>
      <c r="W52" s="6"/>
      <c r="X52" s="6"/>
      <c r="Y52" s="6"/>
      <c r="Z52" s="6"/>
      <c r="AA52" s="6"/>
    </row>
    <row r="53" spans="1:27" ht="15" customHeight="1" x14ac:dyDescent="0.25">
      <c r="A53" s="142"/>
      <c r="B53" s="171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3"/>
      <c r="O53" s="165"/>
      <c r="P53" s="166"/>
      <c r="Q53" s="167"/>
      <c r="R53" s="34"/>
      <c r="S53" s="62"/>
      <c r="T53" s="6"/>
      <c r="U53" s="6"/>
      <c r="V53" s="6"/>
      <c r="W53" s="6"/>
      <c r="X53" s="6"/>
      <c r="Y53" s="6"/>
      <c r="Z53" s="6"/>
      <c r="AA53" s="6"/>
    </row>
    <row r="54" spans="1:27" ht="15" customHeight="1" x14ac:dyDescent="0.25">
      <c r="A54" s="142"/>
      <c r="B54" s="171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3"/>
      <c r="O54" s="165"/>
      <c r="P54" s="166"/>
      <c r="Q54" s="167"/>
      <c r="R54" s="34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thickBot="1" x14ac:dyDescent="0.3">
      <c r="A55" s="142"/>
      <c r="B55" s="171"/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3"/>
      <c r="O55" s="144"/>
      <c r="P55" s="145"/>
      <c r="Q55" s="146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.75" customHeight="1" thickBot="1" x14ac:dyDescent="0.3">
      <c r="A56" s="142"/>
      <c r="B56" s="174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6"/>
      <c r="O56" s="147" t="s">
        <v>16</v>
      </c>
      <c r="P56" s="148"/>
      <c r="Q56" s="149"/>
      <c r="R56" s="35">
        <f>SUM(R49:R55)</f>
        <v>0</v>
      </c>
      <c r="S56" s="63"/>
      <c r="T56" s="6"/>
      <c r="U56" s="6"/>
      <c r="V56" s="6"/>
      <c r="W56" s="6"/>
      <c r="X56" s="6"/>
      <c r="Y56" s="6"/>
      <c r="Z56" s="6"/>
      <c r="AA56" s="6"/>
    </row>
    <row r="57" spans="1:27" ht="15.75" thickBot="1" x14ac:dyDescent="0.3">
      <c r="A57" s="142"/>
    </row>
    <row r="58" spans="1:27" ht="51.75" customHeight="1" thickBot="1" x14ac:dyDescent="0.3">
      <c r="A58" s="143"/>
      <c r="B58" s="150" t="s">
        <v>18</v>
      </c>
      <c r="C58" s="151"/>
      <c r="D58" s="151"/>
      <c r="E58" s="151"/>
      <c r="F58" s="151"/>
      <c r="G58" s="151"/>
      <c r="H58" s="151"/>
      <c r="I58" s="151"/>
      <c r="J58" s="151"/>
      <c r="K58" s="151"/>
      <c r="L58" s="152"/>
      <c r="M58" s="118"/>
      <c r="N58" s="117" t="s">
        <v>16</v>
      </c>
      <c r="O58" s="153">
        <f>O46-SUM(R49:R55)</f>
        <v>763280</v>
      </c>
      <c r="P58" s="154"/>
      <c r="Q58" s="154"/>
      <c r="R58" s="154"/>
      <c r="S58" s="154"/>
      <c r="T58" s="154"/>
      <c r="U58" s="155"/>
      <c r="V58" s="72"/>
      <c r="W58" s="72"/>
      <c r="X58" s="72"/>
      <c r="Y58" s="72"/>
      <c r="Z58" s="72"/>
      <c r="AA58" s="72"/>
    </row>
    <row r="59" spans="1:27" ht="15.75" customHeight="1" x14ac:dyDescent="0.25">
      <c r="A59" s="30"/>
      <c r="P59" s="28"/>
      <c r="Q59" s="28"/>
      <c r="R59" s="28"/>
      <c r="S59" s="28"/>
      <c r="U59" s="120"/>
      <c r="V59" s="120"/>
      <c r="W59" s="120"/>
      <c r="X59" s="120"/>
      <c r="Y59" s="120"/>
      <c r="Z59" s="120"/>
      <c r="AA59" s="120"/>
    </row>
    <row r="60" spans="1:27" ht="15" customHeight="1" x14ac:dyDescent="0.25">
      <c r="A60" s="30"/>
      <c r="P60" s="28"/>
      <c r="Q60" s="28"/>
      <c r="R60" s="28"/>
      <c r="S60" s="28"/>
      <c r="U60" s="7"/>
      <c r="V60" s="7"/>
      <c r="W60" s="7"/>
      <c r="X60" s="7"/>
      <c r="Y60" s="7"/>
      <c r="Z60" s="7"/>
      <c r="AA60" s="7"/>
    </row>
    <row r="61" spans="1:27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  <c r="AA61" s="7"/>
    </row>
    <row r="62" spans="1:27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  <c r="AA62" s="7"/>
    </row>
    <row r="63" spans="1:27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  <c r="AA63" s="7"/>
    </row>
    <row r="64" spans="1:27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  <c r="AA64" s="7"/>
    </row>
    <row r="65" spans="16:27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6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6:27" ht="15.7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</sheetData>
  <mergeCells count="24">
    <mergeCell ref="B2:N2"/>
    <mergeCell ref="O2:AA2"/>
    <mergeCell ref="A5:A29"/>
    <mergeCell ref="A32:A58"/>
    <mergeCell ref="B32:M35"/>
    <mergeCell ref="B37:M39"/>
    <mergeCell ref="B41:M42"/>
    <mergeCell ref="O42:AA42"/>
    <mergeCell ref="B43:M44"/>
    <mergeCell ref="O44:AA44"/>
    <mergeCell ref="O55:Q55"/>
    <mergeCell ref="O56:Q56"/>
    <mergeCell ref="B58:L58"/>
    <mergeCell ref="O58:U58"/>
    <mergeCell ref="B45:M46"/>
    <mergeCell ref="O46:AA46"/>
    <mergeCell ref="B48:N56"/>
    <mergeCell ref="O48:Q48"/>
    <mergeCell ref="O49:Q49"/>
    <mergeCell ref="O50:Q50"/>
    <mergeCell ref="O51:Q51"/>
    <mergeCell ref="O52:Q52"/>
    <mergeCell ref="O53:Q53"/>
    <mergeCell ref="O54:Q54"/>
  </mergeCells>
  <conditionalFormatting sqref="AB5:AB29">
    <cfRule type="cellIs" dxfId="60" priority="1" operator="lessThan">
      <formula>20</formula>
    </cfRule>
    <cfRule type="cellIs" dxfId="59" priority="2" operator="between">
      <formula>20</formula>
      <formula>29</formula>
    </cfRule>
    <cfRule type="cellIs" dxfId="5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Sabado 4</vt:lpstr>
      <vt:lpstr>Sabado 11</vt:lpstr>
      <vt:lpstr>Sabado 18</vt:lpstr>
      <vt:lpstr>Sabado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2017-12-11T15:35:36Z</dcterms:modified>
</cp:coreProperties>
</file>