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2" xr2:uid="{00000000-000D-0000-FFFF-FFFF00000000}"/>
  </bookViews>
  <sheets>
    <sheet name="Pedido base (copiar esta hoja)" sheetId="3" r:id="rId1"/>
    <sheet name="Sabado 2" sheetId="19" r:id="rId2"/>
    <sheet name="Miercoles 6" sheetId="20" r:id="rId3"/>
  </sheets>
  <externalReferences>
    <externalReference r:id="rId4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" i="20" l="1"/>
  <c r="X12" i="20"/>
  <c r="Y11" i="20"/>
  <c r="Q11" i="20"/>
  <c r="X8" i="20"/>
  <c r="AA8" i="20" s="1"/>
  <c r="O8" i="20"/>
  <c r="X16" i="20"/>
  <c r="Q16" i="20"/>
  <c r="AA5" i="20"/>
  <c r="AA6" i="20"/>
  <c r="AA7" i="20"/>
  <c r="AA9" i="20"/>
  <c r="AA10" i="20"/>
  <c r="AA12" i="20"/>
  <c r="AA13" i="20"/>
  <c r="AA14" i="20"/>
  <c r="AA15" i="20"/>
  <c r="AA17" i="20"/>
  <c r="AA18" i="20"/>
  <c r="AA19" i="20"/>
  <c r="AA20" i="20"/>
  <c r="AA21" i="20"/>
  <c r="N5" i="20"/>
  <c r="N6" i="20"/>
  <c r="N7" i="20"/>
  <c r="N9" i="20"/>
  <c r="N10" i="20"/>
  <c r="N8" i="20"/>
  <c r="N12" i="20"/>
  <c r="N13" i="20"/>
  <c r="N14" i="20"/>
  <c r="N15" i="20"/>
  <c r="N17" i="20"/>
  <c r="N18" i="20"/>
  <c r="N19" i="20"/>
  <c r="N20" i="20"/>
  <c r="N21" i="20"/>
  <c r="P48" i="20"/>
  <c r="Y30" i="20"/>
  <c r="Y29" i="20" s="1"/>
  <c r="X30" i="20"/>
  <c r="X29" i="20" s="1"/>
  <c r="Z29" i="20"/>
  <c r="W29" i="20"/>
  <c r="V29" i="20"/>
  <c r="U29" i="20"/>
  <c r="T29" i="20"/>
  <c r="S29" i="20"/>
  <c r="R29" i="20"/>
  <c r="Q29" i="20"/>
  <c r="P29" i="20"/>
  <c r="O29" i="20"/>
  <c r="Z24" i="20"/>
  <c r="Z33" i="20" s="1"/>
  <c r="Y24" i="20"/>
  <c r="Y26" i="20" s="1"/>
  <c r="W24" i="20"/>
  <c r="W26" i="20" s="1"/>
  <c r="V24" i="20"/>
  <c r="V26" i="20" s="1"/>
  <c r="U24" i="20"/>
  <c r="U26" i="20" s="1"/>
  <c r="T24" i="20"/>
  <c r="T35" i="20" s="1"/>
  <c r="S24" i="20"/>
  <c r="S33" i="20" s="1"/>
  <c r="R24" i="20"/>
  <c r="R33" i="20" s="1"/>
  <c r="Q24" i="20"/>
  <c r="Q26" i="20" s="1"/>
  <c r="P24" i="20"/>
  <c r="P26" i="20" s="1"/>
  <c r="O24" i="20"/>
  <c r="O26" i="20" s="1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AB99" i="3"/>
  <c r="AB94" i="3"/>
  <c r="AB96" i="3" s="1"/>
  <c r="B90" i="3"/>
  <c r="B91" i="3"/>
  <c r="C90" i="3"/>
  <c r="C91" i="3"/>
  <c r="D90" i="3"/>
  <c r="D91" i="3"/>
  <c r="E90" i="3"/>
  <c r="E91" i="3"/>
  <c r="F90" i="3"/>
  <c r="F91" i="3"/>
  <c r="G90" i="3"/>
  <c r="G91" i="3"/>
  <c r="H90" i="3"/>
  <c r="H91" i="3"/>
  <c r="I90" i="3"/>
  <c r="I91" i="3"/>
  <c r="J90" i="3"/>
  <c r="J91" i="3"/>
  <c r="K90" i="3"/>
  <c r="K91" i="3"/>
  <c r="B88" i="3"/>
  <c r="B89" i="3"/>
  <c r="C88" i="3"/>
  <c r="C89" i="3"/>
  <c r="D88" i="3"/>
  <c r="D89" i="3"/>
  <c r="E88" i="3"/>
  <c r="E89" i="3"/>
  <c r="F88" i="3"/>
  <c r="F89" i="3"/>
  <c r="G88" i="3"/>
  <c r="G89" i="3"/>
  <c r="H88" i="3"/>
  <c r="H89" i="3"/>
  <c r="I88" i="3"/>
  <c r="I89" i="3"/>
  <c r="J88" i="3"/>
  <c r="J89" i="3"/>
  <c r="K88" i="3"/>
  <c r="K89" i="3"/>
  <c r="N11" i="20" l="1"/>
  <c r="AA11" i="20"/>
  <c r="X24" i="20"/>
  <c r="X26" i="20" s="1"/>
  <c r="N16" i="20"/>
  <c r="AA16" i="20"/>
  <c r="V33" i="20"/>
  <c r="O35" i="20"/>
  <c r="T26" i="20"/>
  <c r="W35" i="20"/>
  <c r="R26" i="20"/>
  <c r="Z26" i="20"/>
  <c r="T33" i="20"/>
  <c r="T37" i="20" s="1"/>
  <c r="U35" i="20"/>
  <c r="S26" i="20"/>
  <c r="U33" i="20"/>
  <c r="V35" i="20"/>
  <c r="O33" i="20"/>
  <c r="W33" i="20"/>
  <c r="P35" i="20"/>
  <c r="P33" i="20"/>
  <c r="Q35" i="20"/>
  <c r="Y35" i="20"/>
  <c r="Q33" i="20"/>
  <c r="Y33" i="20"/>
  <c r="R35" i="20"/>
  <c r="R37" i="20" s="1"/>
  <c r="Z35" i="20"/>
  <c r="Z37" i="20" s="1"/>
  <c r="S35" i="20"/>
  <c r="S37" i="20" s="1"/>
  <c r="AB103" i="3"/>
  <c r="O104" i="3" s="1"/>
  <c r="AB105" i="3"/>
  <c r="O106" i="3" s="1"/>
  <c r="X33" i="20" l="1"/>
  <c r="X35" i="20"/>
  <c r="W37" i="20"/>
  <c r="U37" i="20"/>
  <c r="P37" i="20"/>
  <c r="V37" i="20"/>
  <c r="O37" i="20"/>
  <c r="Y37" i="20"/>
  <c r="Q37" i="20"/>
  <c r="O108" i="3"/>
  <c r="AB107" i="3"/>
  <c r="AB28" i="19"/>
  <c r="AB8" i="19"/>
  <c r="N12" i="19"/>
  <c r="AB12" i="19"/>
  <c r="N32" i="19"/>
  <c r="AB32" i="19"/>
  <c r="R61" i="19"/>
  <c r="AA43" i="19"/>
  <c r="AA42" i="19" s="1"/>
  <c r="Z43" i="19"/>
  <c r="Z42" i="19"/>
  <c r="Y42" i="19"/>
  <c r="X42" i="19"/>
  <c r="W42" i="19"/>
  <c r="V42" i="19"/>
  <c r="U42" i="19"/>
  <c r="T42" i="19"/>
  <c r="S42" i="19"/>
  <c r="R42" i="19"/>
  <c r="Q42" i="19"/>
  <c r="P42" i="19"/>
  <c r="O42" i="19"/>
  <c r="AA37" i="19"/>
  <c r="AA48" i="19" s="1"/>
  <c r="Z37" i="19"/>
  <c r="Z46" i="19" s="1"/>
  <c r="Y37" i="19"/>
  <c r="Y46" i="19" s="1"/>
  <c r="X37" i="19"/>
  <c r="X46" i="19" s="1"/>
  <c r="W37" i="19"/>
  <c r="W46" i="19" s="1"/>
  <c r="V37" i="19"/>
  <c r="V39" i="19" s="1"/>
  <c r="U37" i="19"/>
  <c r="U39" i="19" s="1"/>
  <c r="T37" i="19"/>
  <c r="T48" i="19" s="1"/>
  <c r="S37" i="19"/>
  <c r="S48" i="19" s="1"/>
  <c r="R37" i="19"/>
  <c r="R46" i="19" s="1"/>
  <c r="Q37" i="19"/>
  <c r="Q46" i="19" s="1"/>
  <c r="P37" i="19"/>
  <c r="P46" i="19" s="1"/>
  <c r="O37" i="19"/>
  <c r="O46" i="19" s="1"/>
  <c r="AB10" i="19"/>
  <c r="N10" i="19"/>
  <c r="AB7" i="19"/>
  <c r="N7" i="19"/>
  <c r="AB5" i="19"/>
  <c r="N5" i="19"/>
  <c r="N28" i="19"/>
  <c r="AB24" i="19"/>
  <c r="N24" i="19"/>
  <c r="AB31" i="19"/>
  <c r="N31" i="19"/>
  <c r="AB29" i="19"/>
  <c r="N29" i="19"/>
  <c r="AB17" i="19"/>
  <c r="N17" i="19"/>
  <c r="AB13" i="19"/>
  <c r="N13" i="19"/>
  <c r="AB16" i="19"/>
  <c r="N16" i="19"/>
  <c r="AB26" i="19"/>
  <c r="N26" i="19"/>
  <c r="AB30" i="19"/>
  <c r="N30" i="19"/>
  <c r="AB33" i="19"/>
  <c r="N33" i="19"/>
  <c r="N8" i="19"/>
  <c r="AB21" i="19"/>
  <c r="N21" i="19"/>
  <c r="AB6" i="19"/>
  <c r="N6" i="19"/>
  <c r="AB14" i="19"/>
  <c r="N14" i="19"/>
  <c r="AB34" i="19"/>
  <c r="N34" i="19"/>
  <c r="AB27" i="19"/>
  <c r="N27" i="19"/>
  <c r="AB23" i="19"/>
  <c r="N23" i="19"/>
  <c r="AB18" i="19"/>
  <c r="N18" i="19"/>
  <c r="AB22" i="19"/>
  <c r="N22" i="19"/>
  <c r="AB20" i="19"/>
  <c r="N20" i="19"/>
  <c r="AB9" i="19"/>
  <c r="N9" i="19"/>
  <c r="AB11" i="19"/>
  <c r="N11" i="19"/>
  <c r="AB15" i="19"/>
  <c r="N15" i="19"/>
  <c r="AB25" i="19"/>
  <c r="N25" i="19"/>
  <c r="AB19" i="19"/>
  <c r="N19" i="19"/>
  <c r="X37" i="20" l="1"/>
  <c r="W39" i="19"/>
  <c r="S46" i="19"/>
  <c r="S50" i="19" s="1"/>
  <c r="AA46" i="19"/>
  <c r="AA50" i="19" s="1"/>
  <c r="U48" i="19"/>
  <c r="O39" i="19"/>
  <c r="P39" i="19"/>
  <c r="X39" i="19"/>
  <c r="T46" i="19"/>
  <c r="T50" i="19" s="1"/>
  <c r="V48" i="19"/>
  <c r="Q39" i="19"/>
  <c r="Y39" i="19"/>
  <c r="U46" i="19"/>
  <c r="O48" i="19"/>
  <c r="W48" i="19"/>
  <c r="W50" i="19" s="1"/>
  <c r="R39" i="19"/>
  <c r="Z39" i="19"/>
  <c r="V46" i="19"/>
  <c r="P48" i="19"/>
  <c r="P50" i="19" s="1"/>
  <c r="X48" i="19"/>
  <c r="X50" i="19" s="1"/>
  <c r="S39" i="19"/>
  <c r="AA39" i="19"/>
  <c r="Q48" i="19"/>
  <c r="Q50" i="19" s="1"/>
  <c r="Y48" i="19"/>
  <c r="Y50" i="19" s="1"/>
  <c r="T39" i="19"/>
  <c r="R48" i="19"/>
  <c r="R50" i="19" s="1"/>
  <c r="Z48" i="19"/>
  <c r="Z50" i="19" s="1"/>
  <c r="O47" i="19" l="1"/>
  <c r="V50" i="19"/>
  <c r="O49" i="19"/>
  <c r="O50" i="19"/>
  <c r="U50" i="19"/>
  <c r="O94" i="3"/>
  <c r="O103" i="3" s="1"/>
  <c r="P94" i="3"/>
  <c r="P105" i="3" s="1"/>
  <c r="Q94" i="3"/>
  <c r="Q105" i="3" s="1"/>
  <c r="R94" i="3"/>
  <c r="R105" i="3" s="1"/>
  <c r="S94" i="3"/>
  <c r="S105" i="3" s="1"/>
  <c r="T94" i="3"/>
  <c r="T105" i="3" s="1"/>
  <c r="U94" i="3"/>
  <c r="U105" i="3" s="1"/>
  <c r="V94" i="3"/>
  <c r="V105" i="3" s="1"/>
  <c r="W94" i="3"/>
  <c r="W105" i="3" s="1"/>
  <c r="X94" i="3"/>
  <c r="X105" i="3" s="1"/>
  <c r="Y94" i="3"/>
  <c r="Y105" i="3" s="1"/>
  <c r="Z94" i="3"/>
  <c r="Z105" i="3" s="1"/>
  <c r="AA94" i="3"/>
  <c r="AA105" i="3" s="1"/>
  <c r="O99" i="3"/>
  <c r="P99" i="3"/>
  <c r="Q99" i="3"/>
  <c r="R99" i="3"/>
  <c r="S99" i="3"/>
  <c r="S103" i="3"/>
  <c r="T99" i="3"/>
  <c r="T103" i="3"/>
  <c r="U99" i="3"/>
  <c r="V99" i="3"/>
  <c r="W99" i="3"/>
  <c r="X99" i="3"/>
  <c r="Y99" i="3"/>
  <c r="Z100" i="3"/>
  <c r="Z99" i="3"/>
  <c r="AA100" i="3"/>
  <c r="AA99" i="3" s="1"/>
  <c r="AA103" i="3" s="1"/>
  <c r="AA96" i="3"/>
  <c r="B5" i="3"/>
  <c r="C5" i="3"/>
  <c r="D5" i="3"/>
  <c r="E5" i="3"/>
  <c r="F5" i="3"/>
  <c r="G5" i="3"/>
  <c r="H5" i="3"/>
  <c r="I5" i="3"/>
  <c r="J5" i="3"/>
  <c r="K5" i="3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B73" i="3"/>
  <c r="C73" i="3"/>
  <c r="D73" i="3"/>
  <c r="E73" i="3"/>
  <c r="F73" i="3"/>
  <c r="G73" i="3"/>
  <c r="H73" i="3"/>
  <c r="I73" i="3"/>
  <c r="J73" i="3"/>
  <c r="K73" i="3"/>
  <c r="B74" i="3"/>
  <c r="C74" i="3"/>
  <c r="D74" i="3"/>
  <c r="E74" i="3"/>
  <c r="F74" i="3"/>
  <c r="G74" i="3"/>
  <c r="H74" i="3"/>
  <c r="I74" i="3"/>
  <c r="J74" i="3"/>
  <c r="K74" i="3"/>
  <c r="B75" i="3"/>
  <c r="C75" i="3"/>
  <c r="D75" i="3"/>
  <c r="E75" i="3"/>
  <c r="F75" i="3"/>
  <c r="G75" i="3"/>
  <c r="H75" i="3"/>
  <c r="I75" i="3"/>
  <c r="J75" i="3"/>
  <c r="K75" i="3"/>
  <c r="B76" i="3"/>
  <c r="C76" i="3"/>
  <c r="D76" i="3"/>
  <c r="E76" i="3"/>
  <c r="F76" i="3"/>
  <c r="G76" i="3"/>
  <c r="H76" i="3"/>
  <c r="I76" i="3"/>
  <c r="J76" i="3"/>
  <c r="K76" i="3"/>
  <c r="B77" i="3"/>
  <c r="C77" i="3"/>
  <c r="D77" i="3"/>
  <c r="E77" i="3"/>
  <c r="F77" i="3"/>
  <c r="G77" i="3"/>
  <c r="H77" i="3"/>
  <c r="I77" i="3"/>
  <c r="J77" i="3"/>
  <c r="K77" i="3"/>
  <c r="B78" i="3"/>
  <c r="C78" i="3"/>
  <c r="D78" i="3"/>
  <c r="E78" i="3"/>
  <c r="F78" i="3"/>
  <c r="G78" i="3"/>
  <c r="H78" i="3"/>
  <c r="I78" i="3"/>
  <c r="J78" i="3"/>
  <c r="K78" i="3"/>
  <c r="B79" i="3"/>
  <c r="C79" i="3"/>
  <c r="D79" i="3"/>
  <c r="E79" i="3"/>
  <c r="F79" i="3"/>
  <c r="G79" i="3"/>
  <c r="H79" i="3"/>
  <c r="I79" i="3"/>
  <c r="J79" i="3"/>
  <c r="K79" i="3"/>
  <c r="B80" i="3"/>
  <c r="C80" i="3"/>
  <c r="D80" i="3"/>
  <c r="E80" i="3"/>
  <c r="F80" i="3"/>
  <c r="G80" i="3"/>
  <c r="H80" i="3"/>
  <c r="I80" i="3"/>
  <c r="J80" i="3"/>
  <c r="K80" i="3"/>
  <c r="B81" i="3"/>
  <c r="C81" i="3"/>
  <c r="D81" i="3"/>
  <c r="E81" i="3"/>
  <c r="F81" i="3"/>
  <c r="G81" i="3"/>
  <c r="H81" i="3"/>
  <c r="I81" i="3"/>
  <c r="J81" i="3"/>
  <c r="K81" i="3"/>
  <c r="B82" i="3"/>
  <c r="C82" i="3"/>
  <c r="D82" i="3"/>
  <c r="E82" i="3"/>
  <c r="F82" i="3"/>
  <c r="G82" i="3"/>
  <c r="H82" i="3"/>
  <c r="I82" i="3"/>
  <c r="J82" i="3"/>
  <c r="K82" i="3"/>
  <c r="B83" i="3"/>
  <c r="C83" i="3"/>
  <c r="D83" i="3"/>
  <c r="E83" i="3"/>
  <c r="F83" i="3"/>
  <c r="G83" i="3"/>
  <c r="H83" i="3"/>
  <c r="I83" i="3"/>
  <c r="J83" i="3"/>
  <c r="K83" i="3"/>
  <c r="B84" i="3"/>
  <c r="C84" i="3"/>
  <c r="D84" i="3"/>
  <c r="E84" i="3"/>
  <c r="F84" i="3"/>
  <c r="G84" i="3"/>
  <c r="H84" i="3"/>
  <c r="I84" i="3"/>
  <c r="J84" i="3"/>
  <c r="K84" i="3"/>
  <c r="B85" i="3"/>
  <c r="C85" i="3"/>
  <c r="D85" i="3"/>
  <c r="E85" i="3"/>
  <c r="F85" i="3"/>
  <c r="G85" i="3"/>
  <c r="H85" i="3"/>
  <c r="I85" i="3"/>
  <c r="J85" i="3"/>
  <c r="K85" i="3"/>
  <c r="B86" i="3"/>
  <c r="C86" i="3"/>
  <c r="D86" i="3"/>
  <c r="E86" i="3"/>
  <c r="F86" i="3"/>
  <c r="G86" i="3"/>
  <c r="H86" i="3"/>
  <c r="I86" i="3"/>
  <c r="J86" i="3"/>
  <c r="K86" i="3"/>
  <c r="B87" i="3"/>
  <c r="C87" i="3"/>
  <c r="D87" i="3"/>
  <c r="E87" i="3"/>
  <c r="F87" i="3"/>
  <c r="G87" i="3"/>
  <c r="H87" i="3"/>
  <c r="I87" i="3"/>
  <c r="J87" i="3"/>
  <c r="K87" i="3"/>
  <c r="R118" i="3"/>
  <c r="V96" i="3"/>
  <c r="X96" i="3"/>
  <c r="R96" i="3"/>
  <c r="S96" i="3"/>
  <c r="T96" i="3"/>
  <c r="W96" i="3" l="1"/>
  <c r="O96" i="3"/>
  <c r="Y103" i="3"/>
  <c r="Y107" i="3" s="1"/>
  <c r="Q96" i="3"/>
  <c r="T107" i="3"/>
  <c r="Y96" i="3"/>
  <c r="U96" i="3"/>
  <c r="W103" i="3"/>
  <c r="W107" i="3" s="1"/>
  <c r="O105" i="3"/>
  <c r="O107" i="3" s="1"/>
  <c r="Q103" i="3"/>
  <c r="Q107" i="3" s="1"/>
  <c r="S107" i="3"/>
  <c r="P96" i="3"/>
  <c r="U103" i="3"/>
  <c r="U107" i="3" s="1"/>
  <c r="P103" i="3"/>
  <c r="P107" i="3" s="1"/>
  <c r="X103" i="3"/>
  <c r="X107" i="3" s="1"/>
  <c r="O51" i="19"/>
  <c r="O63" i="19" s="1"/>
  <c r="AA107" i="3"/>
  <c r="Z103" i="3"/>
  <c r="Z107" i="3" s="1"/>
  <c r="V103" i="3"/>
  <c r="V107" i="3" s="1"/>
  <c r="R103" i="3"/>
  <c r="R107" i="3" s="1"/>
  <c r="Z96" i="3"/>
  <c r="O120" i="3" l="1"/>
</calcChain>
</file>

<file path=xl/sharedStrings.xml><?xml version="1.0" encoding="utf-8"?>
<sst xmlns="http://schemas.openxmlformats.org/spreadsheetml/2006/main" count="609" uniqueCount="208">
  <si>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</si>
  <si>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</si>
  <si>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</si>
  <si>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</si>
  <si>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</si>
  <si>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</si>
  <si>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</si>
  <si>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</si>
  <si>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</si>
  <si>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</si>
  <si>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</si>
  <si>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</si>
  <si>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</si>
  <si>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</si>
  <si>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</si>
  <si>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</si>
  <si>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</si>
  <si>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</si>
  <si>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</si>
  <si>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</si>
  <si>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</si>
  <si>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</si>
  <si>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</si>
  <si>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</si>
  <si>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</si>
  <si>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</si>
  <si>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</si>
  <si>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</si>
  <si>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</si>
  <si>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</si>
  <si>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</si>
  <si>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</si>
  <si>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</si>
  <si>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</si>
  <si>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</si>
  <si>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</si>
  <si>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</si>
  <si>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</si>
  <si>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</si>
  <si>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</si>
  <si>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</si>
  <si>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</si>
  <si>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</si>
  <si>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Vitacura</t>
  </si>
  <si>
    <t>Vespucio</t>
  </si>
  <si>
    <t>UC</t>
  </si>
  <si>
    <t>Las Condes</t>
  </si>
  <si>
    <t>Santa Maria</t>
  </si>
  <si>
    <t>Lukas Quense</t>
  </si>
  <si>
    <t>Los Trapenses</t>
  </si>
  <si>
    <t>Vial</t>
  </si>
  <si>
    <t>Monte Tabor</t>
  </si>
  <si>
    <t>Fernandez</t>
  </si>
  <si>
    <t>UDD</t>
  </si>
  <si>
    <t>Ignacio Castañeda</t>
  </si>
  <si>
    <t>Javi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</si>
  <si>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</si>
  <si>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</si>
  <si>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</si>
  <si>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</si>
  <si>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</si>
  <si>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</si>
  <si>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Raimundo</t>
  </si>
  <si>
    <t>Opazo</t>
  </si>
  <si>
    <t>Av Contralmirante Fernandez Vial 10455</t>
  </si>
  <si>
    <t>opazoraimundo@gmail.com</t>
  </si>
  <si>
    <t>Camila</t>
  </si>
  <si>
    <t>De La Sotta</t>
  </si>
  <si>
    <t>Jose de Moraleda 4837</t>
  </si>
  <si>
    <t>camila.delasotta@gmail.com</t>
  </si>
  <si>
    <t>Frutillas</t>
  </si>
  <si>
    <t>Deuda</t>
  </si>
  <si>
    <t>Morales</t>
  </si>
  <si>
    <t>Los Trapenses 3230</t>
  </si>
  <si>
    <t>morales.villar25@gmail.com</t>
  </si>
  <si>
    <t>La Dehesa</t>
  </si>
  <si>
    <t>UAndes</t>
  </si>
  <si>
    <t>Mani</t>
  </si>
  <si>
    <t>Pistachos</t>
  </si>
  <si>
    <t>Caju</t>
  </si>
  <si>
    <t>Almendras</t>
  </si>
  <si>
    <t>Alvaro</t>
  </si>
  <si>
    <t>Cerro El Paico 9756</t>
  </si>
  <si>
    <t>Castañeda</t>
  </si>
  <si>
    <t>Punta de Aguilas Norte 9300 Casa 12</t>
  </si>
  <si>
    <t>Majo</t>
  </si>
  <si>
    <t>mjcastaneda@miuandes.cl</t>
  </si>
  <si>
    <t>San Carlos</t>
  </si>
  <si>
    <t>UCH</t>
  </si>
  <si>
    <t>Estoril</t>
  </si>
  <si>
    <t>Maria Luisa</t>
  </si>
  <si>
    <t>La Invernada 7005</t>
  </si>
  <si>
    <t>guisa97@hotmail.com</t>
  </si>
  <si>
    <t>Newland</t>
  </si>
  <si>
    <t>Pedro</t>
  </si>
  <si>
    <t>Padre Ted Huard 4144</t>
  </si>
  <si>
    <t>pedrovialbo@gmail.com</t>
  </si>
  <si>
    <t>Caviedes</t>
  </si>
  <si>
    <t>Juan</t>
  </si>
  <si>
    <t>Undurraga</t>
  </si>
  <si>
    <t>Huilquehue 4367</t>
  </si>
  <si>
    <t>jundurraga3@miuandes.cl</t>
  </si>
  <si>
    <t>acaviedes@uc.cl</t>
  </si>
  <si>
    <t>Sebastian</t>
  </si>
  <si>
    <t>Delorenzo</t>
  </si>
  <si>
    <t>sdelorenzo7@gmail.com</t>
  </si>
  <si>
    <t>Camino Otonal 1545</t>
  </si>
  <si>
    <t>Magdalena</t>
  </si>
  <si>
    <t>Astudillo</t>
  </si>
  <si>
    <t>Vaqueria 6926</t>
  </si>
  <si>
    <t>Aleman</t>
  </si>
  <si>
    <t>maidastu@gmail.com</t>
  </si>
  <si>
    <t>Cerezas</t>
  </si>
  <si>
    <t>UAI</t>
  </si>
  <si>
    <t>Matias</t>
  </si>
  <si>
    <t>Andres</t>
  </si>
  <si>
    <t>Infante</t>
  </si>
  <si>
    <t>Camino De Las Ermitas 3804</t>
  </si>
  <si>
    <t>andres_infanter@hotmail.com</t>
  </si>
  <si>
    <t>Krumm</t>
  </si>
  <si>
    <t>La Cienaga 12315</t>
  </si>
  <si>
    <t>matiask7@gmail.com</t>
  </si>
  <si>
    <t>Trinidad</t>
  </si>
  <si>
    <t>Pereira</t>
  </si>
  <si>
    <t>Punta de Aguilas 4311</t>
  </si>
  <si>
    <t>UAB</t>
  </si>
  <si>
    <t>trinipereira@gmail.com</t>
  </si>
  <si>
    <t>Barbara</t>
  </si>
  <si>
    <t>Rodriguez</t>
  </si>
  <si>
    <t>Raimapu 6744</t>
  </si>
  <si>
    <t>barodriguez@dsstgo.cl</t>
  </si>
  <si>
    <t>Claudio</t>
  </si>
  <si>
    <t>Baldovino</t>
  </si>
  <si>
    <t>Malaga 195 Dpto 51</t>
  </si>
  <si>
    <t>cbaldovino@fen.uchile.cl</t>
  </si>
  <si>
    <t>Chicureo</t>
  </si>
  <si>
    <t>Exequiel</t>
  </si>
  <si>
    <t>Swinburn</t>
  </si>
  <si>
    <t>nnn</t>
  </si>
  <si>
    <t>Laura</t>
  </si>
  <si>
    <t>Stuardo</t>
  </si>
  <si>
    <t>Paseo del Loira 4563</t>
  </si>
  <si>
    <t>laurastuardotns@gmail.com</t>
  </si>
  <si>
    <t>Salas</t>
  </si>
  <si>
    <t>Manquehue</t>
  </si>
  <si>
    <t>Ignacio</t>
  </si>
  <si>
    <t>Rosario</t>
  </si>
  <si>
    <t>Diez</t>
  </si>
  <si>
    <t>Hermanos Cabott 6671</t>
  </si>
  <si>
    <t>rdiezperry@gmail.com</t>
  </si>
  <si>
    <t>Isidora</t>
  </si>
  <si>
    <t>Colina</t>
  </si>
  <si>
    <t>Montt</t>
  </si>
  <si>
    <t>Rio Maule 475</t>
  </si>
  <si>
    <t>imontt@miuandes.cl</t>
  </si>
  <si>
    <t>Sofia</t>
  </si>
  <si>
    <t>Ovalle</t>
  </si>
  <si>
    <t>Manuel Guzman Maturana 1900 Casa 9</t>
  </si>
  <si>
    <t>maovallel@udd.cl</t>
  </si>
  <si>
    <t>Tomas</t>
  </si>
  <si>
    <t>El Golf de Manquehue 9750 Casa 703</t>
  </si>
  <si>
    <t>mtsalas1@uc.cl</t>
  </si>
  <si>
    <t>Rojas</t>
  </si>
  <si>
    <t>Condominio Chicureo 3</t>
  </si>
  <si>
    <t>tfrs15@hotmail.com</t>
  </si>
  <si>
    <t>De La Barra</t>
  </si>
  <si>
    <t>Parque Antonio Rabba 6333</t>
  </si>
  <si>
    <t>San Benito</t>
  </si>
  <si>
    <t>isidora.delabarra@gmail.com</t>
  </si>
  <si>
    <t>Juan Pablo</t>
  </si>
  <si>
    <t>Germain</t>
  </si>
  <si>
    <t>Arandanos</t>
  </si>
  <si>
    <t>Av La Dehesa 4510 Casa 10</t>
  </si>
  <si>
    <t>exequielswinburn@gmail.com</t>
  </si>
  <si>
    <t>Santa Veronica 1035</t>
  </si>
  <si>
    <t>jpgermain17@gmail.com</t>
  </si>
  <si>
    <t>Florencia</t>
  </si>
  <si>
    <t>Croxatto</t>
  </si>
  <si>
    <t>Los Olivos 12179</t>
  </si>
  <si>
    <t>fcroxatto@uc.cl</t>
  </si>
  <si>
    <t>Cristobal</t>
  </si>
  <si>
    <t>Valdes</t>
  </si>
  <si>
    <t>Los Queltehues 11524</t>
  </si>
  <si>
    <t>Cordillera</t>
  </si>
  <si>
    <t>cristobalvaldes99@gmail.com</t>
  </si>
  <si>
    <t>Muschen</t>
  </si>
  <si>
    <t>Pia</t>
  </si>
  <si>
    <t>Camino Mirasol 2569</t>
  </si>
  <si>
    <t>Empanadas</t>
  </si>
  <si>
    <t>Empanadas Queso</t>
  </si>
  <si>
    <t>Piedra Roja</t>
  </si>
  <si>
    <t>Paul</t>
  </si>
  <si>
    <t>Brenner</t>
  </si>
  <si>
    <t>San Jose De La Sierra 1105</t>
  </si>
  <si>
    <t>Quinchamali</t>
  </si>
  <si>
    <t>paulmartinbrenner@hotmail.com</t>
  </si>
  <si>
    <t>Joaquin</t>
  </si>
  <si>
    <t>Daly</t>
  </si>
  <si>
    <t>Polo 1 de Manquehue Casa 112</t>
  </si>
  <si>
    <t>CSA</t>
  </si>
  <si>
    <t>dalyjoaquin@gmail.com</t>
  </si>
  <si>
    <t>Parque Antonio Rabbat 6333</t>
  </si>
  <si>
    <t>Gino</t>
  </si>
  <si>
    <t>Genova</t>
  </si>
  <si>
    <t>Badia</t>
  </si>
  <si>
    <t>Av Golf Lomas de La Dehesa 11755</t>
  </si>
  <si>
    <t>isidorabadiaw@gmail.com</t>
  </si>
  <si>
    <t>Las Condesas 2035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</si>
</sst>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169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37" xfId="0" applyFont="1" applyBorder="1" applyAlignment="1">
      <alignment horizontal="center" vertical="center"/>
    </xf>
    <xf numFmtId="164" fontId="13" fillId="0" borderId="2" xfId="0" applyFont="1" applyBorder="1"/>
    <xf numFmtId="164" fontId="13" fillId="0" borderId="11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5" xfId="0" applyFont="1" applyBorder="1"/>
    <xf numFmtId="164" fontId="13" fillId="0" borderId="16" xfId="0" applyFont="1" applyBorder="1"/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38" xfId="0" applyNumberFormat="1" applyBorder="1" applyAlignment="1">
      <alignment horizontal="left" vertical="center"/>
    </xf>
    <xf numFmtId="164" fontId="4" fillId="0" borderId="0" xfId="0" applyFont="1" applyBorder="1" applyAlignment="1">
      <alignment horizontal="center" vertical="center"/>
    </xf>
    <xf numFmtId="164" fontId="4" fillId="0" borderId="8" xfId="0" applyFont="1" applyBorder="1" applyAlignment="1">
      <alignment horizontal="center" vertic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0" xfId="0" applyNumberFormat="1" applyBorder="1" applyAlignment="1">
      <alignment horizontal="center"/>
    </xf>
    <xf numFmtId="164" fontId="0" fillId="0" borderId="14" xfId="0" applyNumberFormat="1" applyBorder="1"/>
    <xf numFmtId="164" fontId="0" fillId="0" borderId="15" xfId="0" applyNumberFormat="1" applyBorder="1"/>
    <xf numFmtId="164" fontId="0" fillId="0" borderId="35" xfId="0" applyBorder="1"/>
    <xf numFmtId="164" fontId="0" fillId="0" borderId="6" xfId="0" applyBorder="1"/>
    <xf numFmtId="166" fontId="0" fillId="0" borderId="6" xfId="0" applyNumberForma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8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5" fontId="0" fillId="0" borderId="2" xfId="0" quotePrefix="1" applyNumberFormat="1" applyBorder="1" applyAlignment="1">
      <alignment horizontal="center" vertical="center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64" fontId="8" fillId="0" borderId="16" xfId="0" applyNumberFormat="1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9" fillId="0" borderId="33" xfId="0" applyFont="1" applyBorder="1" applyAlignment="1">
      <alignment horizontal="center" vertical="center"/>
    </xf>
    <xf numFmtId="164" fontId="9" fillId="0" borderId="34" xfId="0" applyFont="1" applyBorder="1" applyAlignment="1">
      <alignment horizontal="center" vertical="center"/>
    </xf>
    <xf numFmtId="164" fontId="9" fillId="0" borderId="39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6" fillId="0" borderId="29" xfId="0" applyFont="1" applyBorder="1" applyAlignment="1">
      <alignment horizontal="center" vertical="center"/>
    </xf>
    <xf numFmtId="0" fontId="0" fillId="0" borderId="10" xfId="0" applyNumberFormat="1" applyBorder="1"/>
    <xf numFmtId="0" fontId="0" fillId="0" borderId="10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42" xfId="0" applyFont="1" applyBorder="1" applyAlignment="1">
      <alignment horizontal="center" vertical="center"/>
    </xf>
    <xf numFmtId="164" fontId="0" fillId="0" borderId="41" xfId="0" applyFont="1" applyBorder="1" applyAlignment="1">
      <alignment horizontal="center" vertical="center"/>
    </xf>
    <xf numFmtId="164" fontId="0" fillId="0" borderId="40" xfId="0" applyFont="1" applyBorder="1" applyAlignment="1">
      <alignment horizontal="center" vertic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18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>
        <bottom style="medium">
          <color rgb="FF000000"/>
        </bottom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Lukas Quense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  <row r="74">
          <cell r="A74" t="str">
            <v>Tomas</v>
          </cell>
          <cell r="B74" t="str">
            <v>Ovalle</v>
          </cell>
          <cell r="G74" t="str">
            <v>JEFE</v>
          </cell>
          <cell r="J74" t="str">
            <v>Lukas Quense</v>
          </cell>
        </row>
        <row r="75">
          <cell r="A75" t="str">
            <v>Sebastian</v>
          </cell>
          <cell r="B75" t="str">
            <v>Delorenzo</v>
          </cell>
          <cell r="C75" t="str">
            <v>Camino Otonal 1545</v>
          </cell>
          <cell r="D75" t="str">
            <v>Las Condes</v>
          </cell>
          <cell r="E75" t="str">
            <v>San Carlos</v>
          </cell>
          <cell r="F75" t="str">
            <v>UC</v>
          </cell>
          <cell r="G75" t="str">
            <v>JEFE</v>
          </cell>
          <cell r="H75">
            <v>56997792386</v>
          </cell>
          <cell r="I75" t="str">
            <v>sdelorenzo7@gmail.com</v>
          </cell>
          <cell r="J75" t="str">
            <v>Lukas Quense</v>
          </cell>
        </row>
        <row r="76">
          <cell r="A76" t="str">
            <v>Claudio</v>
          </cell>
          <cell r="B76" t="str">
            <v>Baldovino</v>
          </cell>
          <cell r="C76" t="str">
            <v>Malaga 195 Dpto 51</v>
          </cell>
          <cell r="D76" t="str">
            <v>Las Condes</v>
          </cell>
          <cell r="E76" t="str">
            <v>Vespucio</v>
          </cell>
          <cell r="F76" t="str">
            <v>UCH</v>
          </cell>
          <cell r="G76" t="str">
            <v>JEFE</v>
          </cell>
          <cell r="H76">
            <v>56994792301</v>
          </cell>
          <cell r="I76" t="str">
            <v>cbaldovino@fen.uchile.cl</v>
          </cell>
          <cell r="J76" t="str">
            <v>Ignacio Castañeda</v>
          </cell>
        </row>
        <row r="77">
          <cell r="A77" t="str">
            <v>Laura</v>
          </cell>
          <cell r="B77" t="str">
            <v>Stuardo</v>
          </cell>
          <cell r="C77" t="str">
            <v>Paseo del Loira 4563</v>
          </cell>
          <cell r="D77" t="str">
            <v>Lo Barnechea</v>
          </cell>
          <cell r="E77" t="str">
            <v>La Dehesa</v>
          </cell>
          <cell r="F77" t="str">
            <v>Newland</v>
          </cell>
          <cell r="G77" t="str">
            <v>JEFE</v>
          </cell>
          <cell r="H77">
            <v>56991592586</v>
          </cell>
          <cell r="I77" t="str">
            <v>laurastuardotns@gmail.com</v>
          </cell>
          <cell r="J77" t="str">
            <v>Joaquin Eichholz</v>
          </cell>
        </row>
        <row r="78">
          <cell r="A78" t="str">
            <v>Exequiel</v>
          </cell>
          <cell r="B78" t="str">
            <v>Swinburn</v>
          </cell>
          <cell r="C78" t="str">
            <v>Av La Dehesa 4510 Casa 10</v>
          </cell>
          <cell r="D78" t="str">
            <v>Lo Barnechea</v>
          </cell>
          <cell r="E78" t="str">
            <v>La Dehesa</v>
          </cell>
          <cell r="F78" t="str">
            <v>UAI</v>
          </cell>
          <cell r="G78" t="str">
            <v>JEFE</v>
          </cell>
          <cell r="H78">
            <v>56992704205</v>
          </cell>
          <cell r="I78" t="str">
            <v>exequielswinburn@gmail.com</v>
          </cell>
          <cell r="J78" t="str">
            <v>Ignacio Castañeda</v>
          </cell>
        </row>
        <row r="79">
          <cell r="A79" t="str">
            <v>Trinidad</v>
          </cell>
          <cell r="B79" t="str">
            <v>Salas</v>
          </cell>
          <cell r="C79" t="str">
            <v>El Golf de Manquehue 9750 Casa 703</v>
          </cell>
          <cell r="D79" t="str">
            <v>Lo Barnechea</v>
          </cell>
          <cell r="E79" t="str">
            <v>Los Trapenses</v>
          </cell>
          <cell r="F79" t="str">
            <v>UC</v>
          </cell>
          <cell r="G79" t="str">
            <v>JEFE</v>
          </cell>
          <cell r="H79">
            <v>56997594184</v>
          </cell>
          <cell r="I79" t="str">
            <v>mtsalas1@uc.cl</v>
          </cell>
          <cell r="J79" t="str">
            <v>Lukas Quense</v>
          </cell>
        </row>
        <row r="80">
          <cell r="A80" t="str">
            <v>Roberto</v>
          </cell>
          <cell r="B80" t="str">
            <v>Salinas</v>
          </cell>
          <cell r="C80" t="str">
            <v>Calle Parque 12701</v>
          </cell>
          <cell r="D80" t="str">
            <v>Lo Barnechea</v>
          </cell>
          <cell r="E80" t="str">
            <v>La Dehesa</v>
          </cell>
          <cell r="G80" t="str">
            <v>JEFE</v>
          </cell>
          <cell r="H80">
            <v>56966082903</v>
          </cell>
          <cell r="I80" t="str">
            <v>robertosalinas10200@gmail.com</v>
          </cell>
          <cell r="J80" t="str">
            <v>Ignacio Castañeda</v>
          </cell>
        </row>
        <row r="81">
          <cell r="A81" t="str">
            <v>Tomas</v>
          </cell>
          <cell r="B81" t="str">
            <v>Rojas</v>
          </cell>
          <cell r="C81" t="str">
            <v>Condominio Chicureo 3</v>
          </cell>
          <cell r="D81" t="str">
            <v>Chicureo</v>
          </cell>
          <cell r="E81" t="str">
            <v>Colina</v>
          </cell>
          <cell r="F81" t="str">
            <v>UC</v>
          </cell>
          <cell r="G81" t="str">
            <v>JEFE</v>
          </cell>
          <cell r="H81">
            <v>56979312762</v>
          </cell>
          <cell r="I81" t="str">
            <v>tfrs15@hotmail.com</v>
          </cell>
          <cell r="J81" t="str">
            <v>Lukas Quense</v>
          </cell>
        </row>
        <row r="82">
          <cell r="A82" t="str">
            <v>Andres</v>
          </cell>
          <cell r="B82" t="str">
            <v>Santamaria</v>
          </cell>
          <cell r="C82" t="str">
            <v>Arquitecto Sulivan 5949</v>
          </cell>
          <cell r="D82" t="str">
            <v>Vitacura</v>
          </cell>
          <cell r="F82" t="str">
            <v>UDD</v>
          </cell>
          <cell r="G82" t="str">
            <v>JEFE</v>
          </cell>
          <cell r="H82">
            <v>56982930856</v>
          </cell>
          <cell r="I82" t="str">
            <v>asantamariaw@gmail.com</v>
          </cell>
          <cell r="J82" t="str">
            <v>Joaquin Eichholz</v>
          </cell>
        </row>
        <row r="83">
          <cell r="A83" t="str">
            <v>Isidora</v>
          </cell>
          <cell r="B83" t="str">
            <v>De La Barra</v>
          </cell>
          <cell r="C83" t="str">
            <v>Parque Antonio Rabbat 6333</v>
          </cell>
          <cell r="D83" t="str">
            <v>Vitacura</v>
          </cell>
          <cell r="E83" t="str">
            <v>Santa Maria</v>
          </cell>
          <cell r="F83" t="str">
            <v>San Benito</v>
          </cell>
          <cell r="G83" t="str">
            <v>JEFE</v>
          </cell>
          <cell r="H83">
            <v>56999194650</v>
          </cell>
          <cell r="I83" t="str">
            <v>isidora.delabarra@gmail.com</v>
          </cell>
          <cell r="J83" t="str">
            <v>Joaquin Eichholz</v>
          </cell>
        </row>
        <row r="84">
          <cell r="A84" t="str">
            <v>Juan Pablo</v>
          </cell>
          <cell r="B84" t="str">
            <v>Germain</v>
          </cell>
          <cell r="C84" t="str">
            <v>Santa Veronica 1035</v>
          </cell>
          <cell r="D84" t="str">
            <v>Las Condes</v>
          </cell>
          <cell r="E84" t="str">
            <v>San Carlos</v>
          </cell>
          <cell r="F84" t="str">
            <v>UC</v>
          </cell>
          <cell r="G84" t="str">
            <v>JEFE</v>
          </cell>
          <cell r="H84">
            <v>56966685970</v>
          </cell>
          <cell r="I84" t="str">
            <v>jpgermain17@gmail.com</v>
          </cell>
          <cell r="J84" t="str">
            <v>Joaquin Eichholz</v>
          </cell>
        </row>
        <row r="85">
          <cell r="A85" t="str">
            <v>Matias</v>
          </cell>
          <cell r="B85" t="str">
            <v>Muschen</v>
          </cell>
          <cell r="C85" t="str">
            <v>Las Condesas 2035</v>
          </cell>
          <cell r="D85" t="str">
            <v>Las Condes</v>
          </cell>
          <cell r="E85" t="str">
            <v>San Carlos</v>
          </cell>
          <cell r="F85" t="str">
            <v>Aleman</v>
          </cell>
          <cell r="G85" t="str">
            <v>JEFE</v>
          </cell>
          <cell r="H85" t="str">
            <v>nnn</v>
          </cell>
          <cell r="I85" t="str">
            <v>matimuschen@gmail.com</v>
          </cell>
          <cell r="J85" t="str">
            <v>Lukas Quense</v>
          </cell>
        </row>
        <row r="86">
          <cell r="A86" t="str">
            <v>Pia</v>
          </cell>
          <cell r="B86" t="str">
            <v>Rodriguez</v>
          </cell>
          <cell r="C86" t="str">
            <v>Camino Mirasol 2569</v>
          </cell>
          <cell r="D86" t="str">
            <v>Las Condes</v>
          </cell>
          <cell r="E86" t="str">
            <v>San Carlos</v>
          </cell>
          <cell r="G86" t="str">
            <v>JEFE</v>
          </cell>
          <cell r="H86" t="str">
            <v>nnn</v>
          </cell>
        </row>
        <row r="87">
          <cell r="A87" t="str">
            <v>Gino</v>
          </cell>
          <cell r="B87" t="str">
            <v>Genova</v>
          </cell>
        </row>
        <row r="88">
          <cell r="A88" t="str">
            <v>Isidora</v>
          </cell>
          <cell r="B88" t="str">
            <v>Badia</v>
          </cell>
          <cell r="C88" t="str">
            <v>Av Golf Lomas de La Dehesa 11755</v>
          </cell>
          <cell r="D88" t="str">
            <v>Lo Barnechea</v>
          </cell>
          <cell r="E88" t="str">
            <v>Los Trapenses</v>
          </cell>
          <cell r="F88" t="str">
            <v>UAI</v>
          </cell>
          <cell r="G88" t="str">
            <v>JEFE</v>
          </cell>
          <cell r="H88">
            <v>56976994719</v>
          </cell>
          <cell r="I88" t="str">
            <v>isidorabadiaw@gmail.com</v>
          </cell>
          <cell r="J88" t="str">
            <v>Lukas Quense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D91" totalsRowShown="0" headerRowDxfId="182" headerRowBorderDxfId="181" tableBorderDxfId="180" totalsRowBorderDxfId="179">
  <autoFilter ref="B4:AD91" xr:uid="{00000000-0009-0000-0100-000002000000}"/>
  <sortState ref="B5:AD87">
    <sortCondition ref="C4:C72"/>
  </sortState>
  <tableColumns count="29">
    <tableColumn id="1" xr3:uid="{00000000-0010-0000-0000-000001000000}" name="Nombre" dataDxfId="94">
      <calculatedColumnFormula>[1]Personas!A2</calculatedColumnFormula>
    </tableColumn>
    <tableColumn id="2" xr3:uid="{00000000-0010-0000-0000-000002000000}" name="Apellido" dataDxfId="93" totalsRowDxfId="178">
      <calculatedColumnFormula>[1]Personas!B2</calculatedColumnFormula>
    </tableColumn>
    <tableColumn id="3" xr3:uid="{00000000-0010-0000-0000-000003000000}" name="Direccion" dataDxfId="92" totalsRowDxfId="177">
      <calculatedColumnFormula>[1]Personas!C2</calculatedColumnFormula>
    </tableColumn>
    <tableColumn id="4" xr3:uid="{00000000-0010-0000-0000-000004000000}" name="Comuna" dataDxfId="91" totalsRowDxfId="176">
      <calculatedColumnFormula>[1]Personas!D2</calculatedColumnFormula>
    </tableColumn>
    <tableColumn id="20" xr3:uid="{00000000-0010-0000-0000-000014000000}" name="Sector" dataDxfId="90" totalsRowDxfId="175">
      <calculatedColumnFormula>[1]Personas!E2</calculatedColumnFormula>
    </tableColumn>
    <tableColumn id="21" xr3:uid="{00000000-0010-0000-0000-000015000000}" name="Universidad" dataDxfId="89" totalsRowDxfId="174">
      <calculatedColumnFormula>[1]Personas!F2</calculatedColumnFormula>
    </tableColumn>
    <tableColumn id="22" xr3:uid="{00000000-0010-0000-0000-000016000000}" name="Cargo" dataDxfId="88" totalsRowDxfId="173">
      <calculatedColumnFormula>[1]Personas!G2</calculatedColumnFormula>
    </tableColumn>
    <tableColumn id="19" xr3:uid="{00000000-0010-0000-0000-000013000000}" name="Telefono" dataDxfId="87" totalsRowDxfId="172">
      <calculatedColumnFormula>[1]Personas!H2</calculatedColumnFormula>
    </tableColumn>
    <tableColumn id="12" xr3:uid="{00000000-0010-0000-0000-00000C000000}" name="Mail" dataDxfId="86" totalsRowDxfId="171" dataCellStyle="Millares">
      <calculatedColumnFormula>[1]Personas!I2</calculatedColumnFormula>
    </tableColumn>
    <tableColumn id="29" xr3:uid="{00000000-0010-0000-0000-00001D000000}" name="Encargado" dataDxfId="85" totalsRowDxfId="170" dataCellStyle="Millares">
      <calculatedColumnFormula>[1]Personas!J2</calculatedColumnFormula>
    </tableColumn>
    <tableColumn id="28" xr3:uid="{00000000-0010-0000-0000-00001C000000}" name="Entregado" dataDxfId="84" totalsRowDxfId="169"/>
    <tableColumn id="11" xr3:uid="{EA03B5A3-0D22-4235-8B84-5BCED3FE14DE}" name="Pagado" dataDxfId="83" totalsRowDxfId="168"/>
    <tableColumn id="5" xr3:uid="{00000000-0010-0000-0000-000005000000}" name="Deuda" dataDxfId="66" totalsRowDxfId="167">
      <calculatedColumnFormula>SUMPRODUCT(Tabla523[[#This Row],[Naranjas]:[Empanadas Queso]],O$101:AB$101)</calculatedColumnFormula>
    </tableColumn>
    <tableColumn id="7" xr3:uid="{00000000-0010-0000-0000-000007000000}" name="Naranjas" dataDxfId="82" totalsRowDxfId="166"/>
    <tableColumn id="8" xr3:uid="{00000000-0010-0000-0000-000008000000}" name="Mandarinas" dataDxfId="81" totalsRowDxfId="165"/>
    <tableColumn id="9" xr3:uid="{00000000-0010-0000-0000-000009000000}" name="Paltas" dataDxfId="80" totalsRowDxfId="164"/>
    <tableColumn id="10" xr3:uid="{00000000-0010-0000-0000-00000A000000}" name="Quesos" dataDxfId="79" totalsRowDxfId="163"/>
    <tableColumn id="6" xr3:uid="{156812BB-FB47-4F5F-AC79-944CA52078EE}" name="Frutillas" dataDxfId="78" totalsRowDxfId="162"/>
    <tableColumn id="13" xr3:uid="{00000000-0010-0000-0000-00000D000000}" name="Tomate Cherry" dataDxfId="77" totalsRowDxfId="161"/>
    <tableColumn id="14" xr3:uid="{00000000-0010-0000-0000-00000E000000}" name="Nueces" dataDxfId="76" totalsRowDxfId="160"/>
    <tableColumn id="15" xr3:uid="{521ADC59-7BBF-4276-8FA1-9D5F3652F653}" name="Mani" dataDxfId="75" totalsRowDxfId="159"/>
    <tableColumn id="16" xr3:uid="{A0273DDC-1B43-44D2-9218-45E0A5D88391}" name="Pistachos" dataDxfId="74" totalsRowDxfId="158"/>
    <tableColumn id="17" xr3:uid="{C5A1A2FF-4286-42A7-8DEE-9A684DFF7AC0}" name="Caju" dataDxfId="73" totalsRowDxfId="157"/>
    <tableColumn id="18" xr3:uid="{C6D5E838-31A0-4EAD-849A-FAC4EC0A9B82}" name="Almendras" dataDxfId="72" totalsRowDxfId="156"/>
    <tableColumn id="24" xr3:uid="{27EB8D53-46B1-4BC2-BFB6-B8CE36C95103}" name="Cerezas" dataDxfId="71" totalsRowDxfId="155"/>
    <tableColumn id="25" xr3:uid="{39A7B418-A22B-4561-896D-DE159452AE13}" name="Arandanos" dataDxfId="70" totalsRowDxfId="154"/>
    <tableColumn id="26" xr3:uid="{71B74DBE-6416-4D1B-88FD-C4514F95BA6A}" name="Empanadas Queso" dataDxfId="67" totalsRowDxfId="68"/>
    <tableColumn id="23" xr3:uid="{00000000-0010-0000-0000-000017000000}" name="Total" dataDxfId="65">
      <calculatedColumnFormula>SUM(Tabla523[[#This Row],[Naranjas]:[Empanadas Queso]])</calculatedColumnFormula>
    </tableColumn>
    <tableColumn id="30" xr3:uid="{00000000-0010-0000-0000-00001E000000}" name="Comentario" dataDxfId="69" totalsRowDxfId="15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59EEF5-AB8B-4180-8244-F7E5B70DA91C}" name="Tabla5232" displayName="Tabla5232" ref="B4:AC34" totalsRowShown="0" headerRowDxfId="152" headerRowBorderDxfId="151" tableBorderDxfId="150" totalsRowBorderDxfId="149">
  <autoFilter ref="B4:AC34" xr:uid="{00000000-0009-0000-0100-000002000000}"/>
  <sortState ref="B5:AC34">
    <sortCondition descending="1" ref="AB4:AB34"/>
  </sortState>
  <tableColumns count="28">
    <tableColumn id="1" xr3:uid="{71B4C92C-9C64-41E8-A798-4510DC81DF4A}" name="Nombre" dataDxfId="148"/>
    <tableColumn id="2" xr3:uid="{58E5AB42-96EA-40B4-B703-94FA8092DC4E}" name="Apellido" dataDxfId="147" totalsRowDxfId="146"/>
    <tableColumn id="3" xr3:uid="{C9AC297E-4DAA-496B-91B7-3E3B53BC637C}" name="Direccion" dataDxfId="145" totalsRowDxfId="144"/>
    <tableColumn id="4" xr3:uid="{0D2A2296-A23C-497C-A510-1B1BA009174C}" name="Comuna" dataDxfId="143" totalsRowDxfId="142"/>
    <tableColumn id="20" xr3:uid="{456400BD-3F02-42A6-810F-B46A8184E6D5}" name="Sector" dataDxfId="141" totalsRowDxfId="140"/>
    <tableColumn id="21" xr3:uid="{5A1F73F5-E7EA-4C10-8CF6-D9AD98725AC2}" name="Universidad" dataDxfId="139" totalsRowDxfId="138"/>
    <tableColumn id="22" xr3:uid="{09AA1EAF-A9E4-4DED-81BA-F1985931A1D2}" name="Cargo" dataDxfId="137" totalsRowDxfId="136"/>
    <tableColumn id="19" xr3:uid="{3E8E2A3D-A163-4D20-A5CF-23AB49B4B9A2}" name="Telefono" dataDxfId="135" totalsRowDxfId="134"/>
    <tableColumn id="12" xr3:uid="{632A6781-39DA-4F7A-B4D3-967429AC58C3}" name="Mail" dataDxfId="133" totalsRowDxfId="132" dataCellStyle="Millares"/>
    <tableColumn id="29" xr3:uid="{5058808B-1DDC-4693-9828-F5F08034D128}" name="Encargado" dataDxfId="131" totalsRowDxfId="130" dataCellStyle="Millares"/>
    <tableColumn id="28" xr3:uid="{44AE51D1-5510-4C54-A6FF-FCF243FBA379}" name="Entregado" dataDxfId="129" totalsRowDxfId="128"/>
    <tableColumn id="11" xr3:uid="{E56BFFCB-4649-43A5-AC87-2D5182B21DC5}" name="Pagado" dataDxfId="127" totalsRowDxfId="126"/>
    <tableColumn id="5" xr3:uid="{30960046-F2A4-4D1E-85CB-7E24D59297A3}" name="Deuda" dataDxfId="125" totalsRowDxfId="124">
      <calculatedColumnFormula>SUMPRODUCT(Tabla5232[[#This Row],[Naranjas]:[Arandanos]],O$99:AA$99)</calculatedColumnFormula>
    </tableColumn>
    <tableColumn id="7" xr3:uid="{829F5950-A077-48F7-B019-4A5B7B1ACD3C}" name="Naranjas" dataDxfId="123" totalsRowDxfId="122"/>
    <tableColumn id="8" xr3:uid="{73E8CFA6-B4FD-4A91-87F1-16596133B9C1}" name="Mandarinas" dataDxfId="121" totalsRowDxfId="120"/>
    <tableColumn id="9" xr3:uid="{A5F735DE-F64D-484E-A26F-B84B2FBAC03C}" name="Paltas" dataDxfId="119" totalsRowDxfId="118"/>
    <tableColumn id="10" xr3:uid="{2789C415-CB5E-4B24-A2F9-224AAEB821CE}" name="Quesos" dataDxfId="117" totalsRowDxfId="116"/>
    <tableColumn id="6" xr3:uid="{8B14CFF4-4C69-480B-AD97-A2B8513DD53B}" name="Frutillas" dataDxfId="115" totalsRowDxfId="114"/>
    <tableColumn id="13" xr3:uid="{1FB2ED45-888A-4E81-880C-975BA7331F19}" name="Tomate Cherry" dataDxfId="113" totalsRowDxfId="112"/>
    <tableColumn id="14" xr3:uid="{6459A08D-275F-46AA-9A07-EFD30893355D}" name="Nueces" dataDxfId="111" totalsRowDxfId="110"/>
    <tableColumn id="15" xr3:uid="{963A48D3-52E6-413A-86E5-96E6E3F452C3}" name="Mani" dataDxfId="109" totalsRowDxfId="108"/>
    <tableColumn id="16" xr3:uid="{BFD03669-23EA-4121-8A67-47B859296D30}" name="Pistachos" dataDxfId="107" totalsRowDxfId="106"/>
    <tableColumn id="17" xr3:uid="{168D9731-715E-457C-B56A-7DA67280ED14}" name="Caju" dataDxfId="105" totalsRowDxfId="104"/>
    <tableColumn id="18" xr3:uid="{D81D2DF2-0D65-4DC0-B8D4-AD6CA8DE80F7}" name="Almendras" dataDxfId="103" totalsRowDxfId="102"/>
    <tableColumn id="24" xr3:uid="{48AE6144-4171-4249-9C00-064ACA9EF49F}" name="Cerezas" dataDxfId="101" totalsRowDxfId="100"/>
    <tableColumn id="25" xr3:uid="{F01808BB-3E1C-492A-A5E6-89174DFEBED7}" name="Arandanos" dataDxfId="99" totalsRowDxfId="98"/>
    <tableColumn id="23" xr3:uid="{1B2DE2B9-F48F-4545-B84F-8441640915AA}" name="Total" dataDxfId="97">
      <calculatedColumnFormula>SUM(Tabla5232[[#This Row],[Naranjas]:[Arandanos]])</calculatedColumnFormula>
    </tableColumn>
    <tableColumn id="30" xr3:uid="{9C95A16C-119E-4C8F-AA98-4BE9847DE85D}" name="Comentario" dataDxfId="96" totalsRowDxfId="9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5939B1-6E3E-47BB-80A0-EC0289829611}" name="Tabla5234" displayName="Tabla5234" ref="B4:AB21" totalsRowShown="0" headerRowDxfId="64" headerRowBorderDxfId="62" tableBorderDxfId="63" totalsRowBorderDxfId="61">
  <autoFilter ref="B4:AB21" xr:uid="{00000000-0009-0000-0100-000002000000}"/>
  <sortState ref="B5:AB21">
    <sortCondition descending="1" ref="AA4:AA21"/>
  </sortState>
  <tableColumns count="27">
    <tableColumn id="1" xr3:uid="{437D22FA-39C6-4DDE-B240-1CE6B15C5592}" name="Nombre" dataDxfId="60"/>
    <tableColumn id="2" xr3:uid="{284B03E7-45BB-4638-A663-9DB60F2FD435}" name="Apellido" dataDxfId="58" totalsRowDxfId="59"/>
    <tableColumn id="3" xr3:uid="{38309E86-1285-490B-BA81-DCA9D8160C32}" name="Direccion" dataDxfId="56" totalsRowDxfId="57"/>
    <tableColumn id="4" xr3:uid="{224D1D55-73AF-4E72-B8D0-9A1CE053818C}" name="Comuna" dataDxfId="54" totalsRowDxfId="55"/>
    <tableColumn id="20" xr3:uid="{88A29F3C-15A3-4E6D-91AF-930A03B0257D}" name="Sector" dataDxfId="52" totalsRowDxfId="53"/>
    <tableColumn id="21" xr3:uid="{2414206A-CC71-4708-8AA1-DEF707F4F083}" name="Universidad" dataDxfId="50" totalsRowDxfId="51"/>
    <tableColumn id="22" xr3:uid="{38F5FBD2-2DE1-4F7C-844B-077A76594499}" name="Cargo" dataDxfId="48" totalsRowDxfId="49"/>
    <tableColumn id="19" xr3:uid="{FF7B4033-A94F-436C-8891-D8088BDDA3E7}" name="Telefono" dataDxfId="46" totalsRowDxfId="47"/>
    <tableColumn id="12" xr3:uid="{72404270-8AC6-4312-AD82-DB59720C469C}" name="Mail" dataDxfId="44" totalsRowDxfId="45" dataCellStyle="Millares"/>
    <tableColumn id="29" xr3:uid="{AEE1CA8F-0C31-4A59-AA93-8D920355DE77}" name="Encargado" dataDxfId="42" totalsRowDxfId="43" dataCellStyle="Millares"/>
    <tableColumn id="28" xr3:uid="{D140BA68-4EA1-42C2-A1C4-58E1F3E3E06F}" name="Entregado" dataDxfId="40" totalsRowDxfId="41"/>
    <tableColumn id="11" xr3:uid="{CECE6857-FB57-4313-BEED-C8B33CD66B24}" name="Pagado" dataDxfId="38" totalsRowDxfId="39"/>
    <tableColumn id="5" xr3:uid="{FA12459A-27EB-4631-9DA8-B0466F187D13}" name="Deuda" dataDxfId="10" totalsRowDxfId="37">
      <calculatedColumnFormula>SUMPRODUCT(Tabla5234[[#This Row],[Paltas]:[Empanadas]],O$31:Z$31)</calculatedColumnFormula>
    </tableColumn>
    <tableColumn id="9" xr3:uid="{89C1ADA4-E7ED-4155-8B63-CC06927D2EFC}" name="Paltas" dataDxfId="35" totalsRowDxfId="36"/>
    <tableColumn id="10" xr3:uid="{2C8352FD-8421-4448-954E-8D01E13795EF}" name="Quesos" dataDxfId="33" totalsRowDxfId="34"/>
    <tableColumn id="6" xr3:uid="{2302DABD-F433-43F7-8116-2A36678B5675}" name="Frutillas" dataDxfId="31" totalsRowDxfId="32"/>
    <tableColumn id="13" xr3:uid="{AA08DF1B-AD16-43DE-A7CE-B2528C6CA9CF}" name="Tomate Cherry" dataDxfId="29" totalsRowDxfId="30"/>
    <tableColumn id="14" xr3:uid="{9B8517BE-D356-4D20-B71A-4802596E752D}" name="Nueces" dataDxfId="27" totalsRowDxfId="28"/>
    <tableColumn id="15" xr3:uid="{81B5433F-70A2-401F-8B51-2A18CF33F44F}" name="Mani" dataDxfId="25" totalsRowDxfId="26"/>
    <tableColumn id="16" xr3:uid="{43914BE7-7674-43B4-9364-8EEAF1D666CF}" name="Pistachos" dataDxfId="23" totalsRowDxfId="24"/>
    <tableColumn id="17" xr3:uid="{6D632EA4-0F8D-4F06-A8D7-F7035481A6AA}" name="Caju" dataDxfId="21" totalsRowDxfId="22"/>
    <tableColumn id="18" xr3:uid="{CBB591BD-ADA6-40BD-B519-B58F4B0A6C25}" name="Almendras" dataDxfId="19" totalsRowDxfId="20"/>
    <tableColumn id="24" xr3:uid="{6BDE7958-FFFE-4712-B8BB-18155FD3B9C5}" name="Cerezas" dataDxfId="17" totalsRowDxfId="18"/>
    <tableColumn id="25" xr3:uid="{E7BCC900-CA0A-433B-8186-ED55A0C57F43}" name="Arandanos" dataDxfId="15" totalsRowDxfId="16"/>
    <tableColumn id="26" xr3:uid="{617484A2-BDB1-482F-94EA-3B75346446A9}" name="Empanadas" dataDxfId="13" totalsRowDxfId="14"/>
    <tableColumn id="23" xr3:uid="{CEAD1779-2EA6-404A-9EB1-9796E49F75E2}" name="Total" dataDxfId="9">
      <calculatedColumnFormula>SUM(Tabla5234[[#This Row],[Paltas]:[Empanadas]])</calculatedColumnFormula>
    </tableColumn>
    <tableColumn id="30" xr3:uid="{118F6D56-F6CB-4EF2-A098-B2D7390074E4}" name="Comentario" dataDxfId="11" totalsRowDxfId="1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D129"/>
  <sheetViews>
    <sheetView zoomScale="85" zoomScaleNormal="85" zoomScalePageLayoutView="85" workbookViewId="0">
      <pane xSplit="3" ySplit="4" topLeftCell="L5" activePane="bottomRight" state="frozen"/>
      <selection pane="topRight" activeCell="D1" sqref="D1"/>
      <selection pane="bottomLeft" activeCell="A5" sqref="A5"/>
      <selection pane="bottomRight" activeCell="O5" sqref="O5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8" width="15.42578125" customWidth="1"/>
    <col min="30" max="30" width="71.42578125" style="39" customWidth="1"/>
  </cols>
  <sheetData>
    <row r="1" spans="1:30" ht="15.75" thickBot="1" x14ac:dyDescent="0.3"/>
    <row r="2" spans="1:30" ht="29.65" customHeight="1" thickBot="1" x14ac:dyDescent="0.3">
      <c r="B2" s="117" t="s">
        <v>38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9"/>
      <c r="O2" s="162" t="s">
        <v>11</v>
      </c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6"/>
    </row>
    <row r="3" spans="1:30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70</v>
      </c>
      <c r="T3" s="17" t="s">
        <v>33</v>
      </c>
      <c r="U3" s="17" t="s">
        <v>21</v>
      </c>
      <c r="V3" s="75" t="s">
        <v>77</v>
      </c>
      <c r="W3" s="75" t="s">
        <v>78</v>
      </c>
      <c r="X3" s="75" t="s">
        <v>79</v>
      </c>
      <c r="Y3" s="75" t="s">
        <v>80</v>
      </c>
      <c r="Z3" s="96" t="s">
        <v>112</v>
      </c>
      <c r="AA3" s="86" t="s">
        <v>171</v>
      </c>
      <c r="AB3" s="86" t="s">
        <v>189</v>
      </c>
      <c r="AD3" s="39"/>
    </row>
    <row r="4" spans="1:30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70</v>
      </c>
      <c r="T4" s="68" t="s">
        <v>33</v>
      </c>
      <c r="U4" s="68" t="s">
        <v>21</v>
      </c>
      <c r="V4" s="74" t="s">
        <v>77</v>
      </c>
      <c r="W4" s="74" t="s">
        <v>78</v>
      </c>
      <c r="X4" s="74" t="s">
        <v>79</v>
      </c>
      <c r="Y4" s="74" t="s">
        <v>80</v>
      </c>
      <c r="Z4" s="74" t="s">
        <v>112</v>
      </c>
      <c r="AA4" s="74" t="s">
        <v>171</v>
      </c>
      <c r="AB4" s="74" t="s">
        <v>189</v>
      </c>
      <c r="AC4" s="22" t="s">
        <v>16</v>
      </c>
      <c r="AD4" s="44" t="s">
        <v>36</v>
      </c>
    </row>
    <row r="5" spans="1:30" ht="14.65" customHeight="1" outlineLevel="1" x14ac:dyDescent="0.25">
      <c r="A5" s="159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Row],[Naranjas]:[Empanadas Queso]],O$101:AB$101)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>
        <f>SUM(Tabla523[[#This Row],[Naranjas]:[Empanadas Queso]])</f>
        <v>0</v>
      </c>
      <c r="AD5" s="57"/>
    </row>
    <row r="6" spans="1:30" outlineLevel="1" x14ac:dyDescent="0.25">
      <c r="A6" s="160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Row],[Naranjas]:[Empanadas Queso]],O$101:AB$101)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>
        <f>SUM(Tabla523[[#This Row],[Naranjas]:[Empanadas Queso]])</f>
        <v>0</v>
      </c>
      <c r="AD6" s="58"/>
    </row>
    <row r="7" spans="1:30" outlineLevel="1" x14ac:dyDescent="0.25">
      <c r="A7" s="160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Row],[Naranjas]:[Empanadas Queso]],O$101:AB$101)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>
        <f>SUM(Tabla523[[#This Row],[Naranjas]:[Empanadas Queso]])</f>
        <v>0</v>
      </c>
      <c r="AD7" s="58"/>
    </row>
    <row r="8" spans="1:30" outlineLevel="1" x14ac:dyDescent="0.25">
      <c r="A8" s="160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Row],[Naranjas]:[Empanadas Queso]],O$101:AB$101)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>
        <f>SUM(Tabla523[[#This Row],[Naranjas]:[Empanadas Queso]])</f>
        <v>0</v>
      </c>
      <c r="AD8" s="58"/>
    </row>
    <row r="9" spans="1:30" outlineLevel="1" x14ac:dyDescent="0.25">
      <c r="A9" s="160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Row],[Naranjas]:[Empanadas Queso]],O$101:AB$101)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>
        <f>SUM(Tabla523[[#This Row],[Naranjas]:[Empanadas Queso]])</f>
        <v>0</v>
      </c>
      <c r="AD9" s="58"/>
    </row>
    <row r="10" spans="1:30" outlineLevel="1" x14ac:dyDescent="0.25">
      <c r="A10" s="160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Row],[Naranjas]:[Empanadas Queso]],O$101:AB$101)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>
        <f>SUM(Tabla523[[#This Row],[Naranjas]:[Empanadas Queso]])</f>
        <v>0</v>
      </c>
      <c r="AD10" s="58"/>
    </row>
    <row r="11" spans="1:30" outlineLevel="1" x14ac:dyDescent="0.25">
      <c r="A11" s="160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Row],[Naranjas]:[Empanadas Queso]],O$101:AB$101)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>
        <f>SUM(Tabla523[[#This Row],[Naranjas]:[Empanadas Queso]])</f>
        <v>0</v>
      </c>
      <c r="AD11" s="58"/>
    </row>
    <row r="12" spans="1:30" outlineLevel="1" x14ac:dyDescent="0.25">
      <c r="A12" s="160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Row],[Naranjas]:[Empanadas Queso]],O$101:AB$101)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>
        <f>SUM(Tabla523[[#This Row],[Naranjas]:[Empanadas Queso]])</f>
        <v>0</v>
      </c>
      <c r="AD12" s="58"/>
    </row>
    <row r="13" spans="1:30" outlineLevel="1" x14ac:dyDescent="0.25">
      <c r="A13" s="160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Row],[Naranjas]:[Empanadas Queso]],O$101:AB$101)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>
        <f>SUM(Tabla523[[#This Row],[Naranjas]:[Empanadas Queso]])</f>
        <v>0</v>
      </c>
      <c r="AD13" s="58"/>
    </row>
    <row r="14" spans="1:30" outlineLevel="1" x14ac:dyDescent="0.25">
      <c r="A14" s="160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Row],[Naranjas]:[Empanadas Queso]],O$101:AB$101)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>
        <f>SUM(Tabla523[[#This Row],[Naranjas]:[Empanadas Queso]])</f>
        <v>0</v>
      </c>
      <c r="AD14" s="58"/>
    </row>
    <row r="15" spans="1:30" outlineLevel="1" x14ac:dyDescent="0.25">
      <c r="A15" s="160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Row],[Naranjas]:[Empanadas Queso]],O$101:AB$101)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>
        <f>SUM(Tabla523[[#This Row],[Naranjas]:[Empanadas Queso]])</f>
        <v>0</v>
      </c>
      <c r="AD15" s="58"/>
    </row>
    <row r="16" spans="1:30" outlineLevel="1" x14ac:dyDescent="0.25">
      <c r="A16" s="160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Row],[Naranjas]:[Empanadas Queso]],O$101:AB$101)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>
        <f>SUM(Tabla523[[#This Row],[Naranjas]:[Empanadas Queso]])</f>
        <v>0</v>
      </c>
      <c r="AD16" s="58"/>
    </row>
    <row r="17" spans="1:30" outlineLevel="1" x14ac:dyDescent="0.25">
      <c r="A17" s="160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Row],[Naranjas]:[Empanadas Queso]],O$101:AB$101)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>
        <f>SUM(Tabla523[[#This Row],[Naranjas]:[Empanadas Queso]])</f>
        <v>0</v>
      </c>
      <c r="AD17" s="58"/>
    </row>
    <row r="18" spans="1:30" outlineLevel="1" x14ac:dyDescent="0.25">
      <c r="A18" s="160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Row],[Naranjas]:[Empanadas Queso]],O$101:AB$101)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>
        <f>SUM(Tabla523[[#This Row],[Naranjas]:[Empanadas Queso]])</f>
        <v>0</v>
      </c>
      <c r="AD18" s="58"/>
    </row>
    <row r="19" spans="1:30" outlineLevel="1" x14ac:dyDescent="0.25">
      <c r="A19" s="160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Row],[Naranjas]:[Empanadas Queso]],O$101:AB$101)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>
        <f>SUM(Tabla523[[#This Row],[Naranjas]:[Empanadas Queso]])</f>
        <v>0</v>
      </c>
      <c r="AD19" s="58"/>
    </row>
    <row r="20" spans="1:30" outlineLevel="1" x14ac:dyDescent="0.25">
      <c r="A20" s="160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Row],[Naranjas]:[Empanadas Queso]],O$101:AB$101)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>
        <f>SUM(Tabla523[[#This Row],[Naranjas]:[Empanadas Queso]])</f>
        <v>0</v>
      </c>
      <c r="AD20" s="58"/>
    </row>
    <row r="21" spans="1:30" outlineLevel="1" x14ac:dyDescent="0.25">
      <c r="A21" s="160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Row],[Naranjas]:[Empanadas Queso]],O$101:AB$101)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>
        <f>SUM(Tabla523[[#This Row],[Naranjas]:[Empanadas Queso]])</f>
        <v>0</v>
      </c>
      <c r="AD21" s="58"/>
    </row>
    <row r="22" spans="1:30" outlineLevel="1" x14ac:dyDescent="0.25">
      <c r="A22" s="160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Row],[Naranjas]:[Empanadas Queso]],O$101:AB$101)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>
        <f>SUM(Tabla523[[#This Row],[Naranjas]:[Empanadas Queso]])</f>
        <v>0</v>
      </c>
      <c r="AD22" s="58"/>
    </row>
    <row r="23" spans="1:30" outlineLevel="1" x14ac:dyDescent="0.25">
      <c r="A23" s="160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Row],[Naranjas]:[Empanadas Queso]],O$101:AB$101)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>
        <f>SUM(Tabla523[[#This Row],[Naranjas]:[Empanadas Queso]])</f>
        <v>0</v>
      </c>
      <c r="AD23" s="58"/>
    </row>
    <row r="24" spans="1:30" outlineLevel="1" x14ac:dyDescent="0.25">
      <c r="A24" s="160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Row],[Naranjas]:[Empanadas Queso]],O$101:AB$101)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>
        <f>SUM(Tabla523[[#This Row],[Naranjas]:[Empanadas Queso]])</f>
        <v>0</v>
      </c>
      <c r="AD24" s="58"/>
    </row>
    <row r="25" spans="1:30" outlineLevel="1" x14ac:dyDescent="0.25">
      <c r="A25" s="160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Row],[Naranjas]:[Empanadas Queso]],O$101:AB$101)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>
        <f>SUM(Tabla523[[#This Row],[Naranjas]:[Empanadas Queso]])</f>
        <v>0</v>
      </c>
      <c r="AD25" s="58"/>
    </row>
    <row r="26" spans="1:30" outlineLevel="1" x14ac:dyDescent="0.25">
      <c r="A26" s="160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Row],[Naranjas]:[Empanadas Queso]],O$101:AB$101)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>
        <f>SUM(Tabla523[[#This Row],[Naranjas]:[Empanadas Queso]])</f>
        <v>0</v>
      </c>
      <c r="AD26" s="58"/>
    </row>
    <row r="27" spans="1:30" outlineLevel="1" x14ac:dyDescent="0.25">
      <c r="A27" s="160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Row],[Naranjas]:[Empanadas Queso]],O$101:AB$101)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>
        <f>SUM(Tabla523[[#This Row],[Naranjas]:[Empanadas Queso]])</f>
        <v>0</v>
      </c>
      <c r="AD27" s="58"/>
    </row>
    <row r="28" spans="1:30" outlineLevel="1" x14ac:dyDescent="0.25">
      <c r="A28" s="160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Row],[Naranjas]:[Empanadas Queso]],O$101:AB$101)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>
        <f>SUM(Tabla523[[#This Row],[Naranjas]:[Empanadas Queso]])</f>
        <v>0</v>
      </c>
      <c r="AD28" s="58"/>
    </row>
    <row r="29" spans="1:30" outlineLevel="1" x14ac:dyDescent="0.25">
      <c r="A29" s="160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Row],[Naranjas]:[Empanadas Queso]],O$101:AB$101)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>
        <f>SUM(Tabla523[[#This Row],[Naranjas]:[Empanadas Queso]])</f>
        <v>0</v>
      </c>
      <c r="AD29" s="58"/>
    </row>
    <row r="30" spans="1:30" outlineLevel="1" x14ac:dyDescent="0.25">
      <c r="A30" s="160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Row],[Naranjas]:[Empanadas Queso]],O$101:AB$101)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>
        <f>SUM(Tabla523[[#This Row],[Naranjas]:[Empanadas Queso]])</f>
        <v>0</v>
      </c>
      <c r="AD30" s="58"/>
    </row>
    <row r="31" spans="1:30" outlineLevel="1" x14ac:dyDescent="0.25">
      <c r="A31" s="160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Row],[Naranjas]:[Empanadas Queso]],O$101:AB$101)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>
        <f>SUM(Tabla523[[#This Row],[Naranjas]:[Empanadas Queso]])</f>
        <v>0</v>
      </c>
      <c r="AD31" s="58"/>
    </row>
    <row r="32" spans="1:30" outlineLevel="1" x14ac:dyDescent="0.25">
      <c r="A32" s="160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Row],[Naranjas]:[Empanadas Queso]],O$101:AB$101)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>
        <f>SUM(Tabla523[[#This Row],[Naranjas]:[Empanadas Queso]])</f>
        <v>0</v>
      </c>
      <c r="AD32" s="58"/>
    </row>
    <row r="33" spans="1:30" outlineLevel="1" x14ac:dyDescent="0.25">
      <c r="A33" s="160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Row],[Naranjas]:[Empanadas Queso]],O$101:AB$101)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>
        <f>SUM(Tabla523[[#This Row],[Naranjas]:[Empanadas Queso]])</f>
        <v>0</v>
      </c>
      <c r="AD33" s="58"/>
    </row>
    <row r="34" spans="1:30" outlineLevel="1" x14ac:dyDescent="0.25">
      <c r="A34" s="160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Row],[Naranjas]:[Empanadas Queso]],O$101:AB$101)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>
        <f>SUM(Tabla523[[#This Row],[Naranjas]:[Empanadas Queso]])</f>
        <v>0</v>
      </c>
      <c r="AD34" s="58"/>
    </row>
    <row r="35" spans="1:30" outlineLevel="1" x14ac:dyDescent="0.25">
      <c r="A35" s="160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Row],[Naranjas]:[Empanadas Queso]],O$101:AB$101)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>
        <f>SUM(Tabla523[[#This Row],[Naranjas]:[Empanadas Queso]])</f>
        <v>0</v>
      </c>
      <c r="AD35" s="58"/>
    </row>
    <row r="36" spans="1:30" outlineLevel="1" x14ac:dyDescent="0.25">
      <c r="A36" s="160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Row],[Naranjas]:[Empanadas Queso]],O$101:AB$101)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>
        <f>SUM(Tabla523[[#This Row],[Naranjas]:[Empanadas Queso]])</f>
        <v>0</v>
      </c>
      <c r="AD36" s="58"/>
    </row>
    <row r="37" spans="1:30" outlineLevel="1" x14ac:dyDescent="0.25">
      <c r="A37" s="160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Row],[Naranjas]:[Empanadas Queso]],O$101:AB$101)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>
        <f>SUM(Tabla523[[#This Row],[Naranjas]:[Empanadas Queso]])</f>
        <v>0</v>
      </c>
      <c r="AD37" s="58"/>
    </row>
    <row r="38" spans="1:30" outlineLevel="1" x14ac:dyDescent="0.25">
      <c r="A38" s="160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Row],[Naranjas]:[Empanadas Queso]],O$101:AB$101)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>
        <f>SUM(Tabla523[[#This Row],[Naranjas]:[Empanadas Queso]])</f>
        <v>0</v>
      </c>
      <c r="AD38" s="58"/>
    </row>
    <row r="39" spans="1:30" outlineLevel="1" x14ac:dyDescent="0.25">
      <c r="A39" s="160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Row],[Naranjas]:[Empanadas Queso]],O$101:AB$101)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>
        <f>SUM(Tabla523[[#This Row],[Naranjas]:[Empanadas Queso]])</f>
        <v>0</v>
      </c>
      <c r="AD39" s="58"/>
    </row>
    <row r="40" spans="1:30" outlineLevel="1" x14ac:dyDescent="0.25">
      <c r="A40" s="160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Row],[Naranjas]:[Empanadas Queso]],O$101:AB$101)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>
        <f>SUM(Tabla523[[#This Row],[Naranjas]:[Empanadas Queso]])</f>
        <v>0</v>
      </c>
      <c r="AD40" s="58"/>
    </row>
    <row r="41" spans="1:30" outlineLevel="1" x14ac:dyDescent="0.25">
      <c r="A41" s="160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Row],[Naranjas]:[Empanadas Queso]],O$101:AB$101)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>
        <f>SUM(Tabla523[[#This Row],[Naranjas]:[Empanadas Queso]])</f>
        <v>0</v>
      </c>
      <c r="AD41" s="58"/>
    </row>
    <row r="42" spans="1:30" outlineLevel="1" x14ac:dyDescent="0.25">
      <c r="A42" s="160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Row],[Naranjas]:[Empanadas Queso]],O$101:AB$101)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>
        <f>SUM(Tabla523[[#This Row],[Naranjas]:[Empanadas Queso]])</f>
        <v>0</v>
      </c>
      <c r="AD42" s="58"/>
    </row>
    <row r="43" spans="1:30" outlineLevel="1" x14ac:dyDescent="0.25">
      <c r="A43" s="160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Row],[Naranjas]:[Empanadas Queso]],O$101:AB$101)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>
        <f>SUM(Tabla523[[#This Row],[Naranjas]:[Empanadas Queso]])</f>
        <v>0</v>
      </c>
      <c r="AD43" s="58"/>
    </row>
    <row r="44" spans="1:30" outlineLevel="1" x14ac:dyDescent="0.25">
      <c r="A44" s="160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Row],[Naranjas]:[Empanadas Queso]],O$101:AB$101)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>
        <f>SUM(Tabla523[[#This Row],[Naranjas]:[Empanadas Queso]])</f>
        <v>0</v>
      </c>
      <c r="AD44" s="58"/>
    </row>
    <row r="45" spans="1:30" outlineLevel="1" x14ac:dyDescent="0.25">
      <c r="A45" s="160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Row],[Naranjas]:[Empanadas Queso]],O$101:AB$101)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>
        <f>SUM(Tabla523[[#This Row],[Naranjas]:[Empanadas Queso]])</f>
        <v>0</v>
      </c>
      <c r="AD45" s="58"/>
    </row>
    <row r="46" spans="1:30" outlineLevel="1" x14ac:dyDescent="0.25">
      <c r="A46" s="160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Row],[Naranjas]:[Empanadas Queso]],O$101:AB$101)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>
        <f>SUM(Tabla523[[#This Row],[Naranjas]:[Empanadas Queso]])</f>
        <v>0</v>
      </c>
      <c r="AD46" s="58"/>
    </row>
    <row r="47" spans="1:30" outlineLevel="1" x14ac:dyDescent="0.25">
      <c r="A47" s="160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Row],[Naranjas]:[Empanadas Queso]],O$101:AB$101)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>
        <f>SUM(Tabla523[[#This Row],[Naranjas]:[Empanadas Queso]])</f>
        <v>0</v>
      </c>
      <c r="AD47" s="58"/>
    </row>
    <row r="48" spans="1:30" outlineLevel="1" x14ac:dyDescent="0.25">
      <c r="A48" s="160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Row],[Naranjas]:[Empanadas Queso]],O$101:AB$101)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>
        <f>SUM(Tabla523[[#This Row],[Naranjas]:[Empanadas Queso]])</f>
        <v>0</v>
      </c>
      <c r="AD48" s="58"/>
    </row>
    <row r="49" spans="1:30" outlineLevel="1" x14ac:dyDescent="0.25">
      <c r="A49" s="160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Row],[Naranjas]:[Empanadas Queso]],O$101:AB$101)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>
        <f>SUM(Tabla523[[#This Row],[Naranjas]:[Empanadas Queso]])</f>
        <v>0</v>
      </c>
      <c r="AD49" s="58"/>
    </row>
    <row r="50" spans="1:30" outlineLevel="1" x14ac:dyDescent="0.25">
      <c r="A50" s="160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Lukas Quense</v>
      </c>
      <c r="L50" s="52"/>
      <c r="M50" s="52"/>
      <c r="N50" s="47">
        <f>SUMPRODUCT(Tabla523[[#This Row],[Naranjas]:[Empanadas Queso]],O$101:AB$101)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>
        <f>SUM(Tabla523[[#This Row],[Naranjas]:[Empanadas Queso]])</f>
        <v>0</v>
      </c>
      <c r="AD50" s="58"/>
    </row>
    <row r="51" spans="1:30" outlineLevel="1" x14ac:dyDescent="0.25">
      <c r="A51" s="160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Joaquin Eichholz</v>
      </c>
      <c r="L51" s="52"/>
      <c r="M51" s="52"/>
      <c r="N51" s="47">
        <f>SUMPRODUCT(Tabla523[[#This Row],[Naranjas]:[Empanadas Queso]],O$101:AB$101)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>
        <f>SUM(Tabla523[[#This Row],[Naranjas]:[Empanadas Queso]])</f>
        <v>0</v>
      </c>
      <c r="AD51" s="58"/>
    </row>
    <row r="52" spans="1:30" outlineLevel="1" x14ac:dyDescent="0.25">
      <c r="A52" s="160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Row],[Naranjas]:[Empanadas Queso]],O$101:AB$101)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>
        <f>SUM(Tabla523[[#This Row],[Naranjas]:[Empanadas Queso]])</f>
        <v>0</v>
      </c>
      <c r="AD52" s="58"/>
    </row>
    <row r="53" spans="1:30" outlineLevel="1" x14ac:dyDescent="0.25">
      <c r="A53" s="160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Row],[Naranjas]:[Empanadas Queso]],O$101:AB$101)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>
        <f>SUM(Tabla523[[#This Row],[Naranjas]:[Empanadas Queso]])</f>
        <v>0</v>
      </c>
      <c r="AD53" s="58"/>
    </row>
    <row r="54" spans="1:30" outlineLevel="1" x14ac:dyDescent="0.25">
      <c r="A54" s="160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Row],[Naranjas]:[Empanadas Queso]],O$101:AB$101)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>
        <f>SUM(Tabla523[[#This Row],[Naranjas]:[Empanadas Queso]])</f>
        <v>0</v>
      </c>
      <c r="AD54" s="58"/>
    </row>
    <row r="55" spans="1:30" outlineLevel="1" x14ac:dyDescent="0.25">
      <c r="A55" s="160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Row],[Naranjas]:[Empanadas Queso]],O$101:AB$101)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>
        <f>SUM(Tabla523[[#This Row],[Naranjas]:[Empanadas Queso]])</f>
        <v>0</v>
      </c>
      <c r="AD55" s="58"/>
    </row>
    <row r="56" spans="1:30" outlineLevel="1" x14ac:dyDescent="0.25">
      <c r="A56" s="160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Row],[Naranjas]:[Empanadas Queso]],O$101:AB$101)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>
        <f>SUM(Tabla523[[#This Row],[Naranjas]:[Empanadas Queso]])</f>
        <v>0</v>
      </c>
      <c r="AD56" s="58"/>
    </row>
    <row r="57" spans="1:30" outlineLevel="1" x14ac:dyDescent="0.25">
      <c r="A57" s="160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Row],[Naranjas]:[Empanadas Queso]],O$101:AB$101)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>
        <f>SUM(Tabla523[[#This Row],[Naranjas]:[Empanadas Queso]])</f>
        <v>0</v>
      </c>
      <c r="AD57" s="58"/>
    </row>
    <row r="58" spans="1:30" outlineLevel="1" x14ac:dyDescent="0.25">
      <c r="A58" s="160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Row],[Naranjas]:[Empanadas Queso]],O$101:AB$101)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>
        <f>SUM(Tabla523[[#This Row],[Naranjas]:[Empanadas Queso]])</f>
        <v>0</v>
      </c>
      <c r="AD58" s="58"/>
    </row>
    <row r="59" spans="1:30" outlineLevel="1" x14ac:dyDescent="0.25">
      <c r="A59" s="160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Row],[Naranjas]:[Empanadas Queso]],O$101:AB$101)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>
        <f>SUM(Tabla523[[#This Row],[Naranjas]:[Empanadas Queso]])</f>
        <v>0</v>
      </c>
      <c r="AD59" s="58"/>
    </row>
    <row r="60" spans="1:30" outlineLevel="1" x14ac:dyDescent="0.25">
      <c r="A60" s="160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Row],[Naranjas]:[Empanadas Queso]],O$101:AB$101)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>
        <f>SUM(Tabla523[[#This Row],[Naranjas]:[Empanadas Queso]])</f>
        <v>0</v>
      </c>
      <c r="AD60" s="58"/>
    </row>
    <row r="61" spans="1:30" outlineLevel="1" x14ac:dyDescent="0.25">
      <c r="A61" s="160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Row],[Naranjas]:[Empanadas Queso]],O$101:AB$101)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>
        <f>SUM(Tabla523[[#This Row],[Naranjas]:[Empanadas Queso]])</f>
        <v>0</v>
      </c>
      <c r="AD61" s="58"/>
    </row>
    <row r="62" spans="1:30" outlineLevel="1" x14ac:dyDescent="0.25">
      <c r="A62" s="160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Row],[Naranjas]:[Empanadas Queso]],O$101:AB$101)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>
        <f>SUM(Tabla523[[#This Row],[Naranjas]:[Empanadas Queso]])</f>
        <v>0</v>
      </c>
      <c r="AD62" s="58"/>
    </row>
    <row r="63" spans="1:30" outlineLevel="1" x14ac:dyDescent="0.25">
      <c r="A63" s="160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Row],[Naranjas]:[Empanadas Queso]],O$101:AB$101)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>
        <f>SUM(Tabla523[[#This Row],[Naranjas]:[Empanadas Queso]])</f>
        <v>0</v>
      </c>
      <c r="AD63" s="58"/>
    </row>
    <row r="64" spans="1:30" outlineLevel="1" x14ac:dyDescent="0.25">
      <c r="A64" s="160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Row],[Naranjas]:[Empanadas Queso]],O$101:AB$101)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>
        <f>SUM(Tabla523[[#This Row],[Naranjas]:[Empanadas Queso]])</f>
        <v>0</v>
      </c>
      <c r="AD64" s="58"/>
    </row>
    <row r="65" spans="1:30" outlineLevel="1" x14ac:dyDescent="0.25">
      <c r="A65" s="160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Row],[Naranjas]:[Empanadas Queso]],O$101:AB$101)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>
        <f>SUM(Tabla523[[#This Row],[Naranjas]:[Empanadas Queso]])</f>
        <v>0</v>
      </c>
      <c r="AD65" s="58"/>
    </row>
    <row r="66" spans="1:30" outlineLevel="1" x14ac:dyDescent="0.25">
      <c r="A66" s="160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Row],[Naranjas]:[Empanadas Queso]],O$101:AB$101)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>
        <f>SUM(Tabla523[[#This Row],[Naranjas]:[Empanadas Queso]])</f>
        <v>0</v>
      </c>
      <c r="AD66" s="58"/>
    </row>
    <row r="67" spans="1:30" outlineLevel="1" x14ac:dyDescent="0.25">
      <c r="A67" s="160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Row],[Naranjas]:[Empanadas Queso]],O$101:AB$101)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>
        <f>SUM(Tabla523[[#This Row],[Naranjas]:[Empanadas Queso]])</f>
        <v>0</v>
      </c>
      <c r="AD67" s="58"/>
    </row>
    <row r="68" spans="1:30" outlineLevel="1" x14ac:dyDescent="0.25">
      <c r="A68" s="160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Row],[Naranjas]:[Empanadas Queso]],O$101:AB$101)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>
        <f>SUM(Tabla523[[#This Row],[Naranjas]:[Empanadas Queso]])</f>
        <v>0</v>
      </c>
      <c r="AD68" s="58"/>
    </row>
    <row r="69" spans="1:30" outlineLevel="1" x14ac:dyDescent="0.25">
      <c r="A69" s="160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Row],[Naranjas]:[Empanadas Queso]],O$101:AB$101)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>
        <f>SUM(Tabla523[[#This Row],[Naranjas]:[Empanadas Queso]])</f>
        <v>0</v>
      </c>
      <c r="AD69" s="58"/>
    </row>
    <row r="70" spans="1:30" outlineLevel="1" x14ac:dyDescent="0.25">
      <c r="A70" s="160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Row],[Naranjas]:[Empanadas Queso]],O$101:AB$101)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>
        <f>SUM(Tabla523[[#This Row],[Naranjas]:[Empanadas Queso]])</f>
        <v>0</v>
      </c>
      <c r="AD70" s="58"/>
    </row>
    <row r="71" spans="1:30" outlineLevel="1" x14ac:dyDescent="0.25">
      <c r="A71" s="160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Row],[Naranjas]:[Empanadas Queso]],O$101:AB$101)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>
        <f>SUM(Tabla523[[#This Row],[Naranjas]:[Empanadas Queso]])</f>
        <v>0</v>
      </c>
      <c r="AD71" s="58"/>
    </row>
    <row r="72" spans="1:30" outlineLevel="1" x14ac:dyDescent="0.25">
      <c r="A72" s="160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Row],[Naranjas]:[Empanadas Queso]],O$101:AB$101)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>
        <f>SUM(Tabla523[[#This Row],[Naranjas]:[Empanadas Queso]])</f>
        <v>0</v>
      </c>
      <c r="AD72" s="58"/>
    </row>
    <row r="73" spans="1:30" outlineLevel="1" x14ac:dyDescent="0.25">
      <c r="A73" s="160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70">
        <f>SUMPRODUCT(Tabla523[[#This Row],[Naranjas]:[Empanadas Queso]],O$101:AB$101)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>
        <f>SUM(Tabla523[[#This Row],[Naranjas]:[Empanadas Queso]])</f>
        <v>0</v>
      </c>
      <c r="AD73" s="58"/>
    </row>
    <row r="74" spans="1:30" outlineLevel="1" x14ac:dyDescent="0.25">
      <c r="A74" s="160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70">
        <f>SUMPRODUCT(Tabla523[[#This Row],[Naranjas]:[Empanadas Queso]],O$101:AB$101)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>
        <f>SUM(Tabla523[[#This Row],[Naranjas]:[Empanadas Queso]])</f>
        <v>0</v>
      </c>
      <c r="AD74" s="58"/>
    </row>
    <row r="75" spans="1:30" outlineLevel="1" x14ac:dyDescent="0.25">
      <c r="A75" s="160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70">
        <f>SUMPRODUCT(Tabla523[[#This Row],[Naranjas]:[Empanadas Queso]],O$101:AB$101)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>
        <f>SUM(Tabla523[[#This Row],[Naranjas]:[Empanadas Queso]])</f>
        <v>0</v>
      </c>
      <c r="AD75" s="58"/>
    </row>
    <row r="76" spans="1:30" outlineLevel="1" x14ac:dyDescent="0.25">
      <c r="A76" s="160"/>
      <c r="B76" s="50" t="str">
        <f>[1]Personas!A73</f>
        <v>Magdalena</v>
      </c>
      <c r="C76" s="48" t="str">
        <f>[1]Personas!B73</f>
        <v>Astudillo</v>
      </c>
      <c r="D76" s="59" t="str">
        <f>[1]Personas!C73</f>
        <v>Vaqueria 6926</v>
      </c>
      <c r="E76" s="59" t="str">
        <f>[1]Personas!D73</f>
        <v>Vitacura</v>
      </c>
      <c r="F76" s="59" t="str">
        <f>[1]Personas!E73</f>
        <v>Santa Maria</v>
      </c>
      <c r="G76" s="59" t="str">
        <f>[1]Personas!F73</f>
        <v>Aleman</v>
      </c>
      <c r="H76" s="59" t="str">
        <f>[1]Personas!G73</f>
        <v>JEFE</v>
      </c>
      <c r="I76" s="60">
        <f>[1]Personas!H73</f>
        <v>56975580528</v>
      </c>
      <c r="J76" s="27" t="str">
        <f>[1]Personas!I73</f>
        <v>maidastu@gmail.com</v>
      </c>
      <c r="K76" s="27" t="str">
        <f>[1]Personas!J73</f>
        <v>Joaquin Eichholz</v>
      </c>
      <c r="L76" s="52"/>
      <c r="M76" s="52"/>
      <c r="N76" s="70">
        <f>SUMPRODUCT(Tabla523[[#This Row],[Naranjas]:[Empanadas Queso]],O$101:AB$101)</f>
        <v>0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>
        <f>SUM(Tabla523[[#This Row],[Naranjas]:[Empanadas Queso]])</f>
        <v>0</v>
      </c>
      <c r="AD76" s="58"/>
    </row>
    <row r="77" spans="1:30" outlineLevel="1" x14ac:dyDescent="0.25">
      <c r="A77" s="160"/>
      <c r="B77" s="50" t="str">
        <f>[1]Personas!A74</f>
        <v>Tomas</v>
      </c>
      <c r="C77" s="48" t="str">
        <f>[1]Personas!B74</f>
        <v>Ovalle</v>
      </c>
      <c r="D77" s="59">
        <f>[1]Personas!C74</f>
        <v>0</v>
      </c>
      <c r="E77" s="59">
        <f>[1]Personas!D74</f>
        <v>0</v>
      </c>
      <c r="F77" s="59">
        <f>[1]Personas!E74</f>
        <v>0</v>
      </c>
      <c r="G77" s="59">
        <f>[1]Personas!F74</f>
        <v>0</v>
      </c>
      <c r="H77" s="59" t="str">
        <f>[1]Personas!G74</f>
        <v>JEFE</v>
      </c>
      <c r="I77" s="60">
        <f>[1]Personas!H74</f>
        <v>0</v>
      </c>
      <c r="J77" s="27">
        <f>[1]Personas!I74</f>
        <v>0</v>
      </c>
      <c r="K77" s="27" t="str">
        <f>[1]Personas!J74</f>
        <v>Lukas Quense</v>
      </c>
      <c r="L77" s="52"/>
      <c r="M77" s="52"/>
      <c r="N77" s="70">
        <f>SUMPRODUCT(Tabla523[[#This Row],[Naranjas]:[Empanadas Queso]],O$101:AB$101)</f>
        <v>0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>
        <f>SUM(Tabla523[[#This Row],[Naranjas]:[Empanadas Queso]])</f>
        <v>0</v>
      </c>
      <c r="AD77" s="58"/>
    </row>
    <row r="78" spans="1:30" outlineLevel="1" x14ac:dyDescent="0.25">
      <c r="A78" s="160"/>
      <c r="B78" s="50" t="str">
        <f>[1]Personas!A75</f>
        <v>Sebastian</v>
      </c>
      <c r="C78" s="48" t="str">
        <f>[1]Personas!B75</f>
        <v>Delorenzo</v>
      </c>
      <c r="D78" s="59" t="str">
        <f>[1]Personas!C75</f>
        <v>Camino Otonal 1545</v>
      </c>
      <c r="E78" s="59" t="str">
        <f>[1]Personas!D75</f>
        <v>Las Condes</v>
      </c>
      <c r="F78" s="59" t="str">
        <f>[1]Personas!E75</f>
        <v>San Carlos</v>
      </c>
      <c r="G78" s="59" t="str">
        <f>[1]Personas!F75</f>
        <v>UC</v>
      </c>
      <c r="H78" s="59" t="str">
        <f>[1]Personas!G75</f>
        <v>JEFE</v>
      </c>
      <c r="I78" s="60">
        <f>[1]Personas!H75</f>
        <v>56997792386</v>
      </c>
      <c r="J78" s="27" t="str">
        <f>[1]Personas!I75</f>
        <v>sdelorenzo7@gmail.com</v>
      </c>
      <c r="K78" s="27" t="str">
        <f>[1]Personas!J75</f>
        <v>Lukas Quense</v>
      </c>
      <c r="L78" s="52"/>
      <c r="M78" s="52"/>
      <c r="N78" s="70">
        <f>SUMPRODUCT(Tabla523[[#This Row],[Naranjas]:[Empanadas Queso]],O$101:AB$101)</f>
        <v>0</v>
      </c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>
        <f>SUM(Tabla523[[#This Row],[Naranjas]:[Empanadas Queso]])</f>
        <v>0</v>
      </c>
      <c r="AD78" s="58"/>
    </row>
    <row r="79" spans="1:30" outlineLevel="1" x14ac:dyDescent="0.25">
      <c r="A79" s="160"/>
      <c r="B79" s="50" t="str">
        <f>[1]Personas!A76</f>
        <v>Claudio</v>
      </c>
      <c r="C79" s="48" t="str">
        <f>[1]Personas!B76</f>
        <v>Baldovino</v>
      </c>
      <c r="D79" s="59" t="str">
        <f>[1]Personas!C76</f>
        <v>Malaga 195 Dpto 51</v>
      </c>
      <c r="E79" s="59" t="str">
        <f>[1]Personas!D76</f>
        <v>Las Condes</v>
      </c>
      <c r="F79" s="59" t="str">
        <f>[1]Personas!E76</f>
        <v>Vespucio</v>
      </c>
      <c r="G79" s="59" t="str">
        <f>[1]Personas!F76</f>
        <v>UCH</v>
      </c>
      <c r="H79" s="59" t="str">
        <f>[1]Personas!G76</f>
        <v>JEFE</v>
      </c>
      <c r="I79" s="60">
        <f>[1]Personas!H76</f>
        <v>56994792301</v>
      </c>
      <c r="J79" s="27" t="str">
        <f>[1]Personas!I76</f>
        <v>cbaldovino@fen.uchile.cl</v>
      </c>
      <c r="K79" s="27" t="str">
        <f>[1]Personas!J76</f>
        <v>Ignacio Castañeda</v>
      </c>
      <c r="L79" s="52"/>
      <c r="M79" s="52"/>
      <c r="N79" s="70">
        <f>SUMPRODUCT(Tabla523[[#This Row],[Naranjas]:[Empanadas Queso]],O$101:AB$101)</f>
        <v>0</v>
      </c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>
        <f>SUM(Tabla523[[#This Row],[Naranjas]:[Empanadas Queso]])</f>
        <v>0</v>
      </c>
      <c r="AD79" s="58"/>
    </row>
    <row r="80" spans="1:30" outlineLevel="1" x14ac:dyDescent="0.25">
      <c r="A80" s="160"/>
      <c r="B80" s="50" t="str">
        <f>[1]Personas!A77</f>
        <v>Laura</v>
      </c>
      <c r="C80" s="48" t="str">
        <f>[1]Personas!B77</f>
        <v>Stuardo</v>
      </c>
      <c r="D80" s="59" t="str">
        <f>[1]Personas!C77</f>
        <v>Paseo del Loira 4563</v>
      </c>
      <c r="E80" s="59" t="str">
        <f>[1]Personas!D77</f>
        <v>Lo Barnechea</v>
      </c>
      <c r="F80" s="59" t="str">
        <f>[1]Personas!E77</f>
        <v>La Dehesa</v>
      </c>
      <c r="G80" s="59" t="str">
        <f>[1]Personas!F77</f>
        <v>Newland</v>
      </c>
      <c r="H80" s="59" t="str">
        <f>[1]Personas!G77</f>
        <v>JEFE</v>
      </c>
      <c r="I80" s="60">
        <f>[1]Personas!H77</f>
        <v>56991592586</v>
      </c>
      <c r="J80" s="27" t="str">
        <f>[1]Personas!I77</f>
        <v>laurastuardotns@gmail.com</v>
      </c>
      <c r="K80" s="27" t="str">
        <f>[1]Personas!J77</f>
        <v>Joaquin Eichholz</v>
      </c>
      <c r="L80" s="52"/>
      <c r="M80" s="52"/>
      <c r="N80" s="70">
        <f>SUMPRODUCT(Tabla523[[#This Row],[Naranjas]:[Empanadas Queso]],O$101:AB$101)</f>
        <v>0</v>
      </c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>
        <f>SUM(Tabla523[[#This Row],[Naranjas]:[Empanadas Queso]])</f>
        <v>0</v>
      </c>
      <c r="AD80" s="58"/>
    </row>
    <row r="81" spans="1:30" outlineLevel="1" x14ac:dyDescent="0.25">
      <c r="A81" s="160"/>
      <c r="B81" s="50" t="str">
        <f>[1]Personas!A78</f>
        <v>Exequiel</v>
      </c>
      <c r="C81" s="48" t="str">
        <f>[1]Personas!B78</f>
        <v>Swinburn</v>
      </c>
      <c r="D81" s="59" t="str">
        <f>[1]Personas!C78</f>
        <v>Av La Dehesa 4510 Casa 10</v>
      </c>
      <c r="E81" s="59" t="str">
        <f>[1]Personas!D78</f>
        <v>Lo Barnechea</v>
      </c>
      <c r="F81" s="59" t="str">
        <f>[1]Personas!E78</f>
        <v>La Dehesa</v>
      </c>
      <c r="G81" s="59" t="str">
        <f>[1]Personas!F78</f>
        <v>UAI</v>
      </c>
      <c r="H81" s="59" t="str">
        <f>[1]Personas!G78</f>
        <v>JEFE</v>
      </c>
      <c r="I81" s="60">
        <f>[1]Personas!H78</f>
        <v>56992704205</v>
      </c>
      <c r="J81" s="27" t="str">
        <f>[1]Personas!I78</f>
        <v>exequielswinburn@gmail.com</v>
      </c>
      <c r="K81" s="27" t="str">
        <f>[1]Personas!J78</f>
        <v>Ignacio Castañeda</v>
      </c>
      <c r="L81" s="52"/>
      <c r="M81" s="52"/>
      <c r="N81" s="70">
        <f>SUMPRODUCT(Tabla523[[#This Row],[Naranjas]:[Empanadas Queso]],O$101:AB$101)</f>
        <v>0</v>
      </c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>
        <f>SUM(Tabla523[[#This Row],[Naranjas]:[Empanadas Queso]])</f>
        <v>0</v>
      </c>
      <c r="AD81" s="58"/>
    </row>
    <row r="82" spans="1:30" outlineLevel="1" x14ac:dyDescent="0.25">
      <c r="A82" s="160"/>
      <c r="B82" s="50" t="str">
        <f>[1]Personas!A79</f>
        <v>Trinidad</v>
      </c>
      <c r="C82" s="48" t="str">
        <f>[1]Personas!B79</f>
        <v>Salas</v>
      </c>
      <c r="D82" s="59" t="str">
        <f>[1]Personas!C79</f>
        <v>El Golf de Manquehue 9750 Casa 703</v>
      </c>
      <c r="E82" s="59" t="str">
        <f>[1]Personas!D79</f>
        <v>Lo Barnechea</v>
      </c>
      <c r="F82" s="59" t="str">
        <f>[1]Personas!E79</f>
        <v>Los Trapenses</v>
      </c>
      <c r="G82" s="59" t="str">
        <f>[1]Personas!F79</f>
        <v>UC</v>
      </c>
      <c r="H82" s="59" t="str">
        <f>[1]Personas!G79</f>
        <v>JEFE</v>
      </c>
      <c r="I82" s="60">
        <f>[1]Personas!H79</f>
        <v>56997594184</v>
      </c>
      <c r="J82" s="27" t="str">
        <f>[1]Personas!I79</f>
        <v>mtsalas1@uc.cl</v>
      </c>
      <c r="K82" s="27" t="str">
        <f>[1]Personas!J79</f>
        <v>Lukas Quense</v>
      </c>
      <c r="L82" s="52"/>
      <c r="M82" s="52"/>
      <c r="N82" s="70">
        <f>SUMPRODUCT(Tabla523[[#This Row],[Naranjas]:[Empanadas Queso]],O$101:AB$101)</f>
        <v>0</v>
      </c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>
        <f>SUM(Tabla523[[#This Row],[Naranjas]:[Empanadas Queso]])</f>
        <v>0</v>
      </c>
      <c r="AD82" s="58"/>
    </row>
    <row r="83" spans="1:30" outlineLevel="1" x14ac:dyDescent="0.25">
      <c r="A83" s="160"/>
      <c r="B83" s="50" t="str">
        <f>[1]Personas!A80</f>
        <v>Roberto</v>
      </c>
      <c r="C83" s="48" t="str">
        <f>[1]Personas!B80</f>
        <v>Salinas</v>
      </c>
      <c r="D83" s="59" t="str">
        <f>[1]Personas!C80</f>
        <v>Calle Parque 12701</v>
      </c>
      <c r="E83" s="59" t="str">
        <f>[1]Personas!D80</f>
        <v>Lo Barnechea</v>
      </c>
      <c r="F83" s="59" t="str">
        <f>[1]Personas!E80</f>
        <v>La Dehesa</v>
      </c>
      <c r="G83" s="59">
        <f>[1]Personas!F80</f>
        <v>0</v>
      </c>
      <c r="H83" s="59" t="str">
        <f>[1]Personas!G80</f>
        <v>JEFE</v>
      </c>
      <c r="I83" s="60">
        <f>[1]Personas!H80</f>
        <v>56966082903</v>
      </c>
      <c r="J83" s="27" t="str">
        <f>[1]Personas!I80</f>
        <v>robertosalinas10200@gmail.com</v>
      </c>
      <c r="K83" s="27" t="str">
        <f>[1]Personas!J80</f>
        <v>Ignacio Castañeda</v>
      </c>
      <c r="L83" s="52"/>
      <c r="M83" s="52"/>
      <c r="N83" s="70">
        <f>SUMPRODUCT(Tabla523[[#This Row],[Naranjas]:[Empanadas Queso]],O$101:AB$101)</f>
        <v>0</v>
      </c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>
        <f>SUM(Tabla523[[#This Row],[Naranjas]:[Empanadas Queso]])</f>
        <v>0</v>
      </c>
      <c r="AD83" s="58"/>
    </row>
    <row r="84" spans="1:30" outlineLevel="1" x14ac:dyDescent="0.25">
      <c r="A84" s="160"/>
      <c r="B84" s="50" t="str">
        <f>[1]Personas!A81</f>
        <v>Tomas</v>
      </c>
      <c r="C84" s="48" t="str">
        <f>[1]Personas!B81</f>
        <v>Rojas</v>
      </c>
      <c r="D84" s="59" t="str">
        <f>[1]Personas!C81</f>
        <v>Condominio Chicureo 3</v>
      </c>
      <c r="E84" s="59" t="str">
        <f>[1]Personas!D81</f>
        <v>Chicureo</v>
      </c>
      <c r="F84" s="59" t="str">
        <f>[1]Personas!E81</f>
        <v>Colina</v>
      </c>
      <c r="G84" s="59" t="str">
        <f>[1]Personas!F81</f>
        <v>UC</v>
      </c>
      <c r="H84" s="59" t="str">
        <f>[1]Personas!G81</f>
        <v>JEFE</v>
      </c>
      <c r="I84" s="60">
        <f>[1]Personas!H81</f>
        <v>56979312762</v>
      </c>
      <c r="J84" s="27" t="str">
        <f>[1]Personas!I81</f>
        <v>tfrs15@hotmail.com</v>
      </c>
      <c r="K84" s="27" t="str">
        <f>[1]Personas!J81</f>
        <v>Lukas Quense</v>
      </c>
      <c r="L84" s="52"/>
      <c r="M84" s="52"/>
      <c r="N84" s="70">
        <f>SUMPRODUCT(Tabla523[[#This Row],[Naranjas]:[Empanadas Queso]],O$101:AB$101)</f>
        <v>0</v>
      </c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>
        <f>SUM(Tabla523[[#This Row],[Naranjas]:[Empanadas Queso]])</f>
        <v>0</v>
      </c>
      <c r="AD84" s="58"/>
    </row>
    <row r="85" spans="1:30" outlineLevel="1" x14ac:dyDescent="0.25">
      <c r="A85" s="160"/>
      <c r="B85" s="50" t="str">
        <f>[1]Personas!A82</f>
        <v>Andres</v>
      </c>
      <c r="C85" s="48" t="str">
        <f>[1]Personas!B82</f>
        <v>Santamaria</v>
      </c>
      <c r="D85" s="59" t="str">
        <f>[1]Personas!C82</f>
        <v>Arquitecto Sulivan 5949</v>
      </c>
      <c r="E85" s="59" t="str">
        <f>[1]Personas!D82</f>
        <v>Vitacura</v>
      </c>
      <c r="F85" s="59">
        <f>[1]Personas!E82</f>
        <v>0</v>
      </c>
      <c r="G85" s="59" t="str">
        <f>[1]Personas!F82</f>
        <v>UDD</v>
      </c>
      <c r="H85" s="59" t="str">
        <f>[1]Personas!G82</f>
        <v>JEFE</v>
      </c>
      <c r="I85" s="60">
        <f>[1]Personas!H82</f>
        <v>56982930856</v>
      </c>
      <c r="J85" s="27" t="str">
        <f>[1]Personas!I82</f>
        <v>asantamariaw@gmail.com</v>
      </c>
      <c r="K85" s="27" t="str">
        <f>[1]Personas!J82</f>
        <v>Joaquin Eichholz</v>
      </c>
      <c r="L85" s="52"/>
      <c r="M85" s="52"/>
      <c r="N85" s="70">
        <f>SUMPRODUCT(Tabla523[[#This Row],[Naranjas]:[Empanadas Queso]],O$101:AB$101)</f>
        <v>0</v>
      </c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>
        <f>SUM(Tabla523[[#This Row],[Naranjas]:[Empanadas Queso]])</f>
        <v>0</v>
      </c>
      <c r="AD85" s="58"/>
    </row>
    <row r="86" spans="1:30" outlineLevel="1" x14ac:dyDescent="0.25">
      <c r="A86" s="160"/>
      <c r="B86" s="50" t="str">
        <f>[1]Personas!A83</f>
        <v>Isidora</v>
      </c>
      <c r="C86" s="48" t="str">
        <f>[1]Personas!B83</f>
        <v>De La Barra</v>
      </c>
      <c r="D86" s="59" t="str">
        <f>[1]Personas!C83</f>
        <v>Parque Antonio Rabbat 6333</v>
      </c>
      <c r="E86" s="59" t="str">
        <f>[1]Personas!D83</f>
        <v>Vitacura</v>
      </c>
      <c r="F86" s="59" t="str">
        <f>[1]Personas!E83</f>
        <v>Santa Maria</v>
      </c>
      <c r="G86" s="59" t="str">
        <f>[1]Personas!F83</f>
        <v>San Benito</v>
      </c>
      <c r="H86" s="59" t="str">
        <f>[1]Personas!G83</f>
        <v>JEFE</v>
      </c>
      <c r="I86" s="60">
        <f>[1]Personas!H83</f>
        <v>56999194650</v>
      </c>
      <c r="J86" s="27" t="str">
        <f>[1]Personas!I83</f>
        <v>isidora.delabarra@gmail.com</v>
      </c>
      <c r="K86" s="27" t="str">
        <f>[1]Personas!J83</f>
        <v>Joaquin Eichholz</v>
      </c>
      <c r="L86" s="52"/>
      <c r="M86" s="52"/>
      <c r="N86" s="70">
        <f>SUMPRODUCT(Tabla523[[#This Row],[Naranjas]:[Empanadas Queso]],O$101:AB$101)</f>
        <v>0</v>
      </c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>
        <f>SUM(Tabla523[[#This Row],[Naranjas]:[Empanadas Queso]])</f>
        <v>0</v>
      </c>
      <c r="AD86" s="58"/>
    </row>
    <row r="87" spans="1:30" outlineLevel="1" x14ac:dyDescent="0.25">
      <c r="A87" s="160"/>
      <c r="B87" s="50" t="str">
        <f>[1]Personas!A84</f>
        <v>Juan Pablo</v>
      </c>
      <c r="C87" s="48" t="str">
        <f>[1]Personas!B84</f>
        <v>Germain</v>
      </c>
      <c r="D87" s="59" t="str">
        <f>[1]Personas!C84</f>
        <v>Santa Veronica 1035</v>
      </c>
      <c r="E87" s="59" t="str">
        <f>[1]Personas!D84</f>
        <v>Las Condes</v>
      </c>
      <c r="F87" s="59" t="str">
        <f>[1]Personas!E84</f>
        <v>San Carlos</v>
      </c>
      <c r="G87" s="59" t="str">
        <f>[1]Personas!F84</f>
        <v>UC</v>
      </c>
      <c r="H87" s="59" t="str">
        <f>[1]Personas!G84</f>
        <v>JEFE</v>
      </c>
      <c r="I87" s="60">
        <f>[1]Personas!H84</f>
        <v>56966685970</v>
      </c>
      <c r="J87" s="27" t="str">
        <f>[1]Personas!I84</f>
        <v>jpgermain17@gmail.com</v>
      </c>
      <c r="K87" s="27" t="str">
        <f>[1]Personas!J84</f>
        <v>Joaquin Eichholz</v>
      </c>
      <c r="L87" s="52"/>
      <c r="M87" s="52"/>
      <c r="N87" s="70">
        <f>SUMPRODUCT(Tabla523[[#This Row],[Naranjas]:[Empanadas Queso]],O$101:AB$101)</f>
        <v>0</v>
      </c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>
        <f>SUM(Tabla523[[#This Row],[Naranjas]:[Empanadas Queso]])</f>
        <v>0</v>
      </c>
      <c r="AD87" s="58"/>
    </row>
    <row r="88" spans="1:30" outlineLevel="1" x14ac:dyDescent="0.25">
      <c r="A88" s="160"/>
      <c r="B88" s="50" t="str">
        <f>[1]Personas!A85</f>
        <v>Matias</v>
      </c>
      <c r="C88" s="48" t="str">
        <f>[1]Personas!B85</f>
        <v>Muschen</v>
      </c>
      <c r="D88" s="59" t="str">
        <f>[1]Personas!C85</f>
        <v>Las Condesas 2035</v>
      </c>
      <c r="E88" s="59" t="str">
        <f>[1]Personas!D85</f>
        <v>Las Condes</v>
      </c>
      <c r="F88" s="59" t="str">
        <f>[1]Personas!E85</f>
        <v>San Carlos</v>
      </c>
      <c r="G88" s="59" t="str">
        <f>[1]Personas!F85</f>
        <v>Aleman</v>
      </c>
      <c r="H88" s="59" t="str">
        <f>[1]Personas!G85</f>
        <v>JEFE</v>
      </c>
      <c r="I88" s="60" t="str">
        <f>[1]Personas!H85</f>
        <v>nnn</v>
      </c>
      <c r="J88" s="27" t="str">
        <f>[1]Personas!I85</f>
        <v>matimuschen@gmail.com</v>
      </c>
      <c r="K88" s="27" t="str">
        <f>[1]Personas!J85</f>
        <v>Lukas Quense</v>
      </c>
      <c r="L88" s="52"/>
      <c r="M88" s="52"/>
      <c r="N88" s="70">
        <f>SUMPRODUCT(Tabla523[[#This Row],[Naranjas]:[Empanadas Queso]],O$101:AB$101)</f>
        <v>0</v>
      </c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>
        <f>SUM(Tabla523[[#This Row],[Naranjas]:[Empanadas Queso]])</f>
        <v>0</v>
      </c>
      <c r="AD88" s="58"/>
    </row>
    <row r="89" spans="1:30" outlineLevel="1" x14ac:dyDescent="0.25">
      <c r="A89" s="160"/>
      <c r="B89" s="50" t="str">
        <f>[1]Personas!A86</f>
        <v>Pia</v>
      </c>
      <c r="C89" s="48" t="str">
        <f>[1]Personas!B86</f>
        <v>Rodriguez</v>
      </c>
      <c r="D89" s="59" t="str">
        <f>[1]Personas!C86</f>
        <v>Camino Mirasol 2569</v>
      </c>
      <c r="E89" s="59" t="str">
        <f>[1]Personas!D86</f>
        <v>Las Condes</v>
      </c>
      <c r="F89" s="59" t="str">
        <f>[1]Personas!E86</f>
        <v>San Carlos</v>
      </c>
      <c r="G89" s="59">
        <f>[1]Personas!F86</f>
        <v>0</v>
      </c>
      <c r="H89" s="59" t="str">
        <f>[1]Personas!G86</f>
        <v>JEFE</v>
      </c>
      <c r="I89" s="60" t="str">
        <f>[1]Personas!H86</f>
        <v>nnn</v>
      </c>
      <c r="J89" s="27">
        <f>[1]Personas!I86</f>
        <v>0</v>
      </c>
      <c r="K89" s="27">
        <f>[1]Personas!J86</f>
        <v>0</v>
      </c>
      <c r="L89" s="52"/>
      <c r="M89" s="52"/>
      <c r="N89" s="70">
        <f>SUMPRODUCT(Tabla523[[#This Row],[Naranjas]:[Empanadas Queso]],O$101:AB$101)</f>
        <v>0</v>
      </c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>
        <f>SUM(Tabla523[[#This Row],[Naranjas]:[Empanadas Queso]])</f>
        <v>0</v>
      </c>
      <c r="AD89" s="58"/>
    </row>
    <row r="90" spans="1:30" outlineLevel="1" x14ac:dyDescent="0.25">
      <c r="A90" s="160"/>
      <c r="B90" s="50" t="str">
        <f>[1]Personas!A87</f>
        <v>Gino</v>
      </c>
      <c r="C90" s="48" t="str">
        <f>[1]Personas!B87</f>
        <v>Genova</v>
      </c>
      <c r="D90" s="59">
        <f>[1]Personas!C87</f>
        <v>0</v>
      </c>
      <c r="E90" s="59">
        <f>[1]Personas!D87</f>
        <v>0</v>
      </c>
      <c r="F90" s="59">
        <f>[1]Personas!E87</f>
        <v>0</v>
      </c>
      <c r="G90" s="59">
        <f>[1]Personas!F87</f>
        <v>0</v>
      </c>
      <c r="H90" s="59">
        <f>[1]Personas!G87</f>
        <v>0</v>
      </c>
      <c r="I90" s="60">
        <f>[1]Personas!H87</f>
        <v>0</v>
      </c>
      <c r="J90" s="27">
        <f>[1]Personas!I87</f>
        <v>0</v>
      </c>
      <c r="K90" s="27">
        <f>[1]Personas!J87</f>
        <v>0</v>
      </c>
      <c r="L90" s="52"/>
      <c r="M90" s="52"/>
      <c r="N90" s="70">
        <f>SUMPRODUCT(Tabla523[[#This Row],[Naranjas]:[Empanadas Queso]],O$101:AB$101)</f>
        <v>0</v>
      </c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>
        <f>SUM(Tabla523[[#This Row],[Naranjas]:[Empanadas Queso]])</f>
        <v>0</v>
      </c>
      <c r="AD90" s="58"/>
    </row>
    <row r="91" spans="1:30" ht="15.75" outlineLevel="1" thickBot="1" x14ac:dyDescent="0.3">
      <c r="A91" s="161"/>
      <c r="B91" s="13" t="str">
        <f>[1]Personas!A88</f>
        <v>Isidora</v>
      </c>
      <c r="C91" s="14" t="str">
        <f>[1]Personas!B88</f>
        <v>Badia</v>
      </c>
      <c r="D91" s="65" t="str">
        <f>[1]Personas!C88</f>
        <v>Av Golf Lomas de La Dehesa 11755</v>
      </c>
      <c r="E91" s="65" t="str">
        <f>[1]Personas!D88</f>
        <v>Lo Barnechea</v>
      </c>
      <c r="F91" s="65" t="str">
        <f>[1]Personas!E88</f>
        <v>Los Trapenses</v>
      </c>
      <c r="G91" s="65" t="str">
        <f>[1]Personas!F88</f>
        <v>UAI</v>
      </c>
      <c r="H91" s="65" t="str">
        <f>[1]Personas!G88</f>
        <v>JEFE</v>
      </c>
      <c r="I91" s="66">
        <f>[1]Personas!H88</f>
        <v>56976994719</v>
      </c>
      <c r="J91" s="46" t="str">
        <f>[1]Personas!I88</f>
        <v>isidorabadiaw@gmail.com</v>
      </c>
      <c r="K91" s="46" t="str">
        <f>[1]Personas!J88</f>
        <v>Lukas Quense</v>
      </c>
      <c r="L91" s="16"/>
      <c r="M91" s="16"/>
      <c r="N91" s="71">
        <f>SUMPRODUCT(Tabla523[[#This Row],[Naranjas]:[Empanadas Queso]],O$101:AB$101)</f>
        <v>0</v>
      </c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>
        <f>SUM(Tabla523[[#This Row],[Naranjas]:[Empanadas Queso]])</f>
        <v>0</v>
      </c>
      <c r="AD91" s="45"/>
    </row>
    <row r="92" spans="1:30" outlineLevel="1" x14ac:dyDescent="0.25">
      <c r="A92" s="18"/>
      <c r="B92" s="19"/>
      <c r="C92" s="19"/>
      <c r="D92" s="19"/>
      <c r="E92" s="19"/>
      <c r="F92" s="19"/>
      <c r="G92" s="19"/>
      <c r="H92" s="19"/>
      <c r="I92" s="32"/>
      <c r="J92" s="31"/>
      <c r="K92" s="31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</row>
    <row r="93" spans="1:30" ht="15.75" thickBot="1" x14ac:dyDescent="0.3"/>
    <row r="94" spans="1:30" ht="14.65" customHeight="1" thickBot="1" x14ac:dyDescent="0.3">
      <c r="A94" s="120" t="s">
        <v>20</v>
      </c>
      <c r="B94" s="135" t="s">
        <v>7</v>
      </c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7"/>
      <c r="N94" s="41" t="s">
        <v>9</v>
      </c>
      <c r="O94" s="8">
        <f>SUM(Tabla523[Naranjas])</f>
        <v>0</v>
      </c>
      <c r="P94" s="49">
        <f>SUM(Tabla523[Mandarinas])</f>
        <v>0</v>
      </c>
      <c r="Q94" s="49">
        <f>SUM(Tabla523[Paltas])</f>
        <v>0</v>
      </c>
      <c r="R94" s="49">
        <f>SUM(Tabla523[Quesos])</f>
        <v>0</v>
      </c>
      <c r="S94" s="49">
        <f>SUM(Tabla523[Frutillas])</f>
        <v>0</v>
      </c>
      <c r="T94" s="49">
        <f>SUM(Tabla523[Tomate Cherry])</f>
        <v>0</v>
      </c>
      <c r="U94" s="49">
        <f>SUM(Tabla523[Nueces])</f>
        <v>0</v>
      </c>
      <c r="V94" s="49">
        <f>SUM(Tabla523[Mani])</f>
        <v>0</v>
      </c>
      <c r="W94" s="49">
        <f>SUM(Tabla523[Pistachos])</f>
        <v>0</v>
      </c>
      <c r="X94" s="49">
        <f>SUM(Tabla523[Caju])</f>
        <v>0</v>
      </c>
      <c r="Y94" s="49">
        <f>SUM(Tabla523[Almendras])</f>
        <v>0</v>
      </c>
      <c r="Z94" s="49">
        <f>SUM(Tabla523[Cerezas])</f>
        <v>0</v>
      </c>
      <c r="AA94" s="49">
        <f>SUM(Tabla523[Arandanos])</f>
        <v>0</v>
      </c>
      <c r="AB94" s="4">
        <f>SUM(Tabla523[Empanadas Queso])</f>
        <v>0</v>
      </c>
    </row>
    <row r="95" spans="1:30" ht="14.65" customHeight="1" thickBot="1" x14ac:dyDescent="0.3">
      <c r="A95" s="121"/>
      <c r="B95" s="138"/>
      <c r="C95" s="139"/>
      <c r="D95" s="139"/>
      <c r="E95" s="139"/>
      <c r="F95" s="139"/>
      <c r="G95" s="139"/>
      <c r="H95" s="139"/>
      <c r="I95" s="139"/>
      <c r="J95" s="139"/>
      <c r="K95" s="139"/>
      <c r="L95" s="139"/>
      <c r="M95" s="140"/>
      <c r="N95" s="41" t="s">
        <v>28</v>
      </c>
      <c r="O95" s="9">
        <v>5</v>
      </c>
      <c r="P95" s="52">
        <v>4</v>
      </c>
      <c r="Q95" s="52">
        <v>2</v>
      </c>
      <c r="R95" s="37">
        <v>1</v>
      </c>
      <c r="S95" s="37">
        <v>2</v>
      </c>
      <c r="T95" s="52">
        <v>1</v>
      </c>
      <c r="U95" s="73">
        <v>0.5</v>
      </c>
      <c r="V95" s="73">
        <v>1</v>
      </c>
      <c r="W95" s="73">
        <v>0.5</v>
      </c>
      <c r="X95" s="73">
        <v>0.4</v>
      </c>
      <c r="Y95" s="73">
        <v>0.5</v>
      </c>
      <c r="Z95" s="73">
        <v>5</v>
      </c>
      <c r="AA95" s="73">
        <v>0.5</v>
      </c>
      <c r="AB95" s="38">
        <v>12</v>
      </c>
    </row>
    <row r="96" spans="1:30" ht="14.65" customHeight="1" thickBot="1" x14ac:dyDescent="0.3">
      <c r="A96" s="121"/>
      <c r="B96" s="138"/>
      <c r="C96" s="139"/>
      <c r="D96" s="139"/>
      <c r="E96" s="139"/>
      <c r="F96" s="139"/>
      <c r="G96" s="139"/>
      <c r="H96" s="139"/>
      <c r="I96" s="139"/>
      <c r="J96" s="139"/>
      <c r="K96" s="139"/>
      <c r="L96" s="139"/>
      <c r="M96" s="140"/>
      <c r="N96" s="41" t="s">
        <v>8</v>
      </c>
      <c r="O96" s="9">
        <f>O95*O94</f>
        <v>0</v>
      </c>
      <c r="P96" s="52">
        <f t="shared" ref="P96:U96" si="0">P95*P94</f>
        <v>0</v>
      </c>
      <c r="Q96" s="52">
        <f t="shared" si="0"/>
        <v>0</v>
      </c>
      <c r="R96" s="52">
        <f t="shared" si="0"/>
        <v>0</v>
      </c>
      <c r="S96" s="52">
        <f>S95*S94</f>
        <v>0</v>
      </c>
      <c r="T96" s="52">
        <f t="shared" si="0"/>
        <v>0</v>
      </c>
      <c r="U96" s="52">
        <f t="shared" si="0"/>
        <v>0</v>
      </c>
      <c r="V96" s="52">
        <f t="shared" ref="V96:AA96" si="1">V95*V94</f>
        <v>0</v>
      </c>
      <c r="W96" s="52">
        <f t="shared" si="1"/>
        <v>0</v>
      </c>
      <c r="X96" s="52">
        <f t="shared" si="1"/>
        <v>0</v>
      </c>
      <c r="Y96" s="52">
        <f t="shared" si="1"/>
        <v>0</v>
      </c>
      <c r="Z96" s="52">
        <f t="shared" si="1"/>
        <v>0</v>
      </c>
      <c r="AA96" s="52">
        <f t="shared" si="1"/>
        <v>0</v>
      </c>
      <c r="AB96" s="11">
        <f t="shared" ref="AB96" si="2">AB95*AB94</f>
        <v>0</v>
      </c>
    </row>
    <row r="97" spans="1:28" ht="15.75" thickBot="1" x14ac:dyDescent="0.3">
      <c r="A97" s="121"/>
      <c r="B97" s="141"/>
      <c r="C97" s="142"/>
      <c r="D97" s="142"/>
      <c r="E97" s="142"/>
      <c r="F97" s="142"/>
      <c r="G97" s="142"/>
      <c r="H97" s="142"/>
      <c r="I97" s="142"/>
      <c r="J97" s="142"/>
      <c r="K97" s="142"/>
      <c r="L97" s="142"/>
      <c r="M97" s="143"/>
      <c r="N97" s="41" t="s">
        <v>10</v>
      </c>
      <c r="O97" s="10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2"/>
    </row>
    <row r="98" spans="1:28" ht="15.75" thickBot="1" x14ac:dyDescent="0.3">
      <c r="A98" s="121"/>
      <c r="B98" s="42"/>
      <c r="C98" s="19"/>
      <c r="D98" s="23"/>
      <c r="E98" s="24"/>
      <c r="F98" s="24"/>
      <c r="G98" s="24"/>
      <c r="H98" s="24"/>
      <c r="I98" s="24"/>
      <c r="J98" s="24"/>
      <c r="K98" s="25"/>
      <c r="N98" s="3"/>
    </row>
    <row r="99" spans="1:28" ht="15.75" thickBot="1" x14ac:dyDescent="0.3">
      <c r="A99" s="121"/>
      <c r="B99" s="135" t="s">
        <v>12</v>
      </c>
      <c r="C99" s="136"/>
      <c r="D99" s="136"/>
      <c r="E99" s="136"/>
      <c r="F99" s="136"/>
      <c r="G99" s="136"/>
      <c r="H99" s="136"/>
      <c r="I99" s="136"/>
      <c r="J99" s="136"/>
      <c r="K99" s="136"/>
      <c r="L99" s="136"/>
      <c r="M99" s="137"/>
      <c r="N99" s="41" t="s">
        <v>13</v>
      </c>
      <c r="O99" s="54">
        <f>O100*O95</f>
        <v>2750</v>
      </c>
      <c r="P99" s="51">
        <f t="shared" ref="P99:U99" si="3">P100*P95</f>
        <v>2200</v>
      </c>
      <c r="Q99" s="51">
        <f t="shared" si="3"/>
        <v>3100</v>
      </c>
      <c r="R99" s="51">
        <f t="shared" si="3"/>
        <v>6716</v>
      </c>
      <c r="S99" s="51">
        <f>S100*S95</f>
        <v>2600</v>
      </c>
      <c r="T99" s="51">
        <f t="shared" si="3"/>
        <v>2300</v>
      </c>
      <c r="U99" s="51">
        <f t="shared" si="3"/>
        <v>3750</v>
      </c>
      <c r="V99" s="51">
        <f t="shared" ref="V99:AA99" si="4">V100*V95</f>
        <v>3500</v>
      </c>
      <c r="W99" s="51">
        <f t="shared" si="4"/>
        <v>7050</v>
      </c>
      <c r="X99" s="51">
        <f t="shared" si="4"/>
        <v>5320</v>
      </c>
      <c r="Y99" s="51">
        <f t="shared" si="4"/>
        <v>5350</v>
      </c>
      <c r="Z99" s="51">
        <f t="shared" si="4"/>
        <v>6000</v>
      </c>
      <c r="AA99" s="51">
        <f t="shared" si="4"/>
        <v>600</v>
      </c>
      <c r="AB99" s="15">
        <f t="shared" ref="AB99" si="5">AB100*AB95</f>
        <v>12000</v>
      </c>
    </row>
    <row r="100" spans="1:28" ht="15.75" thickBot="1" x14ac:dyDescent="0.3">
      <c r="A100" s="121"/>
      <c r="B100" s="138"/>
      <c r="C100" s="139"/>
      <c r="D100" s="139"/>
      <c r="E100" s="139"/>
      <c r="F100" s="139"/>
      <c r="G100" s="139"/>
      <c r="H100" s="139"/>
      <c r="I100" s="139"/>
      <c r="J100" s="139"/>
      <c r="K100" s="139"/>
      <c r="L100" s="139"/>
      <c r="M100" s="140"/>
      <c r="N100" s="41" t="s">
        <v>8</v>
      </c>
      <c r="O100" s="77">
        <v>550</v>
      </c>
      <c r="P100" s="76">
        <v>550</v>
      </c>
      <c r="Q100" s="76">
        <v>1550</v>
      </c>
      <c r="R100" s="76">
        <v>6716</v>
      </c>
      <c r="S100" s="76">
        <v>1300</v>
      </c>
      <c r="T100" s="76">
        <v>2300</v>
      </c>
      <c r="U100" s="76">
        <v>7500</v>
      </c>
      <c r="V100" s="76">
        <v>3500</v>
      </c>
      <c r="W100" s="76">
        <v>14100</v>
      </c>
      <c r="X100" s="76">
        <v>13300</v>
      </c>
      <c r="Y100" s="76">
        <v>10700</v>
      </c>
      <c r="Z100" s="76">
        <f>6000/5</f>
        <v>1200</v>
      </c>
      <c r="AA100" s="76">
        <f>6000/5</f>
        <v>1200</v>
      </c>
      <c r="AB100" s="80">
        <v>1000</v>
      </c>
    </row>
    <row r="101" spans="1:28" ht="15.75" thickBot="1" x14ac:dyDescent="0.3">
      <c r="A101" s="121"/>
      <c r="B101" s="141"/>
      <c r="C101" s="142"/>
      <c r="D101" s="142"/>
      <c r="E101" s="142"/>
      <c r="F101" s="142"/>
      <c r="G101" s="142"/>
      <c r="H101" s="142"/>
      <c r="I101" s="142"/>
      <c r="J101" s="142"/>
      <c r="K101" s="142"/>
      <c r="L101" s="142"/>
      <c r="M101" s="143"/>
      <c r="N101" s="41" t="s">
        <v>14</v>
      </c>
      <c r="O101" s="78">
        <v>3500</v>
      </c>
      <c r="P101" s="79">
        <v>4500</v>
      </c>
      <c r="Q101" s="79">
        <v>4500</v>
      </c>
      <c r="R101" s="79">
        <v>7500</v>
      </c>
      <c r="S101" s="79">
        <v>4500</v>
      </c>
      <c r="T101" s="79">
        <v>4500</v>
      </c>
      <c r="U101" s="79">
        <v>5500</v>
      </c>
      <c r="V101" s="79">
        <v>4500</v>
      </c>
      <c r="W101" s="79">
        <v>8500</v>
      </c>
      <c r="X101" s="79">
        <v>7500</v>
      </c>
      <c r="Y101" s="79">
        <v>7500</v>
      </c>
      <c r="Z101" s="79">
        <v>9500</v>
      </c>
      <c r="AA101" s="79">
        <v>4500</v>
      </c>
      <c r="AB101" s="81">
        <v>17500</v>
      </c>
    </row>
    <row r="102" spans="1:28" ht="15.75" thickBot="1" x14ac:dyDescent="0.3">
      <c r="A102" s="121"/>
      <c r="B102" s="42"/>
      <c r="C102" s="19"/>
      <c r="D102" s="23"/>
      <c r="E102" s="24"/>
      <c r="F102" s="24"/>
      <c r="G102" s="24"/>
      <c r="H102" s="24"/>
      <c r="I102" s="24"/>
      <c r="J102" s="24"/>
      <c r="K102" s="25"/>
      <c r="N102" s="3"/>
    </row>
    <row r="103" spans="1:28" ht="14.65" customHeight="1" thickBot="1" x14ac:dyDescent="0.3">
      <c r="A103" s="121"/>
      <c r="B103" s="135" t="s">
        <v>15</v>
      </c>
      <c r="C103" s="136"/>
      <c r="D103" s="136"/>
      <c r="E103" s="136"/>
      <c r="F103" s="136"/>
      <c r="G103" s="136"/>
      <c r="H103" s="136"/>
      <c r="I103" s="136"/>
      <c r="J103" s="136"/>
      <c r="K103" s="136"/>
      <c r="L103" s="136"/>
      <c r="M103" s="137"/>
      <c r="N103" s="41" t="s">
        <v>19</v>
      </c>
      <c r="O103" s="87">
        <f>O94*O99</f>
        <v>0</v>
      </c>
      <c r="P103" s="88">
        <f t="shared" ref="P103:U103" si="6">P94*P99</f>
        <v>0</v>
      </c>
      <c r="Q103" s="88">
        <f t="shared" si="6"/>
        <v>0</v>
      </c>
      <c r="R103" s="89">
        <f t="shared" si="6"/>
        <v>0</v>
      </c>
      <c r="S103" s="89">
        <f t="shared" si="6"/>
        <v>0</v>
      </c>
      <c r="T103" s="88">
        <f>T94*T99</f>
        <v>0</v>
      </c>
      <c r="U103" s="88">
        <f t="shared" si="6"/>
        <v>0</v>
      </c>
      <c r="V103" s="88">
        <f t="shared" ref="V103:AB103" si="7">V94*V99</f>
        <v>0</v>
      </c>
      <c r="W103" s="88">
        <f t="shared" si="7"/>
        <v>0</v>
      </c>
      <c r="X103" s="88">
        <f t="shared" si="7"/>
        <v>0</v>
      </c>
      <c r="Y103" s="88">
        <f t="shared" si="7"/>
        <v>0</v>
      </c>
      <c r="Z103" s="88">
        <f t="shared" si="7"/>
        <v>0</v>
      </c>
      <c r="AA103" s="88">
        <f t="shared" si="7"/>
        <v>0</v>
      </c>
      <c r="AB103" s="90">
        <f t="shared" si="7"/>
        <v>0</v>
      </c>
    </row>
    <row r="104" spans="1:28" ht="15.75" thickBot="1" x14ac:dyDescent="0.3">
      <c r="A104" s="121"/>
      <c r="B104" s="141"/>
      <c r="C104" s="142"/>
      <c r="D104" s="142"/>
      <c r="E104" s="142"/>
      <c r="F104" s="142"/>
      <c r="G104" s="142"/>
      <c r="H104" s="142"/>
      <c r="I104" s="142"/>
      <c r="J104" s="142"/>
      <c r="K104" s="142"/>
      <c r="L104" s="142"/>
      <c r="M104" s="143"/>
      <c r="N104" s="41" t="s">
        <v>16</v>
      </c>
      <c r="O104" s="112">
        <f>SUM(O103:AB103)</f>
        <v>0</v>
      </c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  <c r="AB104" s="114"/>
    </row>
    <row r="105" spans="1:28" ht="15.75" thickBot="1" x14ac:dyDescent="0.3">
      <c r="A105" s="121"/>
      <c r="B105" s="135" t="s">
        <v>17</v>
      </c>
      <c r="C105" s="136"/>
      <c r="D105" s="136"/>
      <c r="E105" s="136"/>
      <c r="F105" s="136"/>
      <c r="G105" s="136"/>
      <c r="H105" s="136"/>
      <c r="I105" s="136"/>
      <c r="J105" s="136"/>
      <c r="K105" s="136"/>
      <c r="L105" s="136"/>
      <c r="M105" s="137"/>
      <c r="N105" s="41" t="s">
        <v>19</v>
      </c>
      <c r="O105" s="50">
        <f t="shared" ref="O105:AB105" si="8">O101*O94</f>
        <v>0</v>
      </c>
      <c r="P105" s="48">
        <f t="shared" si="8"/>
        <v>0</v>
      </c>
      <c r="Q105" s="48">
        <f t="shared" si="8"/>
        <v>0</v>
      </c>
      <c r="R105" s="48">
        <f t="shared" si="8"/>
        <v>0</v>
      </c>
      <c r="S105" s="48">
        <f t="shared" si="8"/>
        <v>0</v>
      </c>
      <c r="T105" s="48">
        <f t="shared" si="8"/>
        <v>0</v>
      </c>
      <c r="U105" s="48">
        <f t="shared" si="8"/>
        <v>0</v>
      </c>
      <c r="V105" s="48">
        <f t="shared" si="8"/>
        <v>0</v>
      </c>
      <c r="W105" s="48">
        <f t="shared" si="8"/>
        <v>0</v>
      </c>
      <c r="X105" s="48">
        <f t="shared" si="8"/>
        <v>0</v>
      </c>
      <c r="Y105" s="48">
        <f t="shared" si="8"/>
        <v>0</v>
      </c>
      <c r="Z105" s="48">
        <f t="shared" si="8"/>
        <v>0</v>
      </c>
      <c r="AA105" s="48">
        <f t="shared" si="8"/>
        <v>0</v>
      </c>
      <c r="AB105" s="91">
        <f t="shared" si="8"/>
        <v>0</v>
      </c>
    </row>
    <row r="106" spans="1:28" ht="15.75" thickBot="1" x14ac:dyDescent="0.3">
      <c r="A106" s="121"/>
      <c r="B106" s="141"/>
      <c r="C106" s="142"/>
      <c r="D106" s="142"/>
      <c r="E106" s="142"/>
      <c r="F106" s="142"/>
      <c r="G106" s="142"/>
      <c r="H106" s="142"/>
      <c r="I106" s="142"/>
      <c r="J106" s="142"/>
      <c r="K106" s="142"/>
      <c r="L106" s="142"/>
      <c r="M106" s="143"/>
      <c r="N106" s="41" t="s">
        <v>16</v>
      </c>
      <c r="O106" s="112">
        <f>SUM(O105:AB105)</f>
        <v>0</v>
      </c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4"/>
    </row>
    <row r="107" spans="1:28" ht="14.65" customHeight="1" thickBot="1" x14ac:dyDescent="0.3">
      <c r="A107" s="121"/>
      <c r="B107" s="135" t="s">
        <v>18</v>
      </c>
      <c r="C107" s="136"/>
      <c r="D107" s="136"/>
      <c r="E107" s="136"/>
      <c r="F107" s="136"/>
      <c r="G107" s="136"/>
      <c r="H107" s="136"/>
      <c r="I107" s="136"/>
      <c r="J107" s="136"/>
      <c r="K107" s="136"/>
      <c r="L107" s="136"/>
      <c r="M107" s="137"/>
      <c r="N107" s="41" t="s">
        <v>19</v>
      </c>
      <c r="O107" s="50">
        <f>O105-O103</f>
        <v>0</v>
      </c>
      <c r="P107" s="48">
        <f t="shared" ref="P107:AB107" si="9">P105-P103</f>
        <v>0</v>
      </c>
      <c r="Q107" s="48">
        <f t="shared" si="9"/>
        <v>0</v>
      </c>
      <c r="R107" s="48">
        <f t="shared" si="9"/>
        <v>0</v>
      </c>
      <c r="S107" s="48">
        <f t="shared" si="9"/>
        <v>0</v>
      </c>
      <c r="T107" s="48">
        <f t="shared" si="9"/>
        <v>0</v>
      </c>
      <c r="U107" s="48">
        <f t="shared" si="9"/>
        <v>0</v>
      </c>
      <c r="V107" s="48">
        <f t="shared" si="9"/>
        <v>0</v>
      </c>
      <c r="W107" s="48">
        <f t="shared" si="9"/>
        <v>0</v>
      </c>
      <c r="X107" s="48">
        <f t="shared" si="9"/>
        <v>0</v>
      </c>
      <c r="Y107" s="48">
        <f t="shared" si="9"/>
        <v>0</v>
      </c>
      <c r="Z107" s="48">
        <f t="shared" si="9"/>
        <v>0</v>
      </c>
      <c r="AA107" s="48">
        <f t="shared" si="9"/>
        <v>0</v>
      </c>
      <c r="AB107" s="91">
        <f>AB105-AB103</f>
        <v>0</v>
      </c>
    </row>
    <row r="108" spans="1:28" ht="29.65" customHeight="1" thickBot="1" x14ac:dyDescent="0.3">
      <c r="A108" s="121"/>
      <c r="B108" s="141"/>
      <c r="C108" s="142"/>
      <c r="D108" s="142"/>
      <c r="E108" s="142"/>
      <c r="F108" s="142"/>
      <c r="G108" s="142"/>
      <c r="H108" s="142"/>
      <c r="I108" s="142"/>
      <c r="J108" s="142"/>
      <c r="K108" s="142"/>
      <c r="L108" s="142"/>
      <c r="M108" s="143"/>
      <c r="N108" s="41" t="s">
        <v>29</v>
      </c>
      <c r="O108" s="109">
        <f>O106-O104</f>
        <v>0</v>
      </c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1"/>
    </row>
    <row r="109" spans="1:28" ht="15.75" thickBot="1" x14ac:dyDescent="0.3">
      <c r="A109" s="121"/>
    </row>
    <row r="110" spans="1:28" ht="14.65" customHeight="1" thickBot="1" x14ac:dyDescent="0.3">
      <c r="A110" s="121"/>
      <c r="B110" s="147" t="s">
        <v>25</v>
      </c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9"/>
      <c r="O110" s="129" t="s">
        <v>26</v>
      </c>
      <c r="P110" s="130"/>
      <c r="Q110" s="131"/>
      <c r="R110" s="29" t="s">
        <v>27</v>
      </c>
      <c r="S110" s="61"/>
      <c r="T110" s="5"/>
      <c r="U110" s="5"/>
      <c r="V110" s="5"/>
      <c r="W110" s="5"/>
      <c r="X110" s="5"/>
      <c r="Y110" s="5"/>
      <c r="Z110" s="5"/>
      <c r="AA110" s="5"/>
      <c r="AB110" s="5"/>
    </row>
    <row r="111" spans="1:28" ht="15" customHeight="1" x14ac:dyDescent="0.25">
      <c r="A111" s="121"/>
      <c r="B111" s="150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2"/>
      <c r="O111" s="156"/>
      <c r="P111" s="157"/>
      <c r="Q111" s="158"/>
      <c r="R111" s="33"/>
      <c r="S111" s="62"/>
      <c r="T111" s="6"/>
      <c r="U111" s="6"/>
      <c r="V111" s="6"/>
      <c r="W111" s="6"/>
      <c r="X111" s="6"/>
      <c r="Y111" s="6"/>
      <c r="Z111" s="6"/>
      <c r="AA111" s="6"/>
      <c r="AB111" s="6"/>
    </row>
    <row r="112" spans="1:28" ht="15" customHeight="1" x14ac:dyDescent="0.25">
      <c r="A112" s="121"/>
      <c r="B112" s="150"/>
      <c r="C112" s="151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2"/>
      <c r="O112" s="144"/>
      <c r="P112" s="145"/>
      <c r="Q112" s="146"/>
      <c r="R112" s="34"/>
      <c r="S112" s="62"/>
      <c r="T112" s="6"/>
      <c r="U112" s="6"/>
      <c r="V112" s="6"/>
      <c r="W112" s="6"/>
      <c r="X112" s="6"/>
      <c r="Y112" s="6"/>
      <c r="Z112" s="6"/>
      <c r="AA112" s="6"/>
      <c r="AB112" s="6"/>
    </row>
    <row r="113" spans="1:28" ht="15" customHeight="1" x14ac:dyDescent="0.25">
      <c r="A113" s="121"/>
      <c r="B113" s="150"/>
      <c r="C113" s="151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2"/>
      <c r="O113" s="144"/>
      <c r="P113" s="145"/>
      <c r="Q113" s="146"/>
      <c r="R113" s="34"/>
      <c r="S113" s="62"/>
      <c r="T113" s="6"/>
      <c r="U113" s="6"/>
      <c r="V113" s="6"/>
      <c r="W113" s="6"/>
      <c r="X113" s="6"/>
      <c r="Y113" s="6"/>
      <c r="Z113" s="6"/>
      <c r="AA113" s="6"/>
      <c r="AB113" s="6"/>
    </row>
    <row r="114" spans="1:28" ht="15" customHeight="1" x14ac:dyDescent="0.25">
      <c r="A114" s="121"/>
      <c r="B114" s="150"/>
      <c r="C114" s="151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2"/>
      <c r="O114" s="144"/>
      <c r="P114" s="145"/>
      <c r="Q114" s="146"/>
      <c r="R114" s="34"/>
      <c r="S114" s="62"/>
      <c r="T114" s="6"/>
      <c r="U114" s="6"/>
      <c r="V114" s="6"/>
      <c r="W114" s="6"/>
      <c r="X114" s="6"/>
      <c r="Y114" s="6"/>
      <c r="Z114" s="6"/>
      <c r="AA114" s="6"/>
      <c r="AB114" s="6"/>
    </row>
    <row r="115" spans="1:28" ht="15" customHeight="1" x14ac:dyDescent="0.25">
      <c r="A115" s="121"/>
      <c r="B115" s="150"/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2"/>
      <c r="O115" s="144"/>
      <c r="P115" s="145"/>
      <c r="Q115" s="146"/>
      <c r="R115" s="34"/>
      <c r="S115" s="62"/>
      <c r="T115" s="6"/>
      <c r="U115" s="6"/>
      <c r="V115" s="6"/>
      <c r="W115" s="6"/>
      <c r="X115" s="6"/>
      <c r="Y115" s="6"/>
      <c r="Z115" s="6"/>
      <c r="AA115" s="6"/>
      <c r="AB115" s="6"/>
    </row>
    <row r="116" spans="1:28" ht="15" customHeight="1" x14ac:dyDescent="0.25">
      <c r="A116" s="121"/>
      <c r="B116" s="150"/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2"/>
      <c r="O116" s="144"/>
      <c r="P116" s="145"/>
      <c r="Q116" s="146"/>
      <c r="R116" s="34"/>
      <c r="S116" s="62"/>
      <c r="T116" s="6"/>
      <c r="U116" s="6"/>
      <c r="V116" s="6"/>
      <c r="W116" s="6"/>
      <c r="X116" s="6"/>
      <c r="Y116" s="6"/>
      <c r="Z116" s="6"/>
      <c r="AA116" s="6"/>
      <c r="AB116" s="6"/>
    </row>
    <row r="117" spans="1:28" ht="15" customHeight="1" thickBot="1" x14ac:dyDescent="0.3">
      <c r="A117" s="121"/>
      <c r="B117" s="150"/>
      <c r="C117" s="151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2"/>
      <c r="O117" s="123"/>
      <c r="P117" s="124"/>
      <c r="Q117" s="125"/>
      <c r="R117" s="34"/>
      <c r="S117" s="62"/>
      <c r="T117" s="6"/>
      <c r="U117" s="6"/>
      <c r="V117" s="6"/>
      <c r="W117" s="6"/>
      <c r="X117" s="6"/>
      <c r="Y117" s="6"/>
      <c r="Z117" s="6"/>
      <c r="AA117" s="6"/>
      <c r="AB117" s="6"/>
    </row>
    <row r="118" spans="1:28" ht="15.75" customHeight="1" thickBot="1" x14ac:dyDescent="0.3">
      <c r="A118" s="121"/>
      <c r="B118" s="153"/>
      <c r="C118" s="154"/>
      <c r="D118" s="154"/>
      <c r="E118" s="154"/>
      <c r="F118" s="154"/>
      <c r="G118" s="154"/>
      <c r="H118" s="154"/>
      <c r="I118" s="154"/>
      <c r="J118" s="154"/>
      <c r="K118" s="154"/>
      <c r="L118" s="154"/>
      <c r="M118" s="154"/>
      <c r="N118" s="155"/>
      <c r="O118" s="126" t="s">
        <v>16</v>
      </c>
      <c r="P118" s="127"/>
      <c r="Q118" s="128"/>
      <c r="R118" s="35">
        <f>SUM(R111:R117)</f>
        <v>0</v>
      </c>
      <c r="S118" s="63"/>
      <c r="T118" s="6"/>
      <c r="U118" s="6"/>
      <c r="V118" s="6"/>
      <c r="W118" s="6"/>
      <c r="X118" s="6"/>
      <c r="Y118" s="6"/>
      <c r="Z118" s="6"/>
      <c r="AA118" s="6"/>
      <c r="AB118" s="6"/>
    </row>
    <row r="119" spans="1:28" ht="15.75" thickBot="1" x14ac:dyDescent="0.3">
      <c r="A119" s="121"/>
    </row>
    <row r="120" spans="1:28" ht="51.75" customHeight="1" thickBot="1" x14ac:dyDescent="0.3">
      <c r="A120" s="122"/>
      <c r="B120" s="129" t="s">
        <v>18</v>
      </c>
      <c r="C120" s="130"/>
      <c r="D120" s="130"/>
      <c r="E120" s="130"/>
      <c r="F120" s="130"/>
      <c r="G120" s="130"/>
      <c r="H120" s="130"/>
      <c r="I120" s="130"/>
      <c r="J120" s="130"/>
      <c r="K120" s="130"/>
      <c r="L120" s="131"/>
      <c r="M120" s="64"/>
      <c r="N120" s="40" t="s">
        <v>16</v>
      </c>
      <c r="O120" s="132">
        <f>O108-SUM(R111:R117)</f>
        <v>0</v>
      </c>
      <c r="P120" s="133"/>
      <c r="Q120" s="133"/>
      <c r="R120" s="133"/>
      <c r="S120" s="133"/>
      <c r="T120" s="133"/>
      <c r="U120" s="134"/>
      <c r="V120" s="72"/>
      <c r="W120" s="72"/>
      <c r="X120" s="72"/>
      <c r="Y120" s="72"/>
      <c r="Z120" s="72"/>
      <c r="AA120" s="72"/>
      <c r="AB120" s="72"/>
    </row>
    <row r="121" spans="1:28" ht="15.75" customHeight="1" x14ac:dyDescent="0.25">
      <c r="A121" s="30"/>
      <c r="P121" s="28"/>
      <c r="Q121" s="28"/>
      <c r="R121" s="28"/>
      <c r="S121" s="28"/>
      <c r="U121" s="43"/>
      <c r="V121" s="69"/>
      <c r="W121" s="69"/>
      <c r="X121" s="69"/>
      <c r="Y121" s="69"/>
      <c r="Z121" s="85"/>
      <c r="AA121" s="95"/>
      <c r="AB121" s="105"/>
    </row>
    <row r="122" spans="1:28" ht="15" customHeight="1" x14ac:dyDescent="0.25">
      <c r="A122" s="30"/>
      <c r="P122" s="28"/>
      <c r="Q122" s="28"/>
      <c r="R122" s="28"/>
      <c r="S122" s="28"/>
      <c r="U122" s="7"/>
      <c r="V122" s="7"/>
      <c r="W122" s="7"/>
      <c r="X122" s="7"/>
      <c r="Y122" s="7"/>
      <c r="Z122" s="7"/>
      <c r="AA122" s="7"/>
      <c r="AB122" s="7"/>
    </row>
    <row r="123" spans="1:28" ht="15" customHeight="1" x14ac:dyDescent="0.25">
      <c r="P123" s="28"/>
      <c r="Q123" s="28"/>
      <c r="R123" s="28"/>
      <c r="S123" s="28"/>
      <c r="U123" s="7"/>
      <c r="V123" s="7"/>
      <c r="W123" s="7"/>
      <c r="X123" s="7"/>
      <c r="Y123" s="7"/>
      <c r="Z123" s="7"/>
      <c r="AA123" s="7"/>
      <c r="AB123" s="7"/>
    </row>
    <row r="124" spans="1:28" ht="15" customHeight="1" x14ac:dyDescent="0.25">
      <c r="P124" s="28"/>
      <c r="Q124" s="28"/>
      <c r="R124" s="28"/>
      <c r="S124" s="28"/>
      <c r="U124" s="7"/>
      <c r="V124" s="7"/>
      <c r="W124" s="7"/>
      <c r="X124" s="7"/>
      <c r="Y124" s="7"/>
      <c r="Z124" s="7"/>
      <c r="AA124" s="7"/>
      <c r="AB124" s="7"/>
    </row>
    <row r="125" spans="1:28" ht="15" customHeight="1" x14ac:dyDescent="0.25">
      <c r="P125" s="28"/>
      <c r="Q125" s="28"/>
      <c r="R125" s="28"/>
      <c r="S125" s="28"/>
      <c r="U125" s="7"/>
      <c r="V125" s="7"/>
      <c r="W125" s="7"/>
      <c r="X125" s="7"/>
      <c r="Y125" s="7"/>
      <c r="Z125" s="7"/>
      <c r="AA125" s="7"/>
      <c r="AB125" s="7"/>
    </row>
    <row r="126" spans="1:28" ht="15" customHeight="1" x14ac:dyDescent="0.25">
      <c r="P126" s="28"/>
      <c r="Q126" s="28"/>
      <c r="R126" s="28"/>
      <c r="S126" s="28"/>
      <c r="U126" s="7"/>
      <c r="V126" s="7"/>
      <c r="W126" s="7"/>
      <c r="X126" s="7"/>
      <c r="Y126" s="7"/>
      <c r="Z126" s="7"/>
      <c r="AA126" s="7"/>
      <c r="AB126" s="7"/>
    </row>
    <row r="127" spans="1:28" ht="15" customHeight="1" x14ac:dyDescent="0.25">
      <c r="P127" s="28"/>
      <c r="Q127" s="28"/>
      <c r="R127" s="28"/>
      <c r="S127" s="28"/>
      <c r="U127" s="7"/>
      <c r="V127" s="7"/>
      <c r="W127" s="7"/>
      <c r="X127" s="7"/>
      <c r="Y127" s="7"/>
      <c r="Z127" s="7"/>
      <c r="AA127" s="7"/>
      <c r="AB127" s="7"/>
    </row>
    <row r="128" spans="1:28" ht="15" customHeight="1" x14ac:dyDescent="0.25">
      <c r="P128" s="28"/>
      <c r="Q128" s="28"/>
      <c r="R128" s="28"/>
      <c r="S128" s="28"/>
      <c r="U128" s="7"/>
      <c r="V128" s="7"/>
      <c r="W128" s="7"/>
      <c r="X128" s="7"/>
      <c r="Y128" s="7"/>
      <c r="Z128" s="7"/>
      <c r="AA128" s="7"/>
      <c r="AB128" s="7"/>
    </row>
    <row r="129" spans="16:28" ht="15.75" customHeight="1" x14ac:dyDescent="0.25">
      <c r="P129" s="28"/>
      <c r="Q129" s="28"/>
      <c r="R129" s="28"/>
      <c r="S129" s="28"/>
      <c r="U129" s="7"/>
      <c r="V129" s="7"/>
      <c r="W129" s="7"/>
      <c r="X129" s="7"/>
      <c r="Y129" s="7"/>
      <c r="Z129" s="7"/>
      <c r="AA129" s="7"/>
      <c r="AB129" s="7"/>
    </row>
  </sheetData>
  <mergeCells count="24">
    <mergeCell ref="A5:A91"/>
    <mergeCell ref="O2:AB2"/>
    <mergeCell ref="O108:AB108"/>
    <mergeCell ref="O106:AB106"/>
    <mergeCell ref="O104:AB104"/>
    <mergeCell ref="B103:M104"/>
    <mergeCell ref="B105:M106"/>
    <mergeCell ref="B110:N118"/>
    <mergeCell ref="O110:Q110"/>
    <mergeCell ref="O111:Q111"/>
    <mergeCell ref="O112:Q112"/>
    <mergeCell ref="O113:Q113"/>
    <mergeCell ref="O114:Q114"/>
    <mergeCell ref="B2:N2"/>
    <mergeCell ref="A94:A120"/>
    <mergeCell ref="O117:Q117"/>
    <mergeCell ref="O118:Q118"/>
    <mergeCell ref="B120:L120"/>
    <mergeCell ref="O120:U120"/>
    <mergeCell ref="B94:M97"/>
    <mergeCell ref="B99:M101"/>
    <mergeCell ref="O115:Q115"/>
    <mergeCell ref="O116:Q116"/>
    <mergeCell ref="B107:M108"/>
  </mergeCells>
  <conditionalFormatting sqref="AC5:AC91">
    <cfRule type="cellIs" dxfId="8" priority="1" operator="lessThan">
      <formula>20</formula>
    </cfRule>
    <cfRule type="cellIs" dxfId="7" priority="2" operator="between">
      <formula>20</formula>
      <formula>29</formula>
    </cfRule>
    <cfRule type="cellIs" dxfId="6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554ED-B254-4225-9B15-1507C052317D}">
  <sheetPr codeName="Hoja2">
    <pageSetUpPr autoPageBreaks="0"/>
  </sheetPr>
  <dimension ref="A1:AC72"/>
  <sheetViews>
    <sheetView zoomScale="85" zoomScaleNormal="85" zoomScalePageLayoutView="85" workbookViewId="0">
      <pane xSplit="3" ySplit="4" topLeftCell="F5" activePane="bottomRight" state="frozen"/>
      <selection pane="topRight" activeCell="D1" sqref="D1"/>
      <selection pane="bottomLeft" activeCell="A5" sqref="A5"/>
      <selection pane="bottomRight" activeCell="C12" sqref="C12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7" width="15.42578125" customWidth="1"/>
    <col min="29" max="29" width="71.42578125" style="39" customWidth="1"/>
  </cols>
  <sheetData>
    <row r="1" spans="1:29" ht="15.75" thickBot="1" x14ac:dyDescent="0.3"/>
    <row r="2" spans="1:29" ht="29.65" customHeight="1" thickBot="1" x14ac:dyDescent="0.3">
      <c r="B2" s="117" t="s">
        <v>38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9"/>
      <c r="O2" s="115" t="s">
        <v>11</v>
      </c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6"/>
    </row>
    <row r="3" spans="1:29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70</v>
      </c>
      <c r="T3" s="17" t="s">
        <v>33</v>
      </c>
      <c r="U3" s="17" t="s">
        <v>21</v>
      </c>
      <c r="V3" s="75" t="s">
        <v>77</v>
      </c>
      <c r="W3" s="75" t="s">
        <v>78</v>
      </c>
      <c r="X3" s="75" t="s">
        <v>79</v>
      </c>
      <c r="Y3" s="75" t="s">
        <v>80</v>
      </c>
      <c r="Z3" s="96" t="s">
        <v>112</v>
      </c>
      <c r="AA3" s="86" t="s">
        <v>171</v>
      </c>
      <c r="AC3" s="39"/>
    </row>
    <row r="4" spans="1:29" s="2" customFormat="1" x14ac:dyDescent="0.2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70</v>
      </c>
      <c r="T4" s="68" t="s">
        <v>33</v>
      </c>
      <c r="U4" s="68" t="s">
        <v>21</v>
      </c>
      <c r="V4" s="74" t="s">
        <v>77</v>
      </c>
      <c r="W4" s="74" t="s">
        <v>78</v>
      </c>
      <c r="X4" s="74" t="s">
        <v>79</v>
      </c>
      <c r="Y4" s="74" t="s">
        <v>80</v>
      </c>
      <c r="Z4" s="74" t="s">
        <v>112</v>
      </c>
      <c r="AA4" s="74" t="s">
        <v>171</v>
      </c>
      <c r="AB4" s="22" t="s">
        <v>16</v>
      </c>
      <c r="AC4" s="44" t="s">
        <v>36</v>
      </c>
    </row>
    <row r="5" spans="1:29" hidden="1" outlineLevel="1" x14ac:dyDescent="0.25">
      <c r="A5" s="107"/>
      <c r="B5" s="50" t="s">
        <v>159</v>
      </c>
      <c r="C5" s="48" t="s">
        <v>162</v>
      </c>
      <c r="D5" s="59" t="s">
        <v>163</v>
      </c>
      <c r="E5" s="59" t="s">
        <v>135</v>
      </c>
      <c r="F5" s="59" t="s">
        <v>151</v>
      </c>
      <c r="G5" s="59" t="s">
        <v>45</v>
      </c>
      <c r="H5" s="59" t="s">
        <v>41</v>
      </c>
      <c r="I5" s="60">
        <v>56979312762</v>
      </c>
      <c r="J5" s="27" t="s">
        <v>164</v>
      </c>
      <c r="K5" s="27" t="s">
        <v>48</v>
      </c>
      <c r="L5" s="52"/>
      <c r="M5" s="52"/>
      <c r="N5" s="70">
        <f>SUMPRODUCT(Tabla5232[[#This Row],[Naranjas]:[Arandanos]],O$44:AA$44)</f>
        <v>412000</v>
      </c>
      <c r="O5" s="52">
        <v>0</v>
      </c>
      <c r="P5" s="52">
        <v>0</v>
      </c>
      <c r="Q5" s="52">
        <v>2</v>
      </c>
      <c r="R5" s="52">
        <v>0</v>
      </c>
      <c r="S5" s="52">
        <v>1</v>
      </c>
      <c r="T5" s="52">
        <v>0</v>
      </c>
      <c r="U5" s="52">
        <v>0</v>
      </c>
      <c r="V5" s="52">
        <v>0</v>
      </c>
      <c r="W5" s="52">
        <v>1</v>
      </c>
      <c r="X5" s="52">
        <v>0</v>
      </c>
      <c r="Y5" s="52">
        <v>0</v>
      </c>
      <c r="Z5" s="52">
        <v>52</v>
      </c>
      <c r="AA5" s="52">
        <v>0</v>
      </c>
      <c r="AB5" s="52">
        <f>SUM(Tabla5232[[#This Row],[Naranjas]:[Arandanos]])</f>
        <v>56</v>
      </c>
      <c r="AC5" s="58"/>
    </row>
    <row r="6" spans="1:29" hidden="1" outlineLevel="1" x14ac:dyDescent="0.25">
      <c r="A6" s="107"/>
      <c r="B6" s="56" t="s">
        <v>62</v>
      </c>
      <c r="C6" s="47" t="s">
        <v>63</v>
      </c>
      <c r="D6" s="47" t="s">
        <v>64</v>
      </c>
      <c r="E6" s="47" t="s">
        <v>40</v>
      </c>
      <c r="F6" s="47" t="s">
        <v>49</v>
      </c>
      <c r="G6" s="47" t="s">
        <v>51</v>
      </c>
      <c r="H6" s="47" t="s">
        <v>41</v>
      </c>
      <c r="I6" s="53">
        <v>56952304675</v>
      </c>
      <c r="J6" s="27" t="s">
        <v>65</v>
      </c>
      <c r="K6" s="27" t="s">
        <v>48</v>
      </c>
      <c r="L6" s="52"/>
      <c r="M6" s="52"/>
      <c r="N6" s="47">
        <f>SUMPRODUCT(Tabla5232[[#This Row],[Naranjas]:[Arandanos]],O$44:AA$44)</f>
        <v>350500</v>
      </c>
      <c r="O6" s="106">
        <v>0</v>
      </c>
      <c r="P6" s="106">
        <v>0</v>
      </c>
      <c r="Q6" s="52">
        <v>1</v>
      </c>
      <c r="R6" s="52">
        <v>3</v>
      </c>
      <c r="S6" s="52">
        <v>2</v>
      </c>
      <c r="T6" s="52">
        <v>1</v>
      </c>
      <c r="U6" s="52">
        <v>1</v>
      </c>
      <c r="V6" s="106">
        <v>0</v>
      </c>
      <c r="W6" s="106">
        <v>0</v>
      </c>
      <c r="X6" s="106">
        <v>0</v>
      </c>
      <c r="Y6" s="106">
        <v>0</v>
      </c>
      <c r="Z6" s="52">
        <v>40</v>
      </c>
      <c r="AA6" s="52">
        <v>1</v>
      </c>
      <c r="AB6" s="52">
        <f>SUM(Tabla5232[[#This Row],[Naranjas]:[Arandanos]])</f>
        <v>49</v>
      </c>
      <c r="AC6" s="58"/>
    </row>
    <row r="7" spans="1:29" hidden="1" outlineLevel="1" x14ac:dyDescent="0.25">
      <c r="A7" s="107"/>
      <c r="B7" s="50" t="s">
        <v>150</v>
      </c>
      <c r="C7" s="48" t="s">
        <v>165</v>
      </c>
      <c r="D7" s="59" t="s">
        <v>166</v>
      </c>
      <c r="E7" s="59" t="s">
        <v>43</v>
      </c>
      <c r="F7" s="59" t="s">
        <v>47</v>
      </c>
      <c r="G7" s="59" t="s">
        <v>167</v>
      </c>
      <c r="H7" s="59" t="s">
        <v>41</v>
      </c>
      <c r="I7" s="60">
        <v>56999194650</v>
      </c>
      <c r="J7" s="27" t="s">
        <v>168</v>
      </c>
      <c r="K7" s="27" t="s">
        <v>42</v>
      </c>
      <c r="L7" s="52"/>
      <c r="M7" s="52"/>
      <c r="N7" s="70">
        <f>SUMPRODUCT(Tabla5232[[#This Row],[Naranjas]:[Arandanos]],O$44:AA$44)</f>
        <v>224000</v>
      </c>
      <c r="O7" s="52">
        <v>0</v>
      </c>
      <c r="P7" s="52">
        <v>0</v>
      </c>
      <c r="Q7" s="52">
        <v>8</v>
      </c>
      <c r="R7" s="52">
        <v>4</v>
      </c>
      <c r="S7" s="52">
        <v>7</v>
      </c>
      <c r="T7" s="52">
        <v>1</v>
      </c>
      <c r="U7" s="52">
        <v>0</v>
      </c>
      <c r="V7" s="52">
        <v>3</v>
      </c>
      <c r="W7" s="52">
        <v>2</v>
      </c>
      <c r="X7" s="52">
        <v>2</v>
      </c>
      <c r="Y7" s="52">
        <v>1</v>
      </c>
      <c r="Z7" s="52">
        <v>8</v>
      </c>
      <c r="AA7" s="52">
        <v>2</v>
      </c>
      <c r="AB7" s="52">
        <f>SUM(Tabla5232[[#This Row],[Naranjas]:[Arandanos]])</f>
        <v>38</v>
      </c>
      <c r="AC7" s="58"/>
    </row>
    <row r="8" spans="1:29" hidden="1" outlineLevel="1" x14ac:dyDescent="0.25">
      <c r="A8" s="107"/>
      <c r="B8" s="56" t="s">
        <v>122</v>
      </c>
      <c r="C8" s="47" t="s">
        <v>123</v>
      </c>
      <c r="D8" s="47" t="s">
        <v>124</v>
      </c>
      <c r="E8" s="47" t="s">
        <v>40</v>
      </c>
      <c r="F8" s="47" t="s">
        <v>49</v>
      </c>
      <c r="G8" s="47" t="s">
        <v>125</v>
      </c>
      <c r="H8" s="47" t="s">
        <v>41</v>
      </c>
      <c r="I8" s="53">
        <v>56968320616</v>
      </c>
      <c r="J8" s="27" t="s">
        <v>126</v>
      </c>
      <c r="K8" s="27" t="s">
        <v>54</v>
      </c>
      <c r="L8" s="52"/>
      <c r="M8" s="52"/>
      <c r="N8" s="47">
        <f>SUMPRODUCT(Tabla5232[[#This Row],[Naranjas]:[Arandanos]],O$44:AA$44)</f>
        <v>157500</v>
      </c>
      <c r="O8" s="52">
        <v>0</v>
      </c>
      <c r="P8" s="52">
        <v>0</v>
      </c>
      <c r="Q8" s="52">
        <v>0</v>
      </c>
      <c r="R8" s="52">
        <v>0</v>
      </c>
      <c r="S8" s="52">
        <v>35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0</v>
      </c>
      <c r="AA8" s="52">
        <v>0</v>
      </c>
      <c r="AB8" s="52">
        <f>SUM(Tabla5232[[#This Row],[Naranjas]:[Arandanos]])</f>
        <v>35</v>
      </c>
      <c r="AC8" s="58"/>
    </row>
    <row r="9" spans="1:29" hidden="1" outlineLevel="1" x14ac:dyDescent="0.25">
      <c r="A9" s="107"/>
      <c r="B9" s="56" t="s">
        <v>55</v>
      </c>
      <c r="C9" s="47" t="s">
        <v>56</v>
      </c>
      <c r="D9" s="47" t="s">
        <v>57</v>
      </c>
      <c r="E9" s="47" t="s">
        <v>40</v>
      </c>
      <c r="F9" s="47" t="s">
        <v>49</v>
      </c>
      <c r="G9" s="47" t="s">
        <v>45</v>
      </c>
      <c r="H9" s="47" t="s">
        <v>41</v>
      </c>
      <c r="I9" s="53">
        <v>56967898535</v>
      </c>
      <c r="J9" s="27" t="s">
        <v>58</v>
      </c>
      <c r="K9" s="27" t="s">
        <v>54</v>
      </c>
      <c r="L9" s="52"/>
      <c r="M9" s="52"/>
      <c r="N9" s="47">
        <f>SUMPRODUCT(Tabla5232[[#This Row],[Naranjas]:[Arandanos]],O$44:AA$44)</f>
        <v>162000</v>
      </c>
      <c r="O9" s="52">
        <v>0</v>
      </c>
      <c r="P9" s="52">
        <v>0</v>
      </c>
      <c r="Q9" s="52">
        <v>8</v>
      </c>
      <c r="R9" s="52">
        <v>0</v>
      </c>
      <c r="S9" s="52">
        <v>4</v>
      </c>
      <c r="T9" s="52">
        <v>2</v>
      </c>
      <c r="U9" s="52">
        <v>0</v>
      </c>
      <c r="V9" s="52">
        <v>0</v>
      </c>
      <c r="W9" s="52">
        <v>0</v>
      </c>
      <c r="X9" s="52">
        <v>1</v>
      </c>
      <c r="Y9" s="52">
        <v>1</v>
      </c>
      <c r="Z9" s="52">
        <v>10</v>
      </c>
      <c r="AA9" s="52">
        <v>2</v>
      </c>
      <c r="AB9" s="52">
        <f>SUM(Tabla5232[[#This Row],[Naranjas]:[Arandanos]])</f>
        <v>28</v>
      </c>
      <c r="AC9" s="58"/>
    </row>
    <row r="10" spans="1:29" outlineLevel="1" x14ac:dyDescent="0.25">
      <c r="A10" s="107"/>
      <c r="B10" s="50" t="s">
        <v>169</v>
      </c>
      <c r="C10" s="48" t="s">
        <v>170</v>
      </c>
      <c r="D10" s="59" t="s">
        <v>174</v>
      </c>
      <c r="E10" s="59" t="s">
        <v>46</v>
      </c>
      <c r="F10" s="59" t="s">
        <v>87</v>
      </c>
      <c r="G10" s="59" t="s">
        <v>45</v>
      </c>
      <c r="H10" s="59" t="s">
        <v>41</v>
      </c>
      <c r="I10" s="60">
        <v>56966685970</v>
      </c>
      <c r="J10" s="27" t="s">
        <v>175</v>
      </c>
      <c r="K10" s="27" t="s">
        <v>42</v>
      </c>
      <c r="L10" s="52"/>
      <c r="M10" s="52"/>
      <c r="N10" s="70">
        <f>SUMPRODUCT(Tabla5232[[#This Row],[Naranjas]:[Arandanos]],O$44:AA$44)</f>
        <v>171500</v>
      </c>
      <c r="O10" s="52">
        <v>0</v>
      </c>
      <c r="P10" s="52">
        <v>0</v>
      </c>
      <c r="Q10" s="52">
        <v>1</v>
      </c>
      <c r="R10" s="52">
        <v>1</v>
      </c>
      <c r="S10" s="52">
        <v>3</v>
      </c>
      <c r="T10" s="52">
        <v>1</v>
      </c>
      <c r="U10" s="52">
        <v>0</v>
      </c>
      <c r="V10" s="52">
        <v>1</v>
      </c>
      <c r="W10" s="52">
        <v>2</v>
      </c>
      <c r="X10" s="52">
        <v>1</v>
      </c>
      <c r="Y10" s="52">
        <v>0</v>
      </c>
      <c r="Z10" s="52">
        <v>12</v>
      </c>
      <c r="AA10" s="52">
        <v>5</v>
      </c>
      <c r="AB10" s="52">
        <f>SUM(Tabla5232[[#This Row],[Naranjas]:[Arandanos]])</f>
        <v>27</v>
      </c>
      <c r="AC10" s="58"/>
    </row>
    <row r="11" spans="1:29" hidden="1" outlineLevel="1" x14ac:dyDescent="0.25">
      <c r="A11" s="107"/>
      <c r="B11" s="56" t="s">
        <v>66</v>
      </c>
      <c r="C11" s="47" t="s">
        <v>67</v>
      </c>
      <c r="D11" s="47" t="s">
        <v>68</v>
      </c>
      <c r="E11" s="47" t="s">
        <v>46</v>
      </c>
      <c r="F11" s="47" t="s">
        <v>44</v>
      </c>
      <c r="G11" s="47" t="s">
        <v>53</v>
      </c>
      <c r="H11" s="47" t="s">
        <v>41</v>
      </c>
      <c r="I11" s="53">
        <v>56967289638</v>
      </c>
      <c r="J11" s="27" t="s">
        <v>69</v>
      </c>
      <c r="K11" s="27" t="s">
        <v>54</v>
      </c>
      <c r="L11" s="52"/>
      <c r="M11" s="52"/>
      <c r="N11" s="47">
        <f>SUMPRODUCT(Tabla5232[[#This Row],[Naranjas]:[Arandanos]],O$44:AA$44)</f>
        <v>158500</v>
      </c>
      <c r="O11" s="52">
        <v>0</v>
      </c>
      <c r="P11" s="52">
        <v>0</v>
      </c>
      <c r="Q11" s="52">
        <v>3</v>
      </c>
      <c r="R11" s="52">
        <v>1</v>
      </c>
      <c r="S11" s="52">
        <v>0</v>
      </c>
      <c r="T11" s="52">
        <v>1</v>
      </c>
      <c r="U11" s="52">
        <v>3</v>
      </c>
      <c r="V11" s="52">
        <v>4</v>
      </c>
      <c r="W11" s="52">
        <v>4</v>
      </c>
      <c r="X11" s="52">
        <v>3</v>
      </c>
      <c r="Y11" s="52">
        <v>2</v>
      </c>
      <c r="Z11" s="52">
        <v>3</v>
      </c>
      <c r="AA11" s="52">
        <v>1</v>
      </c>
      <c r="AB11" s="52">
        <f>SUM(Tabla5232[[#This Row],[Naranjas]:[Arandanos]])</f>
        <v>25</v>
      </c>
      <c r="AC11" s="58"/>
    </row>
    <row r="12" spans="1:29" outlineLevel="1" x14ac:dyDescent="0.25">
      <c r="A12" s="107"/>
      <c r="B12" s="50" t="s">
        <v>186</v>
      </c>
      <c r="C12" s="48" t="s">
        <v>128</v>
      </c>
      <c r="D12" s="59" t="s">
        <v>187</v>
      </c>
      <c r="E12" s="59" t="s">
        <v>46</v>
      </c>
      <c r="F12" s="59" t="s">
        <v>87</v>
      </c>
      <c r="G12" s="59"/>
      <c r="H12" s="59" t="s">
        <v>41</v>
      </c>
      <c r="I12" s="60">
        <v>0</v>
      </c>
      <c r="J12" s="27" t="s">
        <v>138</v>
      </c>
      <c r="K12" s="27"/>
      <c r="L12" s="52"/>
      <c r="M12" s="52"/>
      <c r="N12" s="70">
        <f>SUMPRODUCT(Tabla5232[[#This Row],[Naranjas]:[Arandanos]],O$44:AA$44)</f>
        <v>139000</v>
      </c>
      <c r="O12" s="52">
        <v>0</v>
      </c>
      <c r="P12" s="52">
        <v>0</v>
      </c>
      <c r="Q12" s="52">
        <v>6</v>
      </c>
      <c r="R12" s="52">
        <v>1</v>
      </c>
      <c r="S12" s="52">
        <v>5</v>
      </c>
      <c r="T12" s="52">
        <v>2</v>
      </c>
      <c r="U12" s="52">
        <v>0</v>
      </c>
      <c r="V12" s="52">
        <v>1</v>
      </c>
      <c r="W12" s="52">
        <v>1</v>
      </c>
      <c r="X12" s="52">
        <v>2</v>
      </c>
      <c r="Y12" s="52">
        <v>1</v>
      </c>
      <c r="Z12" s="52">
        <v>5</v>
      </c>
      <c r="AA12" s="52">
        <v>0</v>
      </c>
      <c r="AB12" s="52">
        <f>SUM(Tabla5232[[#This Row],[Naranjas]:[Arandanos]])</f>
        <v>24</v>
      </c>
      <c r="AC12" s="58"/>
    </row>
    <row r="13" spans="1:29" hidden="1" outlineLevel="1" x14ac:dyDescent="0.25">
      <c r="A13" s="107"/>
      <c r="B13" s="50" t="s">
        <v>107</v>
      </c>
      <c r="C13" s="48" t="s">
        <v>108</v>
      </c>
      <c r="D13" s="59" t="s">
        <v>109</v>
      </c>
      <c r="E13" s="59" t="s">
        <v>43</v>
      </c>
      <c r="F13" s="59" t="s">
        <v>47</v>
      </c>
      <c r="G13" s="59" t="s">
        <v>110</v>
      </c>
      <c r="H13" s="59" t="s">
        <v>41</v>
      </c>
      <c r="I13" s="60">
        <v>56975580528</v>
      </c>
      <c r="J13" s="27" t="s">
        <v>111</v>
      </c>
      <c r="K13" s="27" t="s">
        <v>42</v>
      </c>
      <c r="L13" s="52"/>
      <c r="M13" s="52"/>
      <c r="N13" s="70">
        <f>SUMPRODUCT(Tabla5232[[#This Row],[Naranjas]:[Arandanos]],O$44:AA$44)</f>
        <v>126000</v>
      </c>
      <c r="O13" s="52">
        <v>0</v>
      </c>
      <c r="P13" s="52">
        <v>0</v>
      </c>
      <c r="Q13" s="52">
        <v>2</v>
      </c>
      <c r="R13" s="52">
        <v>0</v>
      </c>
      <c r="S13" s="52">
        <v>5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v>12</v>
      </c>
      <c r="AA13" s="52">
        <v>1</v>
      </c>
      <c r="AB13" s="52">
        <f>SUM(Tabla5232[[#This Row],[Naranjas]:[Arandanos]])</f>
        <v>20</v>
      </c>
      <c r="AC13" s="58"/>
    </row>
    <row r="14" spans="1:29" hidden="1" outlineLevel="1" x14ac:dyDescent="0.25">
      <c r="A14" s="107"/>
      <c r="B14" s="56" t="s">
        <v>59</v>
      </c>
      <c r="C14" s="47" t="s">
        <v>72</v>
      </c>
      <c r="D14" s="47" t="s">
        <v>73</v>
      </c>
      <c r="E14" s="47" t="s">
        <v>40</v>
      </c>
      <c r="F14" s="47" t="s">
        <v>49</v>
      </c>
      <c r="G14" s="47" t="s">
        <v>53</v>
      </c>
      <c r="H14" s="47" t="s">
        <v>41</v>
      </c>
      <c r="I14" s="53">
        <v>56975684552</v>
      </c>
      <c r="J14" s="27" t="s">
        <v>74</v>
      </c>
      <c r="K14" s="27" t="s">
        <v>48</v>
      </c>
      <c r="L14" s="52"/>
      <c r="M14" s="52"/>
      <c r="N14" s="47">
        <f>SUMPRODUCT(Tabla5232[[#This Row],[Naranjas]:[Arandanos]],O$44:AA$44)</f>
        <v>102000</v>
      </c>
      <c r="O14" s="52">
        <v>0</v>
      </c>
      <c r="P14" s="52">
        <v>0</v>
      </c>
      <c r="Q14" s="52">
        <v>6</v>
      </c>
      <c r="R14" s="52">
        <v>0</v>
      </c>
      <c r="S14" s="52">
        <v>10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v>4</v>
      </c>
      <c r="AA14" s="52">
        <v>0</v>
      </c>
      <c r="AB14" s="52">
        <f>SUM(Tabla5232[[#This Row],[Naranjas]:[Arandanos]])</f>
        <v>20</v>
      </c>
      <c r="AC14" s="58"/>
    </row>
    <row r="15" spans="1:29" outlineLevel="1" x14ac:dyDescent="0.25">
      <c r="A15" s="107"/>
      <c r="B15" s="56" t="s">
        <v>176</v>
      </c>
      <c r="C15" s="47" t="s">
        <v>177</v>
      </c>
      <c r="D15" s="47" t="s">
        <v>178</v>
      </c>
      <c r="E15" s="47" t="s">
        <v>46</v>
      </c>
      <c r="F15" s="47" t="s">
        <v>87</v>
      </c>
      <c r="G15" s="47" t="s">
        <v>45</v>
      </c>
      <c r="H15" s="47" t="s">
        <v>41</v>
      </c>
      <c r="I15" s="53">
        <v>56963061299</v>
      </c>
      <c r="J15" s="27" t="s">
        <v>179</v>
      </c>
      <c r="K15" s="27" t="s">
        <v>42</v>
      </c>
      <c r="L15" s="52"/>
      <c r="M15" s="52"/>
      <c r="N15" s="47">
        <f>SUMPRODUCT(Tabla5232[[#This Row],[Naranjas]:[Arandanos]],O$44:AA$44)</f>
        <v>112500</v>
      </c>
      <c r="O15" s="52">
        <v>0</v>
      </c>
      <c r="P15" s="52">
        <v>0</v>
      </c>
      <c r="Q15" s="52">
        <v>3</v>
      </c>
      <c r="R15" s="52">
        <v>3</v>
      </c>
      <c r="S15" s="52">
        <v>4</v>
      </c>
      <c r="T15" s="52">
        <v>1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6</v>
      </c>
      <c r="AA15" s="52">
        <v>2</v>
      </c>
      <c r="AB15" s="52">
        <f>SUM(Tabla5232[[#This Row],[Naranjas]:[Arandanos]])</f>
        <v>19</v>
      </c>
      <c r="AC15" s="58"/>
    </row>
    <row r="16" spans="1:29" hidden="1" outlineLevel="1" x14ac:dyDescent="0.25">
      <c r="A16" s="107"/>
      <c r="B16" s="50" t="s">
        <v>94</v>
      </c>
      <c r="C16" s="48" t="s">
        <v>50</v>
      </c>
      <c r="D16" s="59" t="s">
        <v>95</v>
      </c>
      <c r="E16" s="59" t="s">
        <v>40</v>
      </c>
      <c r="F16" s="59" t="s">
        <v>49</v>
      </c>
      <c r="G16" s="59" t="s">
        <v>51</v>
      </c>
      <c r="H16" s="59" t="s">
        <v>41</v>
      </c>
      <c r="I16" s="60">
        <v>56966640363</v>
      </c>
      <c r="J16" s="27" t="s">
        <v>96</v>
      </c>
      <c r="K16" s="27" t="s">
        <v>48</v>
      </c>
      <c r="L16" s="52"/>
      <c r="M16" s="52"/>
      <c r="N16" s="70">
        <f>SUMPRODUCT(Tabla5232[[#This Row],[Naranjas]:[Arandanos]],O$44:AA$44)</f>
        <v>114500</v>
      </c>
      <c r="O16" s="52">
        <v>0</v>
      </c>
      <c r="P16" s="52">
        <v>0</v>
      </c>
      <c r="Q16" s="52">
        <v>1</v>
      </c>
      <c r="R16" s="52">
        <v>1</v>
      </c>
      <c r="S16" s="52">
        <v>2</v>
      </c>
      <c r="T16" s="52">
        <v>0</v>
      </c>
      <c r="U16" s="52">
        <v>2</v>
      </c>
      <c r="V16" s="52">
        <v>0</v>
      </c>
      <c r="W16" s="52">
        <v>0</v>
      </c>
      <c r="X16" s="52">
        <v>0</v>
      </c>
      <c r="Y16" s="52">
        <v>0</v>
      </c>
      <c r="Z16" s="52">
        <v>11</v>
      </c>
      <c r="AA16" s="52">
        <v>0</v>
      </c>
      <c r="AB16" s="52">
        <f>SUM(Tabla5232[[#This Row],[Naranjas]:[Arandanos]])</f>
        <v>17</v>
      </c>
      <c r="AC16" s="58"/>
    </row>
    <row r="17" spans="1:29" hidden="1" outlineLevel="1" x14ac:dyDescent="0.25">
      <c r="A17" s="107"/>
      <c r="B17" s="50" t="s">
        <v>103</v>
      </c>
      <c r="C17" s="48" t="s">
        <v>104</v>
      </c>
      <c r="D17" s="59" t="s">
        <v>106</v>
      </c>
      <c r="E17" s="59" t="s">
        <v>46</v>
      </c>
      <c r="F17" s="59" t="s">
        <v>87</v>
      </c>
      <c r="G17" s="59" t="s">
        <v>45</v>
      </c>
      <c r="H17" s="59" t="s">
        <v>41</v>
      </c>
      <c r="I17" s="60">
        <v>56997792386</v>
      </c>
      <c r="J17" s="27" t="s">
        <v>105</v>
      </c>
      <c r="K17" s="27" t="s">
        <v>48</v>
      </c>
      <c r="L17" s="52"/>
      <c r="M17" s="52"/>
      <c r="N17" s="70">
        <f>SUMPRODUCT(Tabla5232[[#This Row],[Naranjas]:[Arandanos]],O$44:AA$44)</f>
        <v>92500</v>
      </c>
      <c r="O17" s="52">
        <v>0</v>
      </c>
      <c r="P17" s="52">
        <v>0</v>
      </c>
      <c r="Q17" s="52">
        <v>2</v>
      </c>
      <c r="R17" s="52">
        <v>0</v>
      </c>
      <c r="S17" s="52">
        <v>4</v>
      </c>
      <c r="T17" s="52">
        <v>1</v>
      </c>
      <c r="U17" s="52">
        <v>0</v>
      </c>
      <c r="V17" s="52">
        <v>0</v>
      </c>
      <c r="W17" s="52">
        <v>1</v>
      </c>
      <c r="X17" s="52">
        <v>1</v>
      </c>
      <c r="Y17" s="52">
        <v>1</v>
      </c>
      <c r="Z17" s="52">
        <v>5</v>
      </c>
      <c r="AA17" s="52">
        <v>0</v>
      </c>
      <c r="AB17" s="52">
        <f>SUM(Tabla5232[[#This Row],[Naranjas]:[Arandanos]])</f>
        <v>15</v>
      </c>
      <c r="AC17" s="58"/>
    </row>
    <row r="18" spans="1:29" hidden="1" outlineLevel="1" x14ac:dyDescent="0.25">
      <c r="A18" s="107"/>
      <c r="B18" s="56" t="s">
        <v>59</v>
      </c>
      <c r="C18" s="47" t="s">
        <v>52</v>
      </c>
      <c r="D18" s="47" t="s">
        <v>60</v>
      </c>
      <c r="E18" s="47" t="s">
        <v>40</v>
      </c>
      <c r="F18" s="47" t="s">
        <v>49</v>
      </c>
      <c r="G18" s="47" t="s">
        <v>45</v>
      </c>
      <c r="H18" s="47" t="s">
        <v>41</v>
      </c>
      <c r="I18" s="53">
        <v>56986194003</v>
      </c>
      <c r="J18" s="27" t="s">
        <v>61</v>
      </c>
      <c r="K18" s="27" t="s">
        <v>48</v>
      </c>
      <c r="L18" s="52"/>
      <c r="M18" s="52"/>
      <c r="N18" s="47">
        <f>SUMPRODUCT(Tabla5232[[#This Row],[Naranjas]:[Arandanos]],O$44:AA$44)</f>
        <v>54000</v>
      </c>
      <c r="O18" s="52">
        <v>0</v>
      </c>
      <c r="P18" s="52">
        <v>0</v>
      </c>
      <c r="Q18" s="52">
        <v>12</v>
      </c>
      <c r="R18" s="52">
        <v>0</v>
      </c>
      <c r="S18" s="52">
        <v>0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v>0</v>
      </c>
      <c r="AA18" s="52">
        <v>0</v>
      </c>
      <c r="AB18" s="52">
        <f>SUM(Tabla5232[[#This Row],[Naranjas]:[Arandanos]])</f>
        <v>12</v>
      </c>
      <c r="AC18" s="58"/>
    </row>
    <row r="19" spans="1:29" hidden="1" outlineLevel="1" x14ac:dyDescent="0.25">
      <c r="A19" s="107"/>
      <c r="B19" s="56" t="s">
        <v>81</v>
      </c>
      <c r="C19" s="47" t="s">
        <v>97</v>
      </c>
      <c r="D19" s="47" t="s">
        <v>82</v>
      </c>
      <c r="E19" s="47" t="s">
        <v>40</v>
      </c>
      <c r="F19" s="47" t="s">
        <v>49</v>
      </c>
      <c r="G19" s="47" t="s">
        <v>45</v>
      </c>
      <c r="H19" s="47" t="s">
        <v>41</v>
      </c>
      <c r="I19" s="53">
        <v>56963033603</v>
      </c>
      <c r="J19" s="27" t="s">
        <v>102</v>
      </c>
      <c r="K19" s="27" t="s">
        <v>42</v>
      </c>
      <c r="L19" s="52"/>
      <c r="M19" s="52"/>
      <c r="N19" s="47">
        <f>SUMPRODUCT(Tabla5232[[#This Row],[Naranjas]:[Arandanos]],O$44:AA$44)</f>
        <v>61500</v>
      </c>
      <c r="O19" s="52">
        <v>0</v>
      </c>
      <c r="P19" s="52">
        <v>0</v>
      </c>
      <c r="Q19" s="52">
        <v>3</v>
      </c>
      <c r="R19" s="52">
        <v>2</v>
      </c>
      <c r="S19" s="52">
        <v>2</v>
      </c>
      <c r="T19" s="52">
        <v>2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v>2</v>
      </c>
      <c r="AA19" s="52">
        <v>0</v>
      </c>
      <c r="AB19" s="52">
        <f>SUM(Tabla5232[[#This Row],[Naranjas]:[Arandanos]])</f>
        <v>11</v>
      </c>
      <c r="AC19" s="58"/>
    </row>
    <row r="20" spans="1:29" hidden="1" outlineLevel="1" x14ac:dyDescent="0.25">
      <c r="A20" s="107"/>
      <c r="B20" s="56" t="s">
        <v>146</v>
      </c>
      <c r="C20" s="47" t="s">
        <v>147</v>
      </c>
      <c r="D20" s="47" t="s">
        <v>148</v>
      </c>
      <c r="E20" s="47" t="s">
        <v>46</v>
      </c>
      <c r="F20" s="47" t="s">
        <v>144</v>
      </c>
      <c r="G20" s="47" t="s">
        <v>110</v>
      </c>
      <c r="H20" s="47" t="s">
        <v>41</v>
      </c>
      <c r="I20" s="53">
        <v>56997267212</v>
      </c>
      <c r="J20" s="27" t="s">
        <v>149</v>
      </c>
      <c r="K20" s="27" t="s">
        <v>48</v>
      </c>
      <c r="L20" s="52"/>
      <c r="M20" s="52"/>
      <c r="N20" s="47">
        <f>SUMPRODUCT(Tabla5232[[#This Row],[Naranjas]:[Arandanos]],O$44:AA$44)</f>
        <v>54000</v>
      </c>
      <c r="O20" s="52">
        <v>0</v>
      </c>
      <c r="P20" s="52">
        <v>0</v>
      </c>
      <c r="Q20" s="52">
        <v>3</v>
      </c>
      <c r="R20" s="52">
        <v>1</v>
      </c>
      <c r="S20" s="52">
        <v>2</v>
      </c>
      <c r="T20" s="52">
        <v>1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2</v>
      </c>
      <c r="AA20" s="52">
        <v>1</v>
      </c>
      <c r="AB20" s="52">
        <f>SUM(Tabla5232[[#This Row],[Naranjas]:[Arandanos]])</f>
        <v>10</v>
      </c>
      <c r="AC20" s="58"/>
    </row>
    <row r="21" spans="1:29" hidden="1" outlineLevel="1" x14ac:dyDescent="0.25">
      <c r="A21" s="107"/>
      <c r="B21" s="56" t="s">
        <v>155</v>
      </c>
      <c r="C21" s="47" t="s">
        <v>156</v>
      </c>
      <c r="D21" s="47" t="s">
        <v>157</v>
      </c>
      <c r="E21" s="47" t="s">
        <v>40</v>
      </c>
      <c r="F21" s="47" t="s">
        <v>49</v>
      </c>
      <c r="G21" s="47" t="s">
        <v>53</v>
      </c>
      <c r="H21" s="47" t="s">
        <v>41</v>
      </c>
      <c r="I21" s="53">
        <v>56987143347</v>
      </c>
      <c r="J21" s="27" t="s">
        <v>158</v>
      </c>
      <c r="K21" s="27" t="s">
        <v>48</v>
      </c>
      <c r="L21" s="52"/>
      <c r="M21" s="52"/>
      <c r="N21" s="47">
        <f>SUMPRODUCT(Tabla5232[[#This Row],[Naranjas]:[Arandanos]],O$44:AA$44)</f>
        <v>45000</v>
      </c>
      <c r="O21" s="52">
        <v>0</v>
      </c>
      <c r="P21" s="52">
        <v>0</v>
      </c>
      <c r="Q21" s="52">
        <v>5</v>
      </c>
      <c r="R21" s="52">
        <v>0</v>
      </c>
      <c r="S21" s="52">
        <v>5</v>
      </c>
      <c r="T21" s="52">
        <v>0</v>
      </c>
      <c r="U21" s="52">
        <v>0</v>
      </c>
      <c r="V21" s="52">
        <v>0</v>
      </c>
      <c r="W21" s="52">
        <v>0</v>
      </c>
      <c r="X21" s="52">
        <v>0</v>
      </c>
      <c r="Y21" s="52">
        <v>0</v>
      </c>
      <c r="Z21" s="52">
        <v>0</v>
      </c>
      <c r="AA21" s="52">
        <v>0</v>
      </c>
      <c r="AB21" s="52">
        <f>SUM(Tabla5232[[#This Row],[Naranjas]:[Arandanos]])</f>
        <v>10</v>
      </c>
      <c r="AC21" s="58"/>
    </row>
    <row r="22" spans="1:29" hidden="1" outlineLevel="1" x14ac:dyDescent="0.25">
      <c r="A22" s="107"/>
      <c r="B22" s="56" t="s">
        <v>90</v>
      </c>
      <c r="C22" s="47" t="s">
        <v>52</v>
      </c>
      <c r="D22" s="47" t="s">
        <v>91</v>
      </c>
      <c r="E22" s="47" t="s">
        <v>43</v>
      </c>
      <c r="F22" s="47" t="s">
        <v>47</v>
      </c>
      <c r="G22" s="47" t="s">
        <v>88</v>
      </c>
      <c r="H22" s="47" t="s">
        <v>41</v>
      </c>
      <c r="I22" s="53">
        <v>56982978895</v>
      </c>
      <c r="J22" s="27" t="s">
        <v>92</v>
      </c>
      <c r="K22" s="27" t="s">
        <v>48</v>
      </c>
      <c r="L22" s="52"/>
      <c r="M22" s="52"/>
      <c r="N22" s="47">
        <f>SUMPRODUCT(Tabla5232[[#This Row],[Naranjas]:[Arandanos]],O$44:AA$44)</f>
        <v>36000</v>
      </c>
      <c r="O22" s="52">
        <v>0</v>
      </c>
      <c r="P22" s="52">
        <v>0</v>
      </c>
      <c r="Q22" s="52">
        <v>4</v>
      </c>
      <c r="R22" s="52">
        <v>0</v>
      </c>
      <c r="S22" s="52">
        <v>1</v>
      </c>
      <c r="T22" s="52">
        <v>1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v>0</v>
      </c>
      <c r="AA22" s="52">
        <v>2</v>
      </c>
      <c r="AB22" s="52">
        <f>SUM(Tabla5232[[#This Row],[Naranjas]:[Arandanos]])</f>
        <v>8</v>
      </c>
      <c r="AC22" s="58"/>
    </row>
    <row r="23" spans="1:29" hidden="1" outlineLevel="1" x14ac:dyDescent="0.25">
      <c r="A23" s="107"/>
      <c r="B23" s="56" t="s">
        <v>115</v>
      </c>
      <c r="C23" s="47" t="s">
        <v>116</v>
      </c>
      <c r="D23" s="47" t="s">
        <v>117</v>
      </c>
      <c r="E23" s="47" t="s">
        <v>40</v>
      </c>
      <c r="F23" s="47" t="s">
        <v>49</v>
      </c>
      <c r="G23" s="47" t="s">
        <v>113</v>
      </c>
      <c r="H23" s="47" t="s">
        <v>41</v>
      </c>
      <c r="I23" s="53">
        <v>56979891544</v>
      </c>
      <c r="J23" s="27" t="s">
        <v>118</v>
      </c>
      <c r="K23" s="27" t="s">
        <v>48</v>
      </c>
      <c r="L23" s="52"/>
      <c r="M23" s="52"/>
      <c r="N23" s="47">
        <f>SUMPRODUCT(Tabla5232[[#This Row],[Naranjas]:[Arandanos]],O$44:AA$44)</f>
        <v>40500</v>
      </c>
      <c r="O23" s="52">
        <v>0</v>
      </c>
      <c r="P23" s="52">
        <v>0</v>
      </c>
      <c r="Q23" s="52">
        <v>1</v>
      </c>
      <c r="R23" s="52">
        <v>0</v>
      </c>
      <c r="S23" s="52">
        <v>2</v>
      </c>
      <c r="T23" s="52">
        <v>1</v>
      </c>
      <c r="U23" s="52">
        <v>0</v>
      </c>
      <c r="V23" s="52">
        <v>0</v>
      </c>
      <c r="W23" s="52">
        <v>0</v>
      </c>
      <c r="X23" s="52">
        <v>1</v>
      </c>
      <c r="Y23" s="52">
        <v>0</v>
      </c>
      <c r="Z23" s="52">
        <v>2</v>
      </c>
      <c r="AA23" s="52">
        <v>0</v>
      </c>
      <c r="AB23" s="52">
        <f>SUM(Tabla5232[[#This Row],[Naranjas]:[Arandanos]])</f>
        <v>7</v>
      </c>
      <c r="AC23" s="58"/>
    </row>
    <row r="24" spans="1:29" hidden="1" outlineLevel="1" x14ac:dyDescent="0.25">
      <c r="A24" s="107"/>
      <c r="B24" s="50" t="s">
        <v>136</v>
      </c>
      <c r="C24" s="48" t="s">
        <v>137</v>
      </c>
      <c r="D24" s="59" t="s">
        <v>172</v>
      </c>
      <c r="E24" s="59" t="s">
        <v>40</v>
      </c>
      <c r="F24" s="59" t="s">
        <v>75</v>
      </c>
      <c r="G24" s="59" t="s">
        <v>113</v>
      </c>
      <c r="H24" s="59" t="s">
        <v>41</v>
      </c>
      <c r="I24" s="60">
        <v>56992704205</v>
      </c>
      <c r="J24" s="27" t="s">
        <v>173</v>
      </c>
      <c r="K24" s="27" t="s">
        <v>54</v>
      </c>
      <c r="L24" s="52"/>
      <c r="M24" s="52"/>
      <c r="N24" s="70">
        <f>SUMPRODUCT(Tabla5232[[#This Row],[Naranjas]:[Arandanos]],O$44:AA$44)</f>
        <v>49500</v>
      </c>
      <c r="O24" s="52">
        <v>0</v>
      </c>
      <c r="P24" s="52">
        <v>0</v>
      </c>
      <c r="Q24" s="52">
        <v>0</v>
      </c>
      <c r="R24" s="52">
        <v>2</v>
      </c>
      <c r="S24" s="52">
        <v>1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2">
        <v>0</v>
      </c>
      <c r="Z24" s="52">
        <v>4</v>
      </c>
      <c r="AA24" s="52">
        <v>0</v>
      </c>
      <c r="AB24" s="52">
        <f>SUM(Tabla5232[[#This Row],[Naranjas]:[Arandanos]])</f>
        <v>7</v>
      </c>
      <c r="AC24" s="58"/>
    </row>
    <row r="25" spans="1:29" hidden="1" outlineLevel="1" x14ac:dyDescent="0.25">
      <c r="A25" s="107"/>
      <c r="B25" s="56" t="s">
        <v>85</v>
      </c>
      <c r="C25" s="47" t="s">
        <v>83</v>
      </c>
      <c r="D25" s="47" t="s">
        <v>84</v>
      </c>
      <c r="E25" s="47" t="s">
        <v>40</v>
      </c>
      <c r="F25" s="47" t="s">
        <v>49</v>
      </c>
      <c r="G25" s="47" t="s">
        <v>76</v>
      </c>
      <c r="H25" s="47" t="s">
        <v>41</v>
      </c>
      <c r="I25" s="53">
        <v>56982328251</v>
      </c>
      <c r="J25" s="27" t="s">
        <v>86</v>
      </c>
      <c r="K25" s="27" t="s">
        <v>54</v>
      </c>
      <c r="L25" s="52"/>
      <c r="M25" s="52"/>
      <c r="N25" s="47">
        <f>SUMPRODUCT(Tabla5232[[#This Row],[Naranjas]:[Arandanos]],O$44:AA$44)</f>
        <v>45500</v>
      </c>
      <c r="O25" s="52">
        <v>0</v>
      </c>
      <c r="P25" s="52">
        <v>0</v>
      </c>
      <c r="Q25" s="52">
        <v>1</v>
      </c>
      <c r="R25" s="52">
        <v>0</v>
      </c>
      <c r="S25" s="52">
        <v>2</v>
      </c>
      <c r="T25" s="52">
        <v>0</v>
      </c>
      <c r="U25" s="52">
        <v>0</v>
      </c>
      <c r="V25" s="52">
        <v>0</v>
      </c>
      <c r="W25" s="52">
        <v>2</v>
      </c>
      <c r="X25" s="52">
        <v>0</v>
      </c>
      <c r="Y25" s="52">
        <v>0</v>
      </c>
      <c r="Z25" s="52">
        <v>2</v>
      </c>
      <c r="AA25" s="52">
        <v>0</v>
      </c>
      <c r="AB25" s="52">
        <f>SUM(Tabla5232[[#This Row],[Naranjas]:[Arandanos]])</f>
        <v>7</v>
      </c>
      <c r="AC25" s="58"/>
    </row>
    <row r="26" spans="1:29" hidden="1" outlineLevel="1" x14ac:dyDescent="0.25">
      <c r="A26" s="107"/>
      <c r="B26" s="50" t="s">
        <v>180</v>
      </c>
      <c r="C26" s="48" t="s">
        <v>181</v>
      </c>
      <c r="D26" s="59" t="s">
        <v>182</v>
      </c>
      <c r="E26" s="59" t="s">
        <v>40</v>
      </c>
      <c r="F26" s="59" t="s">
        <v>49</v>
      </c>
      <c r="G26" s="59" t="s">
        <v>183</v>
      </c>
      <c r="H26" s="59" t="s">
        <v>41</v>
      </c>
      <c r="I26" s="60">
        <v>56964829508</v>
      </c>
      <c r="J26" s="27" t="s">
        <v>184</v>
      </c>
      <c r="K26" s="27" t="s">
        <v>48</v>
      </c>
      <c r="L26" s="52"/>
      <c r="M26" s="52"/>
      <c r="N26" s="47">
        <f>SUMPRODUCT(Tabla5232[[#This Row],[Naranjas]:[Arandanos]],O$44:AA$44)</f>
        <v>39000</v>
      </c>
      <c r="O26" s="52">
        <v>0</v>
      </c>
      <c r="P26" s="52">
        <v>0</v>
      </c>
      <c r="Q26" s="52">
        <v>2</v>
      </c>
      <c r="R26" s="52">
        <v>1</v>
      </c>
      <c r="S26" s="52">
        <v>0</v>
      </c>
      <c r="T26" s="52">
        <v>0</v>
      </c>
      <c r="U26" s="52">
        <v>0</v>
      </c>
      <c r="V26" s="52">
        <v>0</v>
      </c>
      <c r="W26" s="52">
        <v>0</v>
      </c>
      <c r="X26" s="52">
        <v>0</v>
      </c>
      <c r="Y26" s="52">
        <v>1</v>
      </c>
      <c r="Z26" s="52">
        <v>2</v>
      </c>
      <c r="AA26" s="52">
        <v>0</v>
      </c>
      <c r="AB26" s="52">
        <f>SUM(Tabla5232[[#This Row],[Naranjas]:[Arandanos]])</f>
        <v>6</v>
      </c>
      <c r="AC26" s="58"/>
    </row>
    <row r="27" spans="1:29" hidden="1" outlineLevel="1" x14ac:dyDescent="0.25">
      <c r="A27" s="107"/>
      <c r="B27" s="56" t="s">
        <v>114</v>
      </c>
      <c r="C27" s="47" t="s">
        <v>119</v>
      </c>
      <c r="D27" s="47" t="s">
        <v>120</v>
      </c>
      <c r="E27" s="47" t="s">
        <v>40</v>
      </c>
      <c r="F27" s="47" t="s">
        <v>75</v>
      </c>
      <c r="G27" s="47" t="s">
        <v>113</v>
      </c>
      <c r="H27" s="47" t="s">
        <v>41</v>
      </c>
      <c r="I27" s="53">
        <v>56988587944</v>
      </c>
      <c r="J27" s="27" t="s">
        <v>121</v>
      </c>
      <c r="K27" s="27" t="s">
        <v>48</v>
      </c>
      <c r="L27" s="52"/>
      <c r="M27" s="52"/>
      <c r="N27" s="47">
        <f>SUMPRODUCT(Tabla5232[[#This Row],[Naranjas]:[Arandanos]],O$44:AA$44)</f>
        <v>25500</v>
      </c>
      <c r="O27" s="52">
        <v>0</v>
      </c>
      <c r="P27" s="52">
        <v>0</v>
      </c>
      <c r="Q27" s="52">
        <v>2</v>
      </c>
      <c r="R27" s="52">
        <v>0</v>
      </c>
      <c r="S27" s="52">
        <v>2</v>
      </c>
      <c r="T27" s="52">
        <v>0</v>
      </c>
      <c r="U27" s="52">
        <v>0</v>
      </c>
      <c r="V27" s="52">
        <v>0</v>
      </c>
      <c r="W27" s="52">
        <v>0</v>
      </c>
      <c r="X27" s="52">
        <v>0</v>
      </c>
      <c r="Y27" s="52">
        <v>0</v>
      </c>
      <c r="Z27" s="52">
        <v>1</v>
      </c>
      <c r="AA27" s="52">
        <v>0</v>
      </c>
      <c r="AB27" s="52">
        <f>SUM(Tabla5232[[#This Row],[Naranjas]:[Arandanos]])</f>
        <v>5</v>
      </c>
      <c r="AC27" s="58"/>
    </row>
    <row r="28" spans="1:29" hidden="1" outlineLevel="1" x14ac:dyDescent="0.25">
      <c r="A28" s="107"/>
      <c r="B28" s="50" t="s">
        <v>122</v>
      </c>
      <c r="C28" s="48" t="s">
        <v>143</v>
      </c>
      <c r="D28" s="59" t="s">
        <v>160</v>
      </c>
      <c r="E28" s="59" t="s">
        <v>40</v>
      </c>
      <c r="F28" s="59" t="s">
        <v>49</v>
      </c>
      <c r="G28" s="59" t="s">
        <v>45</v>
      </c>
      <c r="H28" s="59" t="s">
        <v>41</v>
      </c>
      <c r="I28" s="60">
        <v>56997594184</v>
      </c>
      <c r="J28" s="27" t="s">
        <v>161</v>
      </c>
      <c r="K28" s="27" t="s">
        <v>48</v>
      </c>
      <c r="L28" s="52"/>
      <c r="M28" s="52"/>
      <c r="N28" s="70">
        <f>SUMPRODUCT(Tabla5232[[#This Row],[Naranjas]:[Arandanos]],O$44:AA$44)</f>
        <v>28500</v>
      </c>
      <c r="O28" s="52">
        <v>0</v>
      </c>
      <c r="P28" s="52">
        <v>0</v>
      </c>
      <c r="Q28" s="52">
        <v>2</v>
      </c>
      <c r="R28" s="52">
        <v>0</v>
      </c>
      <c r="S28" s="52">
        <v>1</v>
      </c>
      <c r="T28" s="52">
        <v>0</v>
      </c>
      <c r="U28" s="52">
        <v>0</v>
      </c>
      <c r="V28" s="52">
        <v>0</v>
      </c>
      <c r="W28" s="52">
        <v>0</v>
      </c>
      <c r="X28" s="52">
        <v>0</v>
      </c>
      <c r="Y28" s="52">
        <v>0</v>
      </c>
      <c r="Z28" s="52">
        <v>2</v>
      </c>
      <c r="AA28" s="52">
        <v>0</v>
      </c>
      <c r="AB28" s="52">
        <f>SUM(Tabla5232[[#This Row],[Naranjas]:[Arandanos]])</f>
        <v>5</v>
      </c>
      <c r="AC28" s="58"/>
    </row>
    <row r="29" spans="1:29" hidden="1" outlineLevel="1" x14ac:dyDescent="0.25">
      <c r="A29" s="107"/>
      <c r="B29" s="50" t="s">
        <v>131</v>
      </c>
      <c r="C29" s="48" t="s">
        <v>132</v>
      </c>
      <c r="D29" s="59" t="s">
        <v>133</v>
      </c>
      <c r="E29" s="59" t="s">
        <v>46</v>
      </c>
      <c r="F29" s="59" t="s">
        <v>44</v>
      </c>
      <c r="G29" s="59" t="s">
        <v>88</v>
      </c>
      <c r="H29" s="59" t="s">
        <v>41</v>
      </c>
      <c r="I29" s="60">
        <v>56994792301</v>
      </c>
      <c r="J29" s="27" t="s">
        <v>134</v>
      </c>
      <c r="K29" s="27" t="s">
        <v>54</v>
      </c>
      <c r="L29" s="52"/>
      <c r="M29" s="52"/>
      <c r="N29" s="70">
        <f>SUMPRODUCT(Tabla5232[[#This Row],[Naranjas]:[Arandanos]],O$44:AA$44)</f>
        <v>24000</v>
      </c>
      <c r="O29" s="52">
        <v>0</v>
      </c>
      <c r="P29" s="52">
        <v>0</v>
      </c>
      <c r="Q29" s="52">
        <v>1</v>
      </c>
      <c r="R29" s="52">
        <v>1</v>
      </c>
      <c r="S29" s="52">
        <v>1</v>
      </c>
      <c r="T29" s="52">
        <v>0</v>
      </c>
      <c r="U29" s="52">
        <v>0</v>
      </c>
      <c r="V29" s="52">
        <v>0</v>
      </c>
      <c r="W29" s="52">
        <v>0</v>
      </c>
      <c r="X29" s="52">
        <v>0</v>
      </c>
      <c r="Y29" s="52">
        <v>0</v>
      </c>
      <c r="Z29" s="52">
        <v>1</v>
      </c>
      <c r="AA29" s="52">
        <v>0</v>
      </c>
      <c r="AB29" s="52">
        <f>SUM(Tabla5232[[#This Row],[Naranjas]:[Arandanos]])</f>
        <v>4</v>
      </c>
      <c r="AC29" s="58"/>
    </row>
    <row r="30" spans="1:29" hidden="1" outlineLevel="1" x14ac:dyDescent="0.25">
      <c r="A30" s="107"/>
      <c r="B30" s="50" t="s">
        <v>98</v>
      </c>
      <c r="C30" s="48" t="s">
        <v>99</v>
      </c>
      <c r="D30" s="59" t="s">
        <v>100</v>
      </c>
      <c r="E30" s="59" t="s">
        <v>40</v>
      </c>
      <c r="F30" s="59" t="s">
        <v>49</v>
      </c>
      <c r="G30" s="59" t="s">
        <v>76</v>
      </c>
      <c r="H30" s="59" t="s">
        <v>41</v>
      </c>
      <c r="I30" s="60">
        <v>56974397201</v>
      </c>
      <c r="J30" s="27" t="s">
        <v>101</v>
      </c>
      <c r="K30" s="27" t="s">
        <v>54</v>
      </c>
      <c r="L30" s="52"/>
      <c r="M30" s="52"/>
      <c r="N30" s="47">
        <f>SUMPRODUCT(Tabla5232[[#This Row],[Naranjas]:[Arandanos]],O$44:AA$44)</f>
        <v>24000</v>
      </c>
      <c r="O30" s="52">
        <v>0</v>
      </c>
      <c r="P30" s="52">
        <v>0</v>
      </c>
      <c r="Q30" s="52">
        <v>1</v>
      </c>
      <c r="R30" s="52">
        <v>0</v>
      </c>
      <c r="S30" s="52">
        <v>0</v>
      </c>
      <c r="T30" s="52">
        <v>0</v>
      </c>
      <c r="U30" s="52">
        <v>0</v>
      </c>
      <c r="V30" s="52">
        <v>1</v>
      </c>
      <c r="W30" s="52">
        <v>0</v>
      </c>
      <c r="X30" s="52">
        <v>0</v>
      </c>
      <c r="Y30" s="52">
        <v>1</v>
      </c>
      <c r="Z30" s="52">
        <v>1</v>
      </c>
      <c r="AA30" s="52">
        <v>0</v>
      </c>
      <c r="AB30" s="52">
        <f>SUM(Tabla5232[[#This Row],[Naranjas]:[Arandanos]])</f>
        <v>4</v>
      </c>
      <c r="AC30" s="58"/>
    </row>
    <row r="31" spans="1:29" hidden="1" outlineLevel="1" x14ac:dyDescent="0.25">
      <c r="A31" s="107"/>
      <c r="B31" s="50" t="s">
        <v>139</v>
      </c>
      <c r="C31" s="48" t="s">
        <v>140</v>
      </c>
      <c r="D31" s="59" t="s">
        <v>141</v>
      </c>
      <c r="E31" s="59" t="s">
        <v>40</v>
      </c>
      <c r="F31" s="59" t="s">
        <v>75</v>
      </c>
      <c r="G31" s="59" t="s">
        <v>93</v>
      </c>
      <c r="H31" s="59" t="s">
        <v>41</v>
      </c>
      <c r="I31" s="60">
        <v>56991592586</v>
      </c>
      <c r="J31" s="27" t="s">
        <v>142</v>
      </c>
      <c r="K31" s="27" t="s">
        <v>42</v>
      </c>
      <c r="L31" s="52"/>
      <c r="M31" s="52"/>
      <c r="N31" s="70">
        <f>SUMPRODUCT(Tabla5232[[#This Row],[Naranjas]:[Arandanos]],O$44:AA$44)</f>
        <v>21000</v>
      </c>
      <c r="O31" s="52">
        <v>0</v>
      </c>
      <c r="P31" s="52">
        <v>0</v>
      </c>
      <c r="Q31" s="52">
        <v>1</v>
      </c>
      <c r="R31" s="52">
        <v>0</v>
      </c>
      <c r="S31" s="52">
        <v>1</v>
      </c>
      <c r="T31" s="52">
        <v>0</v>
      </c>
      <c r="U31" s="52">
        <v>0</v>
      </c>
      <c r="V31" s="52">
        <v>0</v>
      </c>
      <c r="W31" s="52">
        <v>0</v>
      </c>
      <c r="X31" s="52">
        <v>0</v>
      </c>
      <c r="Y31" s="52">
        <v>0</v>
      </c>
      <c r="Z31" s="52">
        <v>1</v>
      </c>
      <c r="AA31" s="52">
        <v>1</v>
      </c>
      <c r="AB31" s="52">
        <f>SUM(Tabla5232[[#This Row],[Naranjas]:[Arandanos]])</f>
        <v>4</v>
      </c>
      <c r="AC31" s="58"/>
    </row>
    <row r="32" spans="1:29" ht="15.75" hidden="1" outlineLevel="1" thickBot="1" x14ac:dyDescent="0.3">
      <c r="A32" s="108"/>
      <c r="B32" s="13" t="s">
        <v>114</v>
      </c>
      <c r="C32" s="14" t="s">
        <v>185</v>
      </c>
      <c r="D32" s="65">
        <v>0</v>
      </c>
      <c r="E32" s="65">
        <v>0</v>
      </c>
      <c r="F32" s="65">
        <v>0</v>
      </c>
      <c r="G32" s="65">
        <v>0</v>
      </c>
      <c r="H32" s="65">
        <v>0</v>
      </c>
      <c r="I32" s="66">
        <v>0</v>
      </c>
      <c r="J32" s="46" t="s">
        <v>138</v>
      </c>
      <c r="K32" s="46">
        <v>0</v>
      </c>
      <c r="L32" s="16"/>
      <c r="M32" s="16"/>
      <c r="N32" s="71">
        <f>SUMPRODUCT(Tabla5232[[#This Row],[Naranjas]:[Arandanos]],O$44:AA$44)</f>
        <v>27000</v>
      </c>
      <c r="O32" s="16">
        <v>0</v>
      </c>
      <c r="P32" s="16">
        <v>0</v>
      </c>
      <c r="Q32" s="16">
        <v>0</v>
      </c>
      <c r="R32" s="16">
        <v>0</v>
      </c>
      <c r="S32" s="16">
        <v>0</v>
      </c>
      <c r="T32" s="16">
        <v>1</v>
      </c>
      <c r="U32" s="16">
        <v>0</v>
      </c>
      <c r="V32" s="16">
        <v>0</v>
      </c>
      <c r="W32" s="16">
        <v>0</v>
      </c>
      <c r="X32" s="16">
        <v>0</v>
      </c>
      <c r="Y32" s="16">
        <v>0</v>
      </c>
      <c r="Z32" s="16">
        <v>3</v>
      </c>
      <c r="AA32" s="16">
        <v>0</v>
      </c>
      <c r="AB32" s="16">
        <f>SUM(Tabla5232[[#This Row],[Naranjas]:[Arandanos]])</f>
        <v>4</v>
      </c>
      <c r="AC32" s="45"/>
    </row>
    <row r="33" spans="1:29" hidden="1" outlineLevel="1" x14ac:dyDescent="0.25">
      <c r="A33" s="18"/>
      <c r="B33" s="92" t="s">
        <v>127</v>
      </c>
      <c r="C33" s="93" t="s">
        <v>128</v>
      </c>
      <c r="D33" s="93" t="s">
        <v>129</v>
      </c>
      <c r="E33" s="93" t="s">
        <v>43</v>
      </c>
      <c r="F33" s="93" t="s">
        <v>47</v>
      </c>
      <c r="G33" s="93" t="s">
        <v>110</v>
      </c>
      <c r="H33" s="93" t="s">
        <v>41</v>
      </c>
      <c r="I33" s="94">
        <v>56956481962</v>
      </c>
      <c r="J33" s="82" t="s">
        <v>130</v>
      </c>
      <c r="K33" s="82" t="s">
        <v>48</v>
      </c>
      <c r="L33" s="83"/>
      <c r="M33" s="83"/>
      <c r="N33" s="93">
        <f>SUMPRODUCT(Tabla5232[[#This Row],[Naranjas]:[Arandanos]],O$44:AA$44)</f>
        <v>16500</v>
      </c>
      <c r="O33" s="83">
        <v>0</v>
      </c>
      <c r="P33" s="83">
        <v>0</v>
      </c>
      <c r="Q33" s="83">
        <v>2</v>
      </c>
      <c r="R33" s="83">
        <v>0</v>
      </c>
      <c r="S33" s="83">
        <v>0</v>
      </c>
      <c r="T33" s="83">
        <v>0</v>
      </c>
      <c r="U33" s="83">
        <v>0</v>
      </c>
      <c r="V33" s="83">
        <v>0</v>
      </c>
      <c r="W33" s="83">
        <v>0</v>
      </c>
      <c r="X33" s="83">
        <v>0</v>
      </c>
      <c r="Y33" s="83">
        <v>0</v>
      </c>
      <c r="Z33" s="83">
        <v>1</v>
      </c>
      <c r="AA33" s="83">
        <v>0</v>
      </c>
      <c r="AB33" s="83">
        <f>SUM(Tabla5232[[#This Row],[Naranjas]:[Arandanos]])</f>
        <v>3</v>
      </c>
      <c r="AC33" s="84"/>
    </row>
    <row r="34" spans="1:29" hidden="1" outlineLevel="1" x14ac:dyDescent="0.25">
      <c r="A34" s="18"/>
      <c r="B34" s="92" t="s">
        <v>145</v>
      </c>
      <c r="C34" s="93" t="s">
        <v>152</v>
      </c>
      <c r="D34" s="93" t="s">
        <v>153</v>
      </c>
      <c r="E34" s="93" t="s">
        <v>46</v>
      </c>
      <c r="F34" s="93" t="s">
        <v>89</v>
      </c>
      <c r="G34" s="93">
        <v>0</v>
      </c>
      <c r="H34" s="93" t="s">
        <v>41</v>
      </c>
      <c r="I34" s="94">
        <v>56954243532</v>
      </c>
      <c r="J34" s="82" t="s">
        <v>154</v>
      </c>
      <c r="K34" s="82" t="s">
        <v>42</v>
      </c>
      <c r="L34" s="83"/>
      <c r="M34" s="83"/>
      <c r="N34" s="93">
        <f>SUMPRODUCT(Tabla5232[[#This Row],[Naranjas]:[Arandanos]],O$44:AA$44)</f>
        <v>13500</v>
      </c>
      <c r="O34" s="83">
        <v>0</v>
      </c>
      <c r="P34" s="83">
        <v>0</v>
      </c>
      <c r="Q34" s="83">
        <v>3</v>
      </c>
      <c r="R34" s="83">
        <v>0</v>
      </c>
      <c r="S34" s="83">
        <v>0</v>
      </c>
      <c r="T34" s="83">
        <v>0</v>
      </c>
      <c r="U34" s="83">
        <v>0</v>
      </c>
      <c r="V34" s="83">
        <v>0</v>
      </c>
      <c r="W34" s="83">
        <v>0</v>
      </c>
      <c r="X34" s="83">
        <v>0</v>
      </c>
      <c r="Y34" s="83">
        <v>0</v>
      </c>
      <c r="Z34" s="83">
        <v>0</v>
      </c>
      <c r="AA34" s="83">
        <v>0</v>
      </c>
      <c r="AB34" s="83">
        <f>SUM(Tabla5232[[#This Row],[Naranjas]:[Arandanos]])</f>
        <v>3</v>
      </c>
      <c r="AC34" s="84"/>
    </row>
    <row r="35" spans="1:29" outlineLevel="1" x14ac:dyDescent="0.25">
      <c r="A35" s="18"/>
      <c r="B35" s="19"/>
      <c r="C35" s="19"/>
      <c r="D35" s="19"/>
      <c r="E35" s="19"/>
      <c r="F35" s="19"/>
      <c r="G35" s="19"/>
      <c r="H35" s="19"/>
      <c r="I35" s="32"/>
      <c r="J35" s="31"/>
      <c r="K35" s="31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</row>
    <row r="36" spans="1:29" ht="15.75" thickBot="1" x14ac:dyDescent="0.3"/>
    <row r="37" spans="1:29" ht="14.65" customHeight="1" thickBot="1" x14ac:dyDescent="0.3">
      <c r="A37" s="120" t="s">
        <v>20</v>
      </c>
      <c r="B37" s="135" t="s">
        <v>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7"/>
      <c r="N37" s="98" t="s">
        <v>9</v>
      </c>
      <c r="O37" s="8">
        <f>SUM(Tabla5232[Naranjas])</f>
        <v>0</v>
      </c>
      <c r="P37" s="49">
        <f>SUM(Tabla5232[Mandarinas])</f>
        <v>0</v>
      </c>
      <c r="Q37" s="49">
        <f>SUM(Tabla5232[Paltas])</f>
        <v>86</v>
      </c>
      <c r="R37" s="49">
        <f>SUM(Tabla5232[Quesos])</f>
        <v>21</v>
      </c>
      <c r="S37" s="49">
        <f>SUM(Tabla5232[Frutillas])</f>
        <v>102</v>
      </c>
      <c r="T37" s="49">
        <f>SUM(Tabla5232[Tomate Cherry])</f>
        <v>16</v>
      </c>
      <c r="U37" s="49">
        <f>SUM(Tabla5232[Nueces])</f>
        <v>6</v>
      </c>
      <c r="V37" s="49">
        <f>SUM(Tabla5232[Mani])</f>
        <v>10</v>
      </c>
      <c r="W37" s="49">
        <f>SUM(Tabla5232[Pistachos])</f>
        <v>13</v>
      </c>
      <c r="X37" s="49">
        <f>SUM(Tabla5232[Caju])</f>
        <v>11</v>
      </c>
      <c r="Y37" s="49">
        <f>SUM(Tabla5232[Almendras])</f>
        <v>8</v>
      </c>
      <c r="Z37" s="49">
        <f>SUM(Tabla5232[Cerezas])</f>
        <v>192</v>
      </c>
      <c r="AA37" s="4">
        <f>SUM(Tabla5232[Arandanos])</f>
        <v>18</v>
      </c>
    </row>
    <row r="38" spans="1:29" ht="14.65" customHeight="1" thickBot="1" x14ac:dyDescent="0.3">
      <c r="A38" s="121"/>
      <c r="B38" s="138"/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40"/>
      <c r="N38" s="98" t="s">
        <v>28</v>
      </c>
      <c r="O38" s="9">
        <v>5</v>
      </c>
      <c r="P38" s="52">
        <v>4</v>
      </c>
      <c r="Q38" s="52">
        <v>2</v>
      </c>
      <c r="R38" s="37">
        <v>1</v>
      </c>
      <c r="S38" s="37">
        <v>2</v>
      </c>
      <c r="T38" s="52">
        <v>1</v>
      </c>
      <c r="U38" s="73">
        <v>0.5</v>
      </c>
      <c r="V38" s="73">
        <v>1</v>
      </c>
      <c r="W38" s="73">
        <v>0.5</v>
      </c>
      <c r="X38" s="73">
        <v>0.4</v>
      </c>
      <c r="Y38" s="73">
        <v>0.5</v>
      </c>
      <c r="Z38" s="73">
        <v>5</v>
      </c>
      <c r="AA38" s="38">
        <v>0.5</v>
      </c>
    </row>
    <row r="39" spans="1:29" ht="14.65" customHeight="1" thickBot="1" x14ac:dyDescent="0.3">
      <c r="A39" s="121"/>
      <c r="B39" s="138"/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40"/>
      <c r="N39" s="98" t="s">
        <v>8</v>
      </c>
      <c r="O39" s="9">
        <f>O38*O37</f>
        <v>0</v>
      </c>
      <c r="P39" s="52">
        <f t="shared" ref="P39:AA39" si="0">P38*P37</f>
        <v>0</v>
      </c>
      <c r="Q39" s="52">
        <f t="shared" si="0"/>
        <v>172</v>
      </c>
      <c r="R39" s="52">
        <f t="shared" si="0"/>
        <v>21</v>
      </c>
      <c r="S39" s="52">
        <f>S38*S37</f>
        <v>204</v>
      </c>
      <c r="T39" s="52">
        <f t="shared" si="0"/>
        <v>16</v>
      </c>
      <c r="U39" s="52">
        <f t="shared" si="0"/>
        <v>3</v>
      </c>
      <c r="V39" s="52">
        <f t="shared" si="0"/>
        <v>10</v>
      </c>
      <c r="W39" s="52">
        <f t="shared" si="0"/>
        <v>6.5</v>
      </c>
      <c r="X39" s="52">
        <f t="shared" si="0"/>
        <v>4.4000000000000004</v>
      </c>
      <c r="Y39" s="52">
        <f t="shared" si="0"/>
        <v>4</v>
      </c>
      <c r="Z39" s="52">
        <f t="shared" si="0"/>
        <v>960</v>
      </c>
      <c r="AA39" s="11">
        <f t="shared" si="0"/>
        <v>9</v>
      </c>
    </row>
    <row r="40" spans="1:29" ht="15.75" thickBot="1" x14ac:dyDescent="0.3">
      <c r="A40" s="121"/>
      <c r="B40" s="141"/>
      <c r="C40" s="142"/>
      <c r="D40" s="142"/>
      <c r="E40" s="142"/>
      <c r="F40" s="142"/>
      <c r="G40" s="142"/>
      <c r="H40" s="142"/>
      <c r="I40" s="142"/>
      <c r="J40" s="142"/>
      <c r="K40" s="142"/>
      <c r="L40" s="142"/>
      <c r="M40" s="143"/>
      <c r="N40" s="98" t="s">
        <v>10</v>
      </c>
      <c r="O40" s="10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2"/>
    </row>
    <row r="41" spans="1:29" ht="15.75" thickBot="1" x14ac:dyDescent="0.3">
      <c r="A41" s="121"/>
      <c r="B41" s="99"/>
      <c r="C41" s="19"/>
      <c r="D41" s="23"/>
      <c r="E41" s="24"/>
      <c r="F41" s="24"/>
      <c r="G41" s="24"/>
      <c r="H41" s="24"/>
      <c r="I41" s="24"/>
      <c r="J41" s="24"/>
      <c r="K41" s="25"/>
      <c r="N41" s="3"/>
    </row>
    <row r="42" spans="1:29" ht="15.75" thickBot="1" x14ac:dyDescent="0.3">
      <c r="A42" s="121"/>
      <c r="B42" s="135" t="s">
        <v>12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7"/>
      <c r="N42" s="98" t="s">
        <v>13</v>
      </c>
      <c r="O42" s="54">
        <f>O43*O38</f>
        <v>2750</v>
      </c>
      <c r="P42" s="51">
        <f t="shared" ref="P42:AA42" si="1">P43*P38</f>
        <v>2200</v>
      </c>
      <c r="Q42" s="51">
        <f t="shared" si="1"/>
        <v>3100</v>
      </c>
      <c r="R42" s="51">
        <f t="shared" si="1"/>
        <v>6716</v>
      </c>
      <c r="S42" s="51">
        <f>S43*S38</f>
        <v>2600</v>
      </c>
      <c r="T42" s="51">
        <f t="shared" si="1"/>
        <v>2300</v>
      </c>
      <c r="U42" s="51">
        <f t="shared" si="1"/>
        <v>3750</v>
      </c>
      <c r="V42" s="51">
        <f t="shared" si="1"/>
        <v>3500</v>
      </c>
      <c r="W42" s="51">
        <f t="shared" si="1"/>
        <v>7050</v>
      </c>
      <c r="X42" s="51">
        <f t="shared" si="1"/>
        <v>5320</v>
      </c>
      <c r="Y42" s="51">
        <f t="shared" si="1"/>
        <v>5350</v>
      </c>
      <c r="Z42" s="51">
        <f t="shared" si="1"/>
        <v>6000</v>
      </c>
      <c r="AA42" s="15">
        <f t="shared" si="1"/>
        <v>600</v>
      </c>
    </row>
    <row r="43" spans="1:29" ht="15.75" thickBot="1" x14ac:dyDescent="0.3">
      <c r="A43" s="121"/>
      <c r="B43" s="138"/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40"/>
      <c r="N43" s="98" t="s">
        <v>8</v>
      </c>
      <c r="O43" s="77">
        <v>550</v>
      </c>
      <c r="P43" s="76">
        <v>550</v>
      </c>
      <c r="Q43" s="76">
        <v>1550</v>
      </c>
      <c r="R43" s="76">
        <v>6716</v>
      </c>
      <c r="S43" s="76">
        <v>1300</v>
      </c>
      <c r="T43" s="76">
        <v>2300</v>
      </c>
      <c r="U43" s="76">
        <v>7500</v>
      </c>
      <c r="V43" s="76">
        <v>3500</v>
      </c>
      <c r="W43" s="76">
        <v>14100</v>
      </c>
      <c r="X43" s="76">
        <v>13300</v>
      </c>
      <c r="Y43" s="76">
        <v>10700</v>
      </c>
      <c r="Z43" s="76">
        <f>6000/5</f>
        <v>1200</v>
      </c>
      <c r="AA43" s="80">
        <f>6000/5</f>
        <v>1200</v>
      </c>
    </row>
    <row r="44" spans="1:29" ht="15.75" thickBot="1" x14ac:dyDescent="0.3">
      <c r="A44" s="121"/>
      <c r="B44" s="141"/>
      <c r="C44" s="142"/>
      <c r="D44" s="142"/>
      <c r="E44" s="142"/>
      <c r="F44" s="142"/>
      <c r="G44" s="142"/>
      <c r="H44" s="142"/>
      <c r="I44" s="142"/>
      <c r="J44" s="142"/>
      <c r="K44" s="142"/>
      <c r="L44" s="142"/>
      <c r="M44" s="143"/>
      <c r="N44" s="98" t="s">
        <v>14</v>
      </c>
      <c r="O44" s="78">
        <v>3500</v>
      </c>
      <c r="P44" s="79">
        <v>4500</v>
      </c>
      <c r="Q44" s="79">
        <v>4500</v>
      </c>
      <c r="R44" s="79">
        <v>7500</v>
      </c>
      <c r="S44" s="79">
        <v>4500</v>
      </c>
      <c r="T44" s="79">
        <v>4500</v>
      </c>
      <c r="U44" s="79">
        <v>5500</v>
      </c>
      <c r="V44" s="79">
        <v>4500</v>
      </c>
      <c r="W44" s="79">
        <v>8500</v>
      </c>
      <c r="X44" s="79">
        <v>7500</v>
      </c>
      <c r="Y44" s="79">
        <v>7500</v>
      </c>
      <c r="Z44" s="79">
        <v>7500</v>
      </c>
      <c r="AA44" s="81">
        <v>4500</v>
      </c>
    </row>
    <row r="45" spans="1:29" ht="15.75" thickBot="1" x14ac:dyDescent="0.3">
      <c r="A45" s="121"/>
      <c r="B45" s="99"/>
      <c r="C45" s="19"/>
      <c r="D45" s="23"/>
      <c r="E45" s="24"/>
      <c r="F45" s="24"/>
      <c r="G45" s="24"/>
      <c r="H45" s="24"/>
      <c r="I45" s="24"/>
      <c r="J45" s="24"/>
      <c r="K45" s="25"/>
      <c r="N45" s="3"/>
    </row>
    <row r="46" spans="1:29" ht="14.65" customHeight="1" thickBot="1" x14ac:dyDescent="0.3">
      <c r="A46" s="121"/>
      <c r="B46" s="135" t="s">
        <v>15</v>
      </c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7"/>
      <c r="N46" s="98" t="s">
        <v>19</v>
      </c>
      <c r="O46" s="87">
        <f>O37*O42</f>
        <v>0</v>
      </c>
      <c r="P46" s="88">
        <f t="shared" ref="P46:AA46" si="2">P37*P42</f>
        <v>0</v>
      </c>
      <c r="Q46" s="88">
        <f t="shared" si="2"/>
        <v>266600</v>
      </c>
      <c r="R46" s="89">
        <f t="shared" si="2"/>
        <v>141036</v>
      </c>
      <c r="S46" s="89">
        <f t="shared" si="2"/>
        <v>265200</v>
      </c>
      <c r="T46" s="88">
        <f>T37*T42</f>
        <v>36800</v>
      </c>
      <c r="U46" s="88">
        <f t="shared" si="2"/>
        <v>22500</v>
      </c>
      <c r="V46" s="88">
        <f t="shared" si="2"/>
        <v>35000</v>
      </c>
      <c r="W46" s="88">
        <f t="shared" si="2"/>
        <v>91650</v>
      </c>
      <c r="X46" s="88">
        <f t="shared" si="2"/>
        <v>58520</v>
      </c>
      <c r="Y46" s="88">
        <f t="shared" si="2"/>
        <v>42800</v>
      </c>
      <c r="Z46" s="88">
        <f t="shared" si="2"/>
        <v>1152000</v>
      </c>
      <c r="AA46" s="90">
        <f t="shared" si="2"/>
        <v>10800</v>
      </c>
    </row>
    <row r="47" spans="1:29" ht="15.75" thickBot="1" x14ac:dyDescent="0.3">
      <c r="A47" s="121"/>
      <c r="B47" s="141"/>
      <c r="C47" s="142"/>
      <c r="D47" s="142"/>
      <c r="E47" s="142"/>
      <c r="F47" s="142"/>
      <c r="G47" s="142"/>
      <c r="H47" s="142"/>
      <c r="I47" s="142"/>
      <c r="J47" s="142"/>
      <c r="K47" s="142"/>
      <c r="L47" s="142"/>
      <c r="M47" s="143"/>
      <c r="N47" s="98" t="s">
        <v>16</v>
      </c>
      <c r="O47" s="112">
        <f>SUM(O46:AA46)</f>
        <v>2122906</v>
      </c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4"/>
    </row>
    <row r="48" spans="1:29" ht="15.75" thickBot="1" x14ac:dyDescent="0.3">
      <c r="A48" s="121"/>
      <c r="B48" s="135" t="s">
        <v>17</v>
      </c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7"/>
      <c r="N48" s="98" t="s">
        <v>19</v>
      </c>
      <c r="O48" s="50">
        <f t="shared" ref="O48:AA48" si="3">O44*O37</f>
        <v>0</v>
      </c>
      <c r="P48" s="48">
        <f t="shared" si="3"/>
        <v>0</v>
      </c>
      <c r="Q48" s="48">
        <f t="shared" si="3"/>
        <v>387000</v>
      </c>
      <c r="R48" s="48">
        <f t="shared" si="3"/>
        <v>157500</v>
      </c>
      <c r="S48" s="48">
        <f t="shared" si="3"/>
        <v>459000</v>
      </c>
      <c r="T48" s="48">
        <f t="shared" si="3"/>
        <v>72000</v>
      </c>
      <c r="U48" s="48">
        <f t="shared" si="3"/>
        <v>33000</v>
      </c>
      <c r="V48" s="48">
        <f t="shared" si="3"/>
        <v>45000</v>
      </c>
      <c r="W48" s="48">
        <f t="shared" si="3"/>
        <v>110500</v>
      </c>
      <c r="X48" s="48">
        <f t="shared" si="3"/>
        <v>82500</v>
      </c>
      <c r="Y48" s="48">
        <f t="shared" si="3"/>
        <v>60000</v>
      </c>
      <c r="Z48" s="48">
        <f t="shared" si="3"/>
        <v>1440000</v>
      </c>
      <c r="AA48" s="91">
        <f t="shared" si="3"/>
        <v>81000</v>
      </c>
    </row>
    <row r="49" spans="1:27" ht="15.75" thickBot="1" x14ac:dyDescent="0.3">
      <c r="A49" s="121"/>
      <c r="B49" s="141"/>
      <c r="C49" s="142"/>
      <c r="D49" s="142"/>
      <c r="E49" s="142"/>
      <c r="F49" s="142"/>
      <c r="G49" s="142"/>
      <c r="H49" s="142"/>
      <c r="I49" s="142"/>
      <c r="J49" s="142"/>
      <c r="K49" s="142"/>
      <c r="L49" s="142"/>
      <c r="M49" s="143"/>
      <c r="N49" s="98" t="s">
        <v>16</v>
      </c>
      <c r="O49" s="112">
        <f>SUM(O48:AA48)</f>
        <v>2927500</v>
      </c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4"/>
    </row>
    <row r="50" spans="1:27" ht="14.65" customHeight="1" thickBot="1" x14ac:dyDescent="0.3">
      <c r="A50" s="121"/>
      <c r="B50" s="135" t="s">
        <v>18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7"/>
      <c r="N50" s="98" t="s">
        <v>19</v>
      </c>
      <c r="O50" s="50">
        <f>O48-O46</f>
        <v>0</v>
      </c>
      <c r="P50" s="48">
        <f t="shared" ref="P50:AA50" si="4">P48-P46</f>
        <v>0</v>
      </c>
      <c r="Q50" s="48">
        <f t="shared" si="4"/>
        <v>120400</v>
      </c>
      <c r="R50" s="48">
        <f t="shared" si="4"/>
        <v>16464</v>
      </c>
      <c r="S50" s="48">
        <f t="shared" si="4"/>
        <v>193800</v>
      </c>
      <c r="T50" s="48">
        <f t="shared" si="4"/>
        <v>35200</v>
      </c>
      <c r="U50" s="48">
        <f t="shared" si="4"/>
        <v>10500</v>
      </c>
      <c r="V50" s="48">
        <f t="shared" si="4"/>
        <v>10000</v>
      </c>
      <c r="W50" s="48">
        <f t="shared" si="4"/>
        <v>18850</v>
      </c>
      <c r="X50" s="48">
        <f t="shared" si="4"/>
        <v>23980</v>
      </c>
      <c r="Y50" s="48">
        <f t="shared" si="4"/>
        <v>17200</v>
      </c>
      <c r="Z50" s="48">
        <f t="shared" si="4"/>
        <v>288000</v>
      </c>
      <c r="AA50" s="91">
        <f t="shared" si="4"/>
        <v>70200</v>
      </c>
    </row>
    <row r="51" spans="1:27" ht="29.65" customHeight="1" thickBot="1" x14ac:dyDescent="0.3">
      <c r="A51" s="121"/>
      <c r="B51" s="141"/>
      <c r="C51" s="142"/>
      <c r="D51" s="142"/>
      <c r="E51" s="142"/>
      <c r="F51" s="142"/>
      <c r="G51" s="142"/>
      <c r="H51" s="142"/>
      <c r="I51" s="142"/>
      <c r="J51" s="142"/>
      <c r="K51" s="142"/>
      <c r="L51" s="142"/>
      <c r="M51" s="143"/>
      <c r="N51" s="98" t="s">
        <v>29</v>
      </c>
      <c r="O51" s="109">
        <f>O49-O47</f>
        <v>804594</v>
      </c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1"/>
    </row>
    <row r="52" spans="1:27" ht="15.75" thickBot="1" x14ac:dyDescent="0.3">
      <c r="A52" s="121"/>
    </row>
    <row r="53" spans="1:27" ht="14.65" customHeight="1" thickBot="1" x14ac:dyDescent="0.3">
      <c r="A53" s="121"/>
      <c r="B53" s="147" t="s">
        <v>25</v>
      </c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9"/>
      <c r="O53" s="129" t="s">
        <v>26</v>
      </c>
      <c r="P53" s="130"/>
      <c r="Q53" s="131"/>
      <c r="R53" s="29" t="s">
        <v>27</v>
      </c>
      <c r="S53" s="61"/>
      <c r="T53" s="5"/>
      <c r="U53" s="5"/>
      <c r="V53" s="5"/>
      <c r="W53" s="5"/>
      <c r="X53" s="5"/>
      <c r="Y53" s="5"/>
      <c r="Z53" s="5"/>
      <c r="AA53" s="5"/>
    </row>
    <row r="54" spans="1:27" ht="15" customHeight="1" x14ac:dyDescent="0.25">
      <c r="A54" s="121"/>
      <c r="B54" s="150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2"/>
      <c r="O54" s="156"/>
      <c r="P54" s="157"/>
      <c r="Q54" s="158"/>
      <c r="R54" s="33"/>
      <c r="S54" s="62"/>
      <c r="T54" s="6"/>
      <c r="U54" s="6"/>
      <c r="V54" s="6"/>
      <c r="W54" s="6"/>
      <c r="X54" s="6"/>
      <c r="Y54" s="6"/>
      <c r="Z54" s="6"/>
      <c r="AA54" s="6"/>
    </row>
    <row r="55" spans="1:27" ht="15" customHeight="1" x14ac:dyDescent="0.25">
      <c r="A55" s="121"/>
      <c r="B55" s="150"/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2"/>
      <c r="O55" s="144"/>
      <c r="P55" s="145"/>
      <c r="Q55" s="146"/>
      <c r="R55" s="34"/>
      <c r="S55" s="62"/>
      <c r="T55" s="6"/>
      <c r="U55" s="6"/>
      <c r="V55" s="6"/>
      <c r="W55" s="6"/>
      <c r="X55" s="6"/>
      <c r="Y55" s="6"/>
      <c r="Z55" s="6"/>
      <c r="AA55" s="6"/>
    </row>
    <row r="56" spans="1:27" ht="15" customHeight="1" x14ac:dyDescent="0.25">
      <c r="A56" s="121"/>
      <c r="B56" s="150"/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2"/>
      <c r="O56" s="144"/>
      <c r="P56" s="145"/>
      <c r="Q56" s="146"/>
      <c r="R56" s="34"/>
      <c r="S56" s="62"/>
      <c r="T56" s="6"/>
      <c r="U56" s="6"/>
      <c r="V56" s="6"/>
      <c r="W56" s="6"/>
      <c r="X56" s="6"/>
      <c r="Y56" s="6"/>
      <c r="Z56" s="6"/>
      <c r="AA56" s="6"/>
    </row>
    <row r="57" spans="1:27" ht="15" customHeight="1" x14ac:dyDescent="0.25">
      <c r="A57" s="121"/>
      <c r="B57" s="150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2"/>
      <c r="O57" s="144"/>
      <c r="P57" s="145"/>
      <c r="Q57" s="146"/>
      <c r="R57" s="34"/>
      <c r="S57" s="62"/>
      <c r="T57" s="6"/>
      <c r="U57" s="6"/>
      <c r="V57" s="6"/>
      <c r="W57" s="6"/>
      <c r="X57" s="6"/>
      <c r="Y57" s="6"/>
      <c r="Z57" s="6"/>
      <c r="AA57" s="6"/>
    </row>
    <row r="58" spans="1:27" ht="15" customHeight="1" x14ac:dyDescent="0.25">
      <c r="A58" s="121"/>
      <c r="B58" s="150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2"/>
      <c r="O58" s="144"/>
      <c r="P58" s="145"/>
      <c r="Q58" s="146"/>
      <c r="R58" s="34"/>
      <c r="S58" s="62"/>
      <c r="T58" s="6"/>
      <c r="U58" s="6"/>
      <c r="V58" s="6"/>
      <c r="W58" s="6"/>
      <c r="X58" s="6"/>
      <c r="Y58" s="6"/>
      <c r="Z58" s="6"/>
      <c r="AA58" s="6"/>
    </row>
    <row r="59" spans="1:27" ht="15" customHeight="1" x14ac:dyDescent="0.25">
      <c r="A59" s="121"/>
      <c r="B59" s="150"/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2"/>
      <c r="O59" s="144"/>
      <c r="P59" s="145"/>
      <c r="Q59" s="146"/>
      <c r="R59" s="34"/>
      <c r="S59" s="62"/>
      <c r="T59" s="6"/>
      <c r="U59" s="6"/>
      <c r="V59" s="6"/>
      <c r="W59" s="6"/>
      <c r="X59" s="6"/>
      <c r="Y59" s="6"/>
      <c r="Z59" s="6"/>
      <c r="AA59" s="6"/>
    </row>
    <row r="60" spans="1:27" ht="15" customHeight="1" thickBot="1" x14ac:dyDescent="0.3">
      <c r="A60" s="121"/>
      <c r="B60" s="150"/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2"/>
      <c r="O60" s="123"/>
      <c r="P60" s="124"/>
      <c r="Q60" s="125"/>
      <c r="R60" s="34"/>
      <c r="S60" s="62"/>
      <c r="T60" s="6"/>
      <c r="U60" s="6"/>
      <c r="V60" s="6"/>
      <c r="W60" s="6"/>
      <c r="X60" s="6"/>
      <c r="Y60" s="6"/>
      <c r="Z60" s="6"/>
      <c r="AA60" s="6"/>
    </row>
    <row r="61" spans="1:27" ht="15.75" customHeight="1" thickBot="1" x14ac:dyDescent="0.3">
      <c r="A61" s="121"/>
      <c r="B61" s="153"/>
      <c r="C61" s="154"/>
      <c r="D61" s="154"/>
      <c r="E61" s="154"/>
      <c r="F61" s="154"/>
      <c r="G61" s="154"/>
      <c r="H61" s="154"/>
      <c r="I61" s="154"/>
      <c r="J61" s="154"/>
      <c r="K61" s="154"/>
      <c r="L61" s="154"/>
      <c r="M61" s="154"/>
      <c r="N61" s="155"/>
      <c r="O61" s="126" t="s">
        <v>16</v>
      </c>
      <c r="P61" s="127"/>
      <c r="Q61" s="128"/>
      <c r="R61" s="35">
        <f>SUM(R54:R60)</f>
        <v>0</v>
      </c>
      <c r="S61" s="63"/>
      <c r="T61" s="6"/>
      <c r="U61" s="6"/>
      <c r="V61" s="6"/>
      <c r="W61" s="6"/>
      <c r="X61" s="6"/>
      <c r="Y61" s="6"/>
      <c r="Z61" s="6"/>
      <c r="AA61" s="6"/>
    </row>
    <row r="62" spans="1:27" ht="15.75" thickBot="1" x14ac:dyDescent="0.3">
      <c r="A62" s="121"/>
    </row>
    <row r="63" spans="1:27" ht="51.75" customHeight="1" thickBot="1" x14ac:dyDescent="0.3">
      <c r="A63" s="122"/>
      <c r="B63" s="129" t="s">
        <v>18</v>
      </c>
      <c r="C63" s="130"/>
      <c r="D63" s="130"/>
      <c r="E63" s="130"/>
      <c r="F63" s="130"/>
      <c r="G63" s="130"/>
      <c r="H63" s="130"/>
      <c r="I63" s="130"/>
      <c r="J63" s="130"/>
      <c r="K63" s="130"/>
      <c r="L63" s="131"/>
      <c r="M63" s="98"/>
      <c r="N63" s="97" t="s">
        <v>16</v>
      </c>
      <c r="O63" s="132">
        <f>O51-SUM(R54:R60)</f>
        <v>804594</v>
      </c>
      <c r="P63" s="133"/>
      <c r="Q63" s="133"/>
      <c r="R63" s="133"/>
      <c r="S63" s="133"/>
      <c r="T63" s="133"/>
      <c r="U63" s="134"/>
      <c r="V63" s="72"/>
      <c r="W63" s="72"/>
      <c r="X63" s="72"/>
      <c r="Y63" s="72"/>
      <c r="Z63" s="72"/>
      <c r="AA63" s="72"/>
    </row>
    <row r="64" spans="1:27" ht="15.75" customHeight="1" x14ac:dyDescent="0.25">
      <c r="A64" s="30"/>
      <c r="P64" s="28"/>
      <c r="Q64" s="28"/>
      <c r="R64" s="28"/>
      <c r="S64" s="28"/>
      <c r="U64" s="100"/>
      <c r="V64" s="100"/>
      <c r="W64" s="100"/>
      <c r="X64" s="100"/>
      <c r="Y64" s="100"/>
      <c r="Z64" s="100"/>
      <c r="AA64" s="100"/>
    </row>
    <row r="65" spans="1:27" ht="15" customHeight="1" x14ac:dyDescent="0.25">
      <c r="A65" s="30"/>
      <c r="P65" s="28"/>
      <c r="Q65" s="28"/>
      <c r="R65" s="28"/>
      <c r="S65" s="28"/>
      <c r="U65" s="7"/>
      <c r="V65" s="7"/>
      <c r="W65" s="7"/>
      <c r="X65" s="7"/>
      <c r="Y65" s="7"/>
      <c r="Z65" s="7"/>
      <c r="AA65" s="7"/>
    </row>
    <row r="66" spans="1:27" ht="15" customHeight="1" x14ac:dyDescent="0.25">
      <c r="P66" s="28"/>
      <c r="Q66" s="28"/>
      <c r="R66" s="28"/>
      <c r="S66" s="28"/>
      <c r="U66" s="7"/>
      <c r="V66" s="7"/>
      <c r="W66" s="7"/>
      <c r="X66" s="7"/>
      <c r="Y66" s="7"/>
      <c r="Z66" s="7"/>
      <c r="AA66" s="7"/>
    </row>
    <row r="67" spans="1:27" ht="15" customHeight="1" x14ac:dyDescent="0.25">
      <c r="P67" s="28"/>
      <c r="Q67" s="28"/>
      <c r="R67" s="28"/>
      <c r="S67" s="28"/>
      <c r="U67" s="7"/>
      <c r="V67" s="7"/>
      <c r="W67" s="7"/>
      <c r="X67" s="7"/>
      <c r="Y67" s="7"/>
      <c r="Z67" s="7"/>
      <c r="AA67" s="7"/>
    </row>
    <row r="68" spans="1:27" ht="15" customHeight="1" x14ac:dyDescent="0.25">
      <c r="P68" s="28"/>
      <c r="Q68" s="28"/>
      <c r="R68" s="28"/>
      <c r="S68" s="28"/>
      <c r="U68" s="7"/>
      <c r="V68" s="7"/>
      <c r="W68" s="7"/>
      <c r="X68" s="7"/>
      <c r="Y68" s="7"/>
      <c r="Z68" s="7"/>
      <c r="AA68" s="7"/>
    </row>
    <row r="69" spans="1:27" ht="15" customHeight="1" x14ac:dyDescent="0.25">
      <c r="P69" s="28"/>
      <c r="Q69" s="28"/>
      <c r="R69" s="28"/>
      <c r="S69" s="28"/>
      <c r="U69" s="7"/>
      <c r="V69" s="7"/>
      <c r="W69" s="7"/>
      <c r="X69" s="7"/>
      <c r="Y69" s="7"/>
      <c r="Z69" s="7"/>
      <c r="AA69" s="7"/>
    </row>
    <row r="70" spans="1:27" ht="15" customHeight="1" x14ac:dyDescent="0.25">
      <c r="P70" s="28"/>
      <c r="Q70" s="28"/>
      <c r="R70" s="28"/>
      <c r="S70" s="28"/>
      <c r="U70" s="7"/>
      <c r="V70" s="7"/>
      <c r="W70" s="7"/>
      <c r="X70" s="7"/>
      <c r="Y70" s="7"/>
      <c r="Z70" s="7"/>
      <c r="AA70" s="7"/>
    </row>
    <row r="71" spans="1:27" ht="15" customHeight="1" x14ac:dyDescent="0.25">
      <c r="P71" s="28"/>
      <c r="Q71" s="28"/>
      <c r="R71" s="28"/>
      <c r="S71" s="28"/>
      <c r="U71" s="7"/>
      <c r="V71" s="7"/>
      <c r="W71" s="7"/>
      <c r="X71" s="7"/>
      <c r="Y71" s="7"/>
      <c r="Z71" s="7"/>
      <c r="AA71" s="7"/>
    </row>
    <row r="72" spans="1:27" ht="15.75" customHeight="1" x14ac:dyDescent="0.25">
      <c r="P72" s="28"/>
      <c r="Q72" s="28"/>
      <c r="R72" s="28"/>
      <c r="S72" s="28"/>
      <c r="U72" s="7"/>
      <c r="V72" s="7"/>
      <c r="W72" s="7"/>
      <c r="X72" s="7"/>
      <c r="Y72" s="7"/>
      <c r="Z72" s="7"/>
      <c r="AA72" s="7"/>
    </row>
  </sheetData>
  <mergeCells count="24">
    <mergeCell ref="B2:N2"/>
    <mergeCell ref="O2:AA2"/>
    <mergeCell ref="A5:A32"/>
    <mergeCell ref="A37:A63"/>
    <mergeCell ref="B37:M40"/>
    <mergeCell ref="B42:M44"/>
    <mergeCell ref="B46:M47"/>
    <mergeCell ref="O47:AA47"/>
    <mergeCell ref="B48:M49"/>
    <mergeCell ref="O49:AA49"/>
    <mergeCell ref="O60:Q60"/>
    <mergeCell ref="O61:Q61"/>
    <mergeCell ref="B63:L63"/>
    <mergeCell ref="O63:U63"/>
    <mergeCell ref="B50:M51"/>
    <mergeCell ref="O51:AA51"/>
    <mergeCell ref="B53:N61"/>
    <mergeCell ref="O53:Q53"/>
    <mergeCell ref="O54:Q54"/>
    <mergeCell ref="O55:Q55"/>
    <mergeCell ref="O56:Q56"/>
    <mergeCell ref="O57:Q57"/>
    <mergeCell ref="O58:Q58"/>
    <mergeCell ref="O59:Q59"/>
  </mergeCells>
  <conditionalFormatting sqref="AB5:AB34">
    <cfRule type="cellIs" dxfId="5" priority="1" operator="lessThan">
      <formula>20</formula>
    </cfRule>
    <cfRule type="cellIs" dxfId="4" priority="2" operator="between">
      <formula>20</formula>
      <formula>29</formula>
    </cfRule>
    <cfRule type="cellIs" dxfId="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E6E12-CCA4-475A-9BEF-0E4597D0DB76}">
  <sheetPr codeName="Hoja3">
    <pageSetUpPr autoPageBreaks="0"/>
  </sheetPr>
  <dimension ref="A1:AB59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6" sqref="J6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17" t="s">
        <v>38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9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6"/>
    </row>
    <row r="3" spans="1:28" s="1" customFormat="1" ht="15.75" thickBot="1" x14ac:dyDescent="0.3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6" t="s">
        <v>112</v>
      </c>
      <c r="Y3" s="86" t="s">
        <v>171</v>
      </c>
      <c r="Z3" s="86" t="s">
        <v>188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8" t="s">
        <v>70</v>
      </c>
      <c r="R4" s="68" t="s">
        <v>33</v>
      </c>
      <c r="S4" s="68" t="s">
        <v>21</v>
      </c>
      <c r="T4" s="74" t="s">
        <v>77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ht="14.65" customHeight="1" outlineLevel="1" x14ac:dyDescent="0.25">
      <c r="A5" s="159" t="s">
        <v>39</v>
      </c>
      <c r="B5" s="87" t="s">
        <v>114</v>
      </c>
      <c r="C5" s="88" t="s">
        <v>185</v>
      </c>
      <c r="D5" s="163" t="s">
        <v>207</v>
      </c>
      <c r="E5" s="163" t="s">
        <v>46</v>
      </c>
      <c r="F5" s="163" t="s">
        <v>87</v>
      </c>
      <c r="G5" s="163" t="s">
        <v>110</v>
      </c>
      <c r="H5" s="163" t="s">
        <v>41</v>
      </c>
      <c r="I5" s="164">
        <v>0</v>
      </c>
      <c r="J5" s="26" t="s">
        <v>138</v>
      </c>
      <c r="K5" s="26"/>
      <c r="L5" s="49"/>
      <c r="M5" s="49"/>
      <c r="N5" s="165">
        <f>SUMPRODUCT(Tabla5234[[#This Row],[Paltas]:[Empanadas]],O$31:Z$31)</f>
        <v>439500</v>
      </c>
      <c r="O5" s="49">
        <v>1</v>
      </c>
      <c r="P5" s="49">
        <v>0</v>
      </c>
      <c r="Q5" s="49">
        <v>2</v>
      </c>
      <c r="R5" s="49">
        <v>2</v>
      </c>
      <c r="S5" s="49">
        <v>0</v>
      </c>
      <c r="T5" s="49">
        <v>0</v>
      </c>
      <c r="U5" s="49">
        <v>1</v>
      </c>
      <c r="V5" s="49">
        <v>0</v>
      </c>
      <c r="W5" s="49">
        <v>0</v>
      </c>
      <c r="X5" s="49">
        <v>43</v>
      </c>
      <c r="Y5" s="49">
        <v>0</v>
      </c>
      <c r="Z5" s="49">
        <v>0</v>
      </c>
      <c r="AA5" s="49">
        <f>SUM(Tabla5234[[#This Row],[Paltas]:[Empanadas]])</f>
        <v>49</v>
      </c>
      <c r="AB5" s="57"/>
    </row>
    <row r="6" spans="1:28" outlineLevel="1" x14ac:dyDescent="0.25">
      <c r="A6" s="160"/>
      <c r="B6" s="50" t="s">
        <v>159</v>
      </c>
      <c r="C6" s="48" t="s">
        <v>162</v>
      </c>
      <c r="D6" s="59" t="s">
        <v>163</v>
      </c>
      <c r="E6" s="59" t="s">
        <v>135</v>
      </c>
      <c r="F6" s="59" t="s">
        <v>151</v>
      </c>
      <c r="G6" s="59" t="s">
        <v>45</v>
      </c>
      <c r="H6" s="59" t="s">
        <v>41</v>
      </c>
      <c r="I6" s="60">
        <v>56979312762</v>
      </c>
      <c r="J6" s="27" t="s">
        <v>164</v>
      </c>
      <c r="K6" s="27" t="s">
        <v>48</v>
      </c>
      <c r="L6" s="52"/>
      <c r="M6" s="52"/>
      <c r="N6" s="70">
        <f>SUMPRODUCT(Tabla5234[[#This Row],[Paltas]:[Empanadas]],O$31:Z$31)</f>
        <v>430000</v>
      </c>
      <c r="O6" s="52">
        <v>1</v>
      </c>
      <c r="P6" s="52">
        <v>1</v>
      </c>
      <c r="Q6" s="52">
        <v>0</v>
      </c>
      <c r="R6" s="52">
        <v>1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38</v>
      </c>
      <c r="Y6" s="52">
        <v>0</v>
      </c>
      <c r="Z6" s="52">
        <v>3</v>
      </c>
      <c r="AA6" s="52">
        <f>SUM(Tabla5234[[#This Row],[Paltas]:[Empanadas]])</f>
        <v>44</v>
      </c>
      <c r="AB6" s="58"/>
    </row>
    <row r="7" spans="1:28" outlineLevel="1" x14ac:dyDescent="0.25">
      <c r="A7" s="160"/>
      <c r="B7" s="50" t="s">
        <v>122</v>
      </c>
      <c r="C7" s="48" t="s">
        <v>143</v>
      </c>
      <c r="D7" s="59" t="s">
        <v>160</v>
      </c>
      <c r="E7" s="59" t="s">
        <v>40</v>
      </c>
      <c r="F7" s="59" t="s">
        <v>49</v>
      </c>
      <c r="G7" s="59" t="s">
        <v>45</v>
      </c>
      <c r="H7" s="59" t="s">
        <v>41</v>
      </c>
      <c r="I7" s="60">
        <v>56997594184</v>
      </c>
      <c r="J7" s="27" t="s">
        <v>161</v>
      </c>
      <c r="K7" s="27" t="s">
        <v>48</v>
      </c>
      <c r="L7" s="52"/>
      <c r="M7" s="52"/>
      <c r="N7" s="70">
        <f>SUMPRODUCT(Tabla5234[[#This Row],[Paltas]:[Empanadas]],O$31:Z$31)</f>
        <v>153000</v>
      </c>
      <c r="O7" s="52">
        <v>17</v>
      </c>
      <c r="P7" s="52">
        <v>0</v>
      </c>
      <c r="Q7" s="52">
        <v>17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f>SUM(Tabla5234[[#This Row],[Paltas]:[Empanadas]])</f>
        <v>34</v>
      </c>
      <c r="AB7" s="58"/>
    </row>
    <row r="8" spans="1:28" outlineLevel="1" x14ac:dyDescent="0.25">
      <c r="A8" s="160"/>
      <c r="B8" s="50" t="s">
        <v>150</v>
      </c>
      <c r="C8" s="48" t="s">
        <v>204</v>
      </c>
      <c r="D8" s="59" t="s">
        <v>205</v>
      </c>
      <c r="E8" s="59" t="s">
        <v>40</v>
      </c>
      <c r="F8" s="59" t="s">
        <v>49</v>
      </c>
      <c r="G8" s="59" t="s">
        <v>113</v>
      </c>
      <c r="H8" s="59" t="s">
        <v>41</v>
      </c>
      <c r="I8" s="60">
        <v>56976994719</v>
      </c>
      <c r="J8" s="27" t="s">
        <v>206</v>
      </c>
      <c r="K8" s="27" t="s">
        <v>48</v>
      </c>
      <c r="L8" s="52"/>
      <c r="M8" s="52"/>
      <c r="N8" s="70">
        <f>SUMPRODUCT(Tabla5234[[#This Row],[Paltas]:[Empanadas]],O$31:Z$31)</f>
        <v>195500</v>
      </c>
      <c r="O8" s="52">
        <f>5+4</f>
        <v>9</v>
      </c>
      <c r="P8" s="52">
        <v>2</v>
      </c>
      <c r="Q8" s="52">
        <v>4</v>
      </c>
      <c r="R8" s="52">
        <v>3</v>
      </c>
      <c r="S8" s="52">
        <v>0</v>
      </c>
      <c r="T8" s="52">
        <v>0</v>
      </c>
      <c r="U8" s="52">
        <v>1</v>
      </c>
      <c r="V8" s="52">
        <v>1</v>
      </c>
      <c r="W8" s="52">
        <v>1</v>
      </c>
      <c r="X8" s="52">
        <f>6+2</f>
        <v>8</v>
      </c>
      <c r="Y8" s="52">
        <v>2</v>
      </c>
      <c r="Z8" s="52">
        <v>0</v>
      </c>
      <c r="AA8" s="52">
        <f>SUM(Tabla5234[[#This Row],[Paltas]:[Empanadas]])</f>
        <v>31</v>
      </c>
      <c r="AB8" s="58"/>
    </row>
    <row r="9" spans="1:28" outlineLevel="1" x14ac:dyDescent="0.25">
      <c r="A9" s="160"/>
      <c r="B9" s="50" t="s">
        <v>136</v>
      </c>
      <c r="C9" s="48" t="s">
        <v>137</v>
      </c>
      <c r="D9" s="59" t="s">
        <v>172</v>
      </c>
      <c r="E9" s="59" t="s">
        <v>40</v>
      </c>
      <c r="F9" s="59" t="s">
        <v>75</v>
      </c>
      <c r="G9" s="59" t="s">
        <v>113</v>
      </c>
      <c r="H9" s="59" t="s">
        <v>41</v>
      </c>
      <c r="I9" s="60">
        <v>56992704205</v>
      </c>
      <c r="J9" s="27" t="s">
        <v>173</v>
      </c>
      <c r="K9" s="27" t="s">
        <v>54</v>
      </c>
      <c r="L9" s="52"/>
      <c r="M9" s="52"/>
      <c r="N9" s="70">
        <f>SUMPRODUCT(Tabla5234[[#This Row],[Paltas]:[Empanadas]],O$31:Z$31)</f>
        <v>285000</v>
      </c>
      <c r="O9" s="52">
        <v>0</v>
      </c>
      <c r="P9" s="52">
        <v>0</v>
      </c>
      <c r="Q9" s="52">
        <v>0</v>
      </c>
      <c r="R9" s="52">
        <v>0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30</v>
      </c>
      <c r="Y9" s="52">
        <v>0</v>
      </c>
      <c r="Z9" s="52">
        <v>0</v>
      </c>
      <c r="AA9" s="52">
        <f>SUM(Tabla5234[[#This Row],[Paltas]:[Empanadas]])</f>
        <v>30</v>
      </c>
      <c r="AB9" s="58"/>
    </row>
    <row r="10" spans="1:28" outlineLevel="1" x14ac:dyDescent="0.25">
      <c r="A10" s="160"/>
      <c r="B10" s="56" t="s">
        <v>196</v>
      </c>
      <c r="C10" s="47" t="s">
        <v>197</v>
      </c>
      <c r="D10" s="47" t="s">
        <v>198</v>
      </c>
      <c r="E10" s="47" t="s">
        <v>135</v>
      </c>
      <c r="F10" s="47" t="s">
        <v>190</v>
      </c>
      <c r="G10" s="47" t="s">
        <v>199</v>
      </c>
      <c r="H10" s="47" t="s">
        <v>41</v>
      </c>
      <c r="I10" s="53">
        <v>56979987750</v>
      </c>
      <c r="J10" s="27" t="s">
        <v>200</v>
      </c>
      <c r="K10" s="27" t="s">
        <v>48</v>
      </c>
      <c r="L10" s="52"/>
      <c r="M10" s="52"/>
      <c r="N10" s="47">
        <f>SUMPRODUCT(Tabla5234[[#This Row],[Paltas]:[Empanadas]],O$31:Z$31)</f>
        <v>285000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30</v>
      </c>
      <c r="Y10" s="52">
        <v>0</v>
      </c>
      <c r="Z10" s="52">
        <v>0</v>
      </c>
      <c r="AA10" s="52">
        <f>SUM(Tabla5234[[#This Row],[Paltas]:[Empanadas]])</f>
        <v>30</v>
      </c>
      <c r="AB10" s="58"/>
    </row>
    <row r="11" spans="1:28" outlineLevel="1" x14ac:dyDescent="0.25">
      <c r="A11" s="160"/>
      <c r="B11" s="50" t="s">
        <v>186</v>
      </c>
      <c r="C11" s="48" t="s">
        <v>128</v>
      </c>
      <c r="D11" s="59" t="s">
        <v>187</v>
      </c>
      <c r="E11" s="59" t="s">
        <v>46</v>
      </c>
      <c r="F11" s="59" t="s">
        <v>87</v>
      </c>
      <c r="G11" s="59">
        <v>0</v>
      </c>
      <c r="H11" s="59" t="s">
        <v>41</v>
      </c>
      <c r="I11" s="60">
        <v>0</v>
      </c>
      <c r="J11" s="27" t="s">
        <v>138</v>
      </c>
      <c r="K11" s="27">
        <v>0</v>
      </c>
      <c r="L11" s="52"/>
      <c r="M11" s="52"/>
      <c r="N11" s="70">
        <f>SUMPRODUCT(Tabla5234[[#This Row],[Paltas]:[Empanadas]],O$31:Z$31)</f>
        <v>330500</v>
      </c>
      <c r="O11" s="52">
        <v>2</v>
      </c>
      <c r="P11" s="52">
        <v>2</v>
      </c>
      <c r="Q11" s="52">
        <f>2+1</f>
        <v>3</v>
      </c>
      <c r="R11" s="52">
        <v>0</v>
      </c>
      <c r="S11" s="52">
        <v>0</v>
      </c>
      <c r="T11" s="52">
        <v>1</v>
      </c>
      <c r="U11" s="52">
        <v>0</v>
      </c>
      <c r="V11" s="52">
        <v>0</v>
      </c>
      <c r="W11" s="52">
        <v>0</v>
      </c>
      <c r="X11" s="52">
        <v>5</v>
      </c>
      <c r="Y11" s="52">
        <f>2+1</f>
        <v>3</v>
      </c>
      <c r="Z11" s="52">
        <v>13</v>
      </c>
      <c r="AA11" s="52">
        <f>SUM(Tabla5234[[#This Row],[Paltas]:[Empanadas]])</f>
        <v>29</v>
      </c>
      <c r="AB11" s="58"/>
    </row>
    <row r="12" spans="1:28" outlineLevel="1" x14ac:dyDescent="0.25">
      <c r="A12" s="160"/>
      <c r="B12" s="50" t="s">
        <v>103</v>
      </c>
      <c r="C12" s="48" t="s">
        <v>104</v>
      </c>
      <c r="D12" s="59" t="s">
        <v>106</v>
      </c>
      <c r="E12" s="59" t="s">
        <v>46</v>
      </c>
      <c r="F12" s="59" t="s">
        <v>87</v>
      </c>
      <c r="G12" s="59" t="s">
        <v>45</v>
      </c>
      <c r="H12" s="59" t="s">
        <v>41</v>
      </c>
      <c r="I12" s="60">
        <v>56997792386</v>
      </c>
      <c r="J12" s="27" t="s">
        <v>105</v>
      </c>
      <c r="K12" s="27" t="s">
        <v>48</v>
      </c>
      <c r="L12" s="52"/>
      <c r="M12" s="52"/>
      <c r="N12" s="70">
        <f>SUMPRODUCT(Tabla5234[[#This Row],[Paltas]:[Empanadas]],O$31:Z$31)</f>
        <v>165500</v>
      </c>
      <c r="O12" s="52">
        <v>2</v>
      </c>
      <c r="P12" s="52">
        <v>0</v>
      </c>
      <c r="Q12" s="52">
        <v>2</v>
      </c>
      <c r="R12" s="52">
        <v>2</v>
      </c>
      <c r="S12" s="52">
        <v>0</v>
      </c>
      <c r="T12" s="52">
        <v>1</v>
      </c>
      <c r="U12" s="52">
        <v>2</v>
      </c>
      <c r="V12" s="52">
        <v>2</v>
      </c>
      <c r="W12" s="52">
        <v>1</v>
      </c>
      <c r="X12" s="52">
        <f>7+2</f>
        <v>9</v>
      </c>
      <c r="Y12" s="52">
        <v>2</v>
      </c>
      <c r="Z12" s="52">
        <v>0</v>
      </c>
      <c r="AA12" s="52">
        <f>SUM(Tabla5234[[#This Row],[Paltas]:[Empanadas]])</f>
        <v>23</v>
      </c>
      <c r="AB12" s="58"/>
    </row>
    <row r="13" spans="1:28" outlineLevel="1" x14ac:dyDescent="0.25">
      <c r="A13" s="160"/>
      <c r="B13" s="50" t="s">
        <v>150</v>
      </c>
      <c r="C13" s="48" t="s">
        <v>165</v>
      </c>
      <c r="D13" s="59" t="s">
        <v>201</v>
      </c>
      <c r="E13" s="59" t="s">
        <v>43</v>
      </c>
      <c r="F13" s="59" t="s">
        <v>47</v>
      </c>
      <c r="G13" s="59" t="s">
        <v>167</v>
      </c>
      <c r="H13" s="59" t="s">
        <v>41</v>
      </c>
      <c r="I13" s="60">
        <v>56999194650</v>
      </c>
      <c r="J13" s="27" t="s">
        <v>168</v>
      </c>
      <c r="K13" s="27" t="s">
        <v>42</v>
      </c>
      <c r="L13" s="52"/>
      <c r="M13" s="52"/>
      <c r="N13" s="70">
        <f>SUMPRODUCT(Tabla5234[[#This Row],[Paltas]:[Empanadas]],O$31:Z$31)</f>
        <v>190500</v>
      </c>
      <c r="O13" s="52">
        <v>2</v>
      </c>
      <c r="P13" s="52">
        <v>1</v>
      </c>
      <c r="Q13" s="52">
        <v>1</v>
      </c>
      <c r="R13" s="52">
        <v>1</v>
      </c>
      <c r="S13" s="52">
        <v>0</v>
      </c>
      <c r="T13" s="52">
        <v>0</v>
      </c>
      <c r="U13" s="52">
        <v>0</v>
      </c>
      <c r="V13" s="52">
        <v>0</v>
      </c>
      <c r="W13" s="52">
        <v>1</v>
      </c>
      <c r="X13" s="52">
        <v>0</v>
      </c>
      <c r="Y13" s="52">
        <v>0</v>
      </c>
      <c r="Z13" s="52">
        <v>9</v>
      </c>
      <c r="AA13" s="52">
        <f>SUM(Tabla5234[[#This Row],[Paltas]:[Empanadas]])</f>
        <v>15</v>
      </c>
      <c r="AB13" s="58"/>
    </row>
    <row r="14" spans="1:28" outlineLevel="1" x14ac:dyDescent="0.25">
      <c r="A14" s="160"/>
      <c r="B14" s="50" t="s">
        <v>202</v>
      </c>
      <c r="C14" s="48" t="s">
        <v>203</v>
      </c>
      <c r="D14" s="59">
        <v>0</v>
      </c>
      <c r="E14" s="59">
        <v>0</v>
      </c>
      <c r="F14" s="59">
        <v>0</v>
      </c>
      <c r="G14" s="59">
        <v>0</v>
      </c>
      <c r="H14" s="59">
        <v>0</v>
      </c>
      <c r="I14" s="60">
        <v>0</v>
      </c>
      <c r="J14" s="27" t="s">
        <v>138</v>
      </c>
      <c r="K14" s="27">
        <v>0</v>
      </c>
      <c r="L14" s="52"/>
      <c r="M14" s="52"/>
      <c r="N14" s="70">
        <f>SUMPRODUCT(Tabla5234[[#This Row],[Paltas]:[Empanadas]],O$31:Z$31)</f>
        <v>76000</v>
      </c>
      <c r="O14" s="52">
        <v>1</v>
      </c>
      <c r="P14" s="52">
        <v>2</v>
      </c>
      <c r="Q14" s="52">
        <v>0</v>
      </c>
      <c r="R14" s="52">
        <v>1</v>
      </c>
      <c r="S14" s="52">
        <v>0</v>
      </c>
      <c r="T14" s="52">
        <v>0</v>
      </c>
      <c r="U14" s="52">
        <v>1</v>
      </c>
      <c r="V14" s="52">
        <v>0</v>
      </c>
      <c r="W14" s="52">
        <v>2</v>
      </c>
      <c r="X14" s="52">
        <v>3</v>
      </c>
      <c r="Y14" s="52">
        <v>0</v>
      </c>
      <c r="Z14" s="52">
        <v>0</v>
      </c>
      <c r="AA14" s="52">
        <f>SUM(Tabla5234[[#This Row],[Paltas]:[Empanadas]])</f>
        <v>10</v>
      </c>
      <c r="AB14" s="58"/>
    </row>
    <row r="15" spans="1:28" outlineLevel="1" x14ac:dyDescent="0.25">
      <c r="A15" s="160"/>
      <c r="B15" s="56" t="s">
        <v>55</v>
      </c>
      <c r="C15" s="47" t="s">
        <v>56</v>
      </c>
      <c r="D15" s="47" t="s">
        <v>57</v>
      </c>
      <c r="E15" s="47" t="s">
        <v>40</v>
      </c>
      <c r="F15" s="47" t="s">
        <v>49</v>
      </c>
      <c r="G15" s="47" t="s">
        <v>45</v>
      </c>
      <c r="H15" s="47" t="s">
        <v>41</v>
      </c>
      <c r="I15" s="53">
        <v>56967898535</v>
      </c>
      <c r="J15" s="27" t="s">
        <v>58</v>
      </c>
      <c r="K15" s="27" t="s">
        <v>54</v>
      </c>
      <c r="L15" s="52"/>
      <c r="M15" s="52"/>
      <c r="N15" s="47">
        <f>SUMPRODUCT(Tabla5234[[#This Row],[Paltas]:[Empanadas]],O$31:Z$31)</f>
        <v>56000</v>
      </c>
      <c r="O15" s="52">
        <v>3</v>
      </c>
      <c r="P15" s="52">
        <v>0</v>
      </c>
      <c r="Q15" s="52">
        <v>1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4</v>
      </c>
      <c r="Y15" s="52">
        <v>0</v>
      </c>
      <c r="Z15" s="52">
        <v>0</v>
      </c>
      <c r="AA15" s="52">
        <f>SUM(Tabla5234[[#This Row],[Paltas]:[Empanadas]])</f>
        <v>8</v>
      </c>
      <c r="AB15" s="58"/>
    </row>
    <row r="16" spans="1:28" outlineLevel="1" x14ac:dyDescent="0.25">
      <c r="A16" s="160"/>
      <c r="B16" s="50" t="s">
        <v>169</v>
      </c>
      <c r="C16" s="48" t="s">
        <v>170</v>
      </c>
      <c r="D16" s="59" t="s">
        <v>174</v>
      </c>
      <c r="E16" s="59" t="s">
        <v>46</v>
      </c>
      <c r="F16" s="59" t="s">
        <v>87</v>
      </c>
      <c r="G16" s="59" t="s">
        <v>45</v>
      </c>
      <c r="H16" s="59" t="s">
        <v>41</v>
      </c>
      <c r="I16" s="60">
        <v>56966685970</v>
      </c>
      <c r="J16" s="27" t="s">
        <v>175</v>
      </c>
      <c r="K16" s="27" t="s">
        <v>42</v>
      </c>
      <c r="L16" s="52"/>
      <c r="M16" s="52"/>
      <c r="N16" s="70">
        <f>SUMPRODUCT(Tabla5234[[#This Row],[Paltas]:[Empanadas]],O$31:Z$31)</f>
        <v>50000</v>
      </c>
      <c r="O16" s="52">
        <v>0</v>
      </c>
      <c r="P16" s="52">
        <v>1</v>
      </c>
      <c r="Q16" s="52">
        <f>0+2</f>
        <v>2</v>
      </c>
      <c r="R16" s="52">
        <v>0</v>
      </c>
      <c r="S16" s="52">
        <v>1</v>
      </c>
      <c r="T16" s="52">
        <v>1</v>
      </c>
      <c r="U16" s="52">
        <v>0</v>
      </c>
      <c r="V16" s="52">
        <v>0</v>
      </c>
      <c r="W16" s="52">
        <v>0</v>
      </c>
      <c r="X16" s="52">
        <f>1+1</f>
        <v>2</v>
      </c>
      <c r="Y16" s="52">
        <v>1</v>
      </c>
      <c r="Z16" s="52">
        <v>0</v>
      </c>
      <c r="AA16" s="52">
        <f>SUM(Tabla5234[[#This Row],[Paltas]:[Empanadas]])</f>
        <v>8</v>
      </c>
      <c r="AB16" s="58"/>
    </row>
    <row r="17" spans="1:28" outlineLevel="1" x14ac:dyDescent="0.25">
      <c r="A17" s="160"/>
      <c r="B17" s="56" t="s">
        <v>122</v>
      </c>
      <c r="C17" s="47" t="s">
        <v>123</v>
      </c>
      <c r="D17" s="47" t="s">
        <v>124</v>
      </c>
      <c r="E17" s="47" t="s">
        <v>40</v>
      </c>
      <c r="F17" s="47" t="s">
        <v>49</v>
      </c>
      <c r="G17" s="47" t="s">
        <v>125</v>
      </c>
      <c r="H17" s="47" t="s">
        <v>41</v>
      </c>
      <c r="I17" s="53">
        <v>56968320616</v>
      </c>
      <c r="J17" s="27" t="s">
        <v>126</v>
      </c>
      <c r="K17" s="27" t="s">
        <v>54</v>
      </c>
      <c r="L17" s="52"/>
      <c r="M17" s="52"/>
      <c r="N17" s="47">
        <f>SUMPRODUCT(Tabla5234[[#This Row],[Paltas]:[Empanadas]],O$31:Z$31)</f>
        <v>18000</v>
      </c>
      <c r="O17" s="52">
        <v>0</v>
      </c>
      <c r="P17" s="52">
        <v>0</v>
      </c>
      <c r="Q17" s="52">
        <v>3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1</v>
      </c>
      <c r="Z17" s="52">
        <v>0</v>
      </c>
      <c r="AA17" s="52">
        <f>SUM(Tabla5234[[#This Row],[Paltas]:[Empanadas]])</f>
        <v>4</v>
      </c>
      <c r="AB17" s="58"/>
    </row>
    <row r="18" spans="1:28" outlineLevel="1" x14ac:dyDescent="0.25">
      <c r="A18" s="160"/>
      <c r="B18" s="50" t="s">
        <v>94</v>
      </c>
      <c r="C18" s="48" t="s">
        <v>50</v>
      </c>
      <c r="D18" s="59" t="s">
        <v>95</v>
      </c>
      <c r="E18" s="59" t="s">
        <v>40</v>
      </c>
      <c r="F18" s="59" t="s">
        <v>49</v>
      </c>
      <c r="G18" s="59" t="s">
        <v>51</v>
      </c>
      <c r="H18" s="59" t="s">
        <v>41</v>
      </c>
      <c r="I18" s="60">
        <v>56966640363</v>
      </c>
      <c r="J18" s="27" t="s">
        <v>96</v>
      </c>
      <c r="K18" s="27" t="s">
        <v>48</v>
      </c>
      <c r="L18" s="52"/>
      <c r="M18" s="52"/>
      <c r="N18" s="70">
        <f>SUMPRODUCT(Tabla5234[[#This Row],[Paltas]:[Empanadas]],O$31:Z$31)</f>
        <v>26000</v>
      </c>
      <c r="O18" s="52">
        <v>0</v>
      </c>
      <c r="P18" s="52">
        <v>0</v>
      </c>
      <c r="Q18" s="52">
        <v>1</v>
      </c>
      <c r="R18" s="52">
        <v>0</v>
      </c>
      <c r="S18" s="52">
        <v>0</v>
      </c>
      <c r="T18" s="52">
        <v>0</v>
      </c>
      <c r="U18" s="52">
        <v>0</v>
      </c>
      <c r="V18" s="52">
        <v>0</v>
      </c>
      <c r="W18" s="52">
        <v>1</v>
      </c>
      <c r="X18" s="52">
        <f>0+1</f>
        <v>1</v>
      </c>
      <c r="Y18" s="52">
        <v>1</v>
      </c>
      <c r="Z18" s="52">
        <v>0</v>
      </c>
      <c r="AA18" s="52">
        <f>SUM(Tabla5234[[#This Row],[Paltas]:[Empanadas]])</f>
        <v>4</v>
      </c>
      <c r="AB18" s="58"/>
    </row>
    <row r="19" spans="1:28" outlineLevel="1" x14ac:dyDescent="0.25">
      <c r="A19" s="160"/>
      <c r="B19" s="56" t="s">
        <v>155</v>
      </c>
      <c r="C19" s="47" t="s">
        <v>156</v>
      </c>
      <c r="D19" s="47" t="s">
        <v>157</v>
      </c>
      <c r="E19" s="47" t="s">
        <v>40</v>
      </c>
      <c r="F19" s="47" t="s">
        <v>49</v>
      </c>
      <c r="G19" s="47" t="s">
        <v>53</v>
      </c>
      <c r="H19" s="47" t="s">
        <v>41</v>
      </c>
      <c r="I19" s="53">
        <v>56987143347</v>
      </c>
      <c r="J19" s="27" t="s">
        <v>158</v>
      </c>
      <c r="K19" s="27" t="s">
        <v>48</v>
      </c>
      <c r="L19" s="52"/>
      <c r="M19" s="52"/>
      <c r="N19" s="47">
        <f>SUMPRODUCT(Tabla5234[[#This Row],[Paltas]:[Empanadas]],O$31:Z$31)</f>
        <v>13500</v>
      </c>
      <c r="O19" s="52">
        <v>1</v>
      </c>
      <c r="P19" s="52">
        <v>0</v>
      </c>
      <c r="Q19" s="52">
        <v>1</v>
      </c>
      <c r="R19" s="52">
        <v>1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v>0</v>
      </c>
      <c r="AA19" s="52">
        <f>SUM(Tabla5234[[#This Row],[Paltas]:[Empanadas]])</f>
        <v>3</v>
      </c>
      <c r="AB19" s="58"/>
    </row>
    <row r="20" spans="1:28" outlineLevel="1" x14ac:dyDescent="0.25">
      <c r="A20" s="160"/>
      <c r="B20" s="56" t="s">
        <v>191</v>
      </c>
      <c r="C20" s="47" t="s">
        <v>192</v>
      </c>
      <c r="D20" s="47" t="s">
        <v>193</v>
      </c>
      <c r="E20" s="47" t="s">
        <v>46</v>
      </c>
      <c r="F20" s="47" t="s">
        <v>194</v>
      </c>
      <c r="G20" s="47" t="s">
        <v>53</v>
      </c>
      <c r="H20" s="47" t="s">
        <v>41</v>
      </c>
      <c r="I20" s="53">
        <v>56955324629</v>
      </c>
      <c r="J20" s="27" t="s">
        <v>195</v>
      </c>
      <c r="K20" s="27" t="s">
        <v>48</v>
      </c>
      <c r="L20" s="52"/>
      <c r="M20" s="52"/>
      <c r="N20" s="47">
        <f>SUMPRODUCT(Tabla5234[[#This Row],[Paltas]:[Empanadas]],O$31:Z$31)</f>
        <v>19000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0</v>
      </c>
      <c r="V20" s="52">
        <v>0</v>
      </c>
      <c r="W20" s="52">
        <v>0</v>
      </c>
      <c r="X20" s="52">
        <v>2</v>
      </c>
      <c r="Y20" s="52">
        <v>0</v>
      </c>
      <c r="Z20" s="52">
        <v>0</v>
      </c>
      <c r="AA20" s="52">
        <f>SUM(Tabla5234[[#This Row],[Paltas]:[Empanadas]])</f>
        <v>2</v>
      </c>
      <c r="AB20" s="58"/>
    </row>
    <row r="21" spans="1:28" outlineLevel="1" x14ac:dyDescent="0.25">
      <c r="A21" s="160"/>
      <c r="B21" s="50" t="s">
        <v>139</v>
      </c>
      <c r="C21" s="48" t="s">
        <v>140</v>
      </c>
      <c r="D21" s="59" t="s">
        <v>141</v>
      </c>
      <c r="E21" s="59" t="s">
        <v>40</v>
      </c>
      <c r="F21" s="59" t="s">
        <v>75</v>
      </c>
      <c r="G21" s="59" t="s">
        <v>93</v>
      </c>
      <c r="H21" s="59" t="s">
        <v>41</v>
      </c>
      <c r="I21" s="60">
        <v>56991592586</v>
      </c>
      <c r="J21" s="27" t="s">
        <v>142</v>
      </c>
      <c r="K21" s="27" t="s">
        <v>42</v>
      </c>
      <c r="L21" s="52"/>
      <c r="M21" s="52"/>
      <c r="N21" s="70">
        <f>SUMPRODUCT(Tabla5234[[#This Row],[Paltas]:[Empanadas]],O$31:Z$31)</f>
        <v>4500</v>
      </c>
      <c r="O21" s="52">
        <v>1</v>
      </c>
      <c r="P21" s="52">
        <v>0</v>
      </c>
      <c r="Q21" s="52">
        <v>0</v>
      </c>
      <c r="R21" s="52">
        <v>0</v>
      </c>
      <c r="S21" s="52">
        <v>0</v>
      </c>
      <c r="T21" s="52">
        <v>0</v>
      </c>
      <c r="U21" s="52">
        <v>0</v>
      </c>
      <c r="V21" s="52">
        <v>0</v>
      </c>
      <c r="W21" s="52">
        <v>0</v>
      </c>
      <c r="X21" s="52">
        <v>0</v>
      </c>
      <c r="Y21" s="52">
        <v>0</v>
      </c>
      <c r="Z21" s="52">
        <v>0</v>
      </c>
      <c r="AA21" s="52">
        <f>SUM(Tabla5234[[#This Row],[Paltas]:[Empanadas]])</f>
        <v>1</v>
      </c>
      <c r="AB21" s="58"/>
    </row>
    <row r="22" spans="1:28" outlineLevel="1" x14ac:dyDescent="0.25">
      <c r="A22" s="18"/>
      <c r="B22" s="19"/>
      <c r="C22" s="19"/>
      <c r="D22" s="19"/>
      <c r="E22" s="19"/>
      <c r="F22" s="19"/>
      <c r="G22" s="19"/>
      <c r="H22" s="19"/>
      <c r="I22" s="32"/>
      <c r="J22" s="31"/>
      <c r="K22" s="31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</row>
    <row r="23" spans="1:28" ht="15.75" thickBot="1" x14ac:dyDescent="0.3"/>
    <row r="24" spans="1:28" ht="14.65" customHeight="1" thickBot="1" x14ac:dyDescent="0.3">
      <c r="A24" s="120" t="s">
        <v>20</v>
      </c>
      <c r="B24" s="135" t="s">
        <v>7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7"/>
      <c r="N24" s="102" t="s">
        <v>9</v>
      </c>
      <c r="O24" s="49">
        <f>SUM(Tabla5234[Paltas])</f>
        <v>40</v>
      </c>
      <c r="P24" s="49">
        <f>SUM(Tabla5234[Quesos])</f>
        <v>9</v>
      </c>
      <c r="Q24" s="49">
        <f>SUM(Tabla5234[Frutillas])</f>
        <v>37</v>
      </c>
      <c r="R24" s="49">
        <f>SUM(Tabla5234[Tomate Cherry])</f>
        <v>11</v>
      </c>
      <c r="S24" s="49">
        <f>SUM(Tabla5234[Nueces])</f>
        <v>1</v>
      </c>
      <c r="T24" s="49">
        <f>SUM(Tabla5234[Mani])</f>
        <v>3</v>
      </c>
      <c r="U24" s="49">
        <f>SUM(Tabla5234[Pistachos])</f>
        <v>5</v>
      </c>
      <c r="V24" s="49">
        <f>SUM(Tabla5234[Caju])</f>
        <v>3</v>
      </c>
      <c r="W24" s="49">
        <f>SUM(Tabla5234[Almendras])</f>
        <v>6</v>
      </c>
      <c r="X24" s="49">
        <f>SUM(Tabla5234[Cerezas])</f>
        <v>175</v>
      </c>
      <c r="Y24" s="49">
        <f>SUM(Tabla5234[Arandanos])</f>
        <v>10</v>
      </c>
      <c r="Z24" s="4">
        <f>SUM(Tabla5234[Empanadas])</f>
        <v>25</v>
      </c>
    </row>
    <row r="25" spans="1:28" ht="14.65" customHeight="1" thickBot="1" x14ac:dyDescent="0.3">
      <c r="A25" s="121"/>
      <c r="B25" s="138"/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40"/>
      <c r="N25" s="102" t="s">
        <v>28</v>
      </c>
      <c r="O25" s="52">
        <v>2</v>
      </c>
      <c r="P25" s="37">
        <v>1</v>
      </c>
      <c r="Q25" s="37">
        <v>2</v>
      </c>
      <c r="R25" s="52">
        <v>1</v>
      </c>
      <c r="S25" s="73">
        <v>0.5</v>
      </c>
      <c r="T25" s="73">
        <v>1</v>
      </c>
      <c r="U25" s="73">
        <v>0.5</v>
      </c>
      <c r="V25" s="73">
        <v>0.4</v>
      </c>
      <c r="W25" s="73">
        <v>0.5</v>
      </c>
      <c r="X25" s="73">
        <v>5</v>
      </c>
      <c r="Y25" s="73">
        <v>0.5</v>
      </c>
      <c r="Z25" s="38">
        <v>12</v>
      </c>
    </row>
    <row r="26" spans="1:28" ht="14.65" customHeight="1" thickBot="1" x14ac:dyDescent="0.3">
      <c r="A26" s="121"/>
      <c r="B26" s="138"/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40"/>
      <c r="N26" s="102" t="s">
        <v>8</v>
      </c>
      <c r="O26" s="52">
        <f t="shared" ref="O26:Z26" si="0">O25*O24</f>
        <v>80</v>
      </c>
      <c r="P26" s="52">
        <f t="shared" si="0"/>
        <v>9</v>
      </c>
      <c r="Q26" s="52">
        <f>Q25*Q24</f>
        <v>74</v>
      </c>
      <c r="R26" s="52">
        <f t="shared" si="0"/>
        <v>11</v>
      </c>
      <c r="S26" s="52">
        <f t="shared" si="0"/>
        <v>0.5</v>
      </c>
      <c r="T26" s="52">
        <f t="shared" si="0"/>
        <v>3</v>
      </c>
      <c r="U26" s="52">
        <f t="shared" si="0"/>
        <v>2.5</v>
      </c>
      <c r="V26" s="52">
        <f t="shared" si="0"/>
        <v>1.2000000000000002</v>
      </c>
      <c r="W26" s="52">
        <f t="shared" si="0"/>
        <v>3</v>
      </c>
      <c r="X26" s="52">
        <f t="shared" si="0"/>
        <v>875</v>
      </c>
      <c r="Y26" s="52">
        <f t="shared" si="0"/>
        <v>5</v>
      </c>
      <c r="Z26" s="11">
        <f t="shared" si="0"/>
        <v>300</v>
      </c>
    </row>
    <row r="27" spans="1:28" ht="15.75" thickBot="1" x14ac:dyDescent="0.3">
      <c r="A27" s="121"/>
      <c r="B27" s="141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3"/>
      <c r="N27" s="102" t="s">
        <v>10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2"/>
    </row>
    <row r="28" spans="1:28" ht="15.75" thickBot="1" x14ac:dyDescent="0.3">
      <c r="A28" s="121"/>
      <c r="B28" s="104"/>
      <c r="C28" s="19"/>
      <c r="D28" s="23"/>
      <c r="E28" s="24"/>
      <c r="F28" s="24"/>
      <c r="G28" s="24"/>
      <c r="H28" s="24"/>
      <c r="I28" s="24"/>
      <c r="J28" s="24"/>
      <c r="K28" s="25"/>
      <c r="N28" s="3"/>
    </row>
    <row r="29" spans="1:28" ht="15.75" thickBot="1" x14ac:dyDescent="0.3">
      <c r="A29" s="121"/>
      <c r="B29" s="135" t="s">
        <v>12</v>
      </c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7"/>
      <c r="N29" s="102" t="s">
        <v>13</v>
      </c>
      <c r="O29" s="51">
        <f t="shared" ref="O29:Z29" si="1">O30*O25</f>
        <v>3100</v>
      </c>
      <c r="P29" s="51">
        <f t="shared" si="1"/>
        <v>6716</v>
      </c>
      <c r="Q29" s="51">
        <f>Q30*Q25</f>
        <v>2600</v>
      </c>
      <c r="R29" s="51">
        <f t="shared" si="1"/>
        <v>2300</v>
      </c>
      <c r="S29" s="51">
        <f t="shared" si="1"/>
        <v>3750</v>
      </c>
      <c r="T29" s="51">
        <f t="shared" si="1"/>
        <v>3500</v>
      </c>
      <c r="U29" s="51">
        <f t="shared" si="1"/>
        <v>7050</v>
      </c>
      <c r="V29" s="51">
        <f t="shared" si="1"/>
        <v>5320</v>
      </c>
      <c r="W29" s="51">
        <f t="shared" si="1"/>
        <v>5350</v>
      </c>
      <c r="X29" s="51">
        <f t="shared" si="1"/>
        <v>6000</v>
      </c>
      <c r="Y29" s="51">
        <f t="shared" si="1"/>
        <v>600</v>
      </c>
      <c r="Z29" s="15">
        <f t="shared" si="1"/>
        <v>12000</v>
      </c>
    </row>
    <row r="30" spans="1:28" ht="15.75" thickBot="1" x14ac:dyDescent="0.3">
      <c r="A30" s="121"/>
      <c r="B30" s="138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40"/>
      <c r="N30" s="102" t="s">
        <v>8</v>
      </c>
      <c r="O30" s="76">
        <v>1550</v>
      </c>
      <c r="P30" s="76">
        <v>6716</v>
      </c>
      <c r="Q30" s="76">
        <v>1300</v>
      </c>
      <c r="R30" s="76">
        <v>2300</v>
      </c>
      <c r="S30" s="76">
        <v>7500</v>
      </c>
      <c r="T30" s="76">
        <v>3500</v>
      </c>
      <c r="U30" s="76">
        <v>14100</v>
      </c>
      <c r="V30" s="76">
        <v>13300</v>
      </c>
      <c r="W30" s="76">
        <v>10700</v>
      </c>
      <c r="X30" s="76">
        <f>6000/5</f>
        <v>1200</v>
      </c>
      <c r="Y30" s="76">
        <f>6000/5</f>
        <v>1200</v>
      </c>
      <c r="Z30" s="80">
        <v>1000</v>
      </c>
    </row>
    <row r="31" spans="1:28" ht="15.75" thickBot="1" x14ac:dyDescent="0.3">
      <c r="A31" s="121"/>
      <c r="B31" s="141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3"/>
      <c r="N31" s="102" t="s">
        <v>14</v>
      </c>
      <c r="O31" s="79">
        <v>4500</v>
      </c>
      <c r="P31" s="79">
        <v>7500</v>
      </c>
      <c r="Q31" s="79">
        <v>4500</v>
      </c>
      <c r="R31" s="79">
        <v>4500</v>
      </c>
      <c r="S31" s="79">
        <v>5500</v>
      </c>
      <c r="T31" s="79">
        <v>4500</v>
      </c>
      <c r="U31" s="79">
        <v>8500</v>
      </c>
      <c r="V31" s="79">
        <v>7500</v>
      </c>
      <c r="W31" s="79">
        <v>7500</v>
      </c>
      <c r="X31" s="79">
        <v>9500</v>
      </c>
      <c r="Y31" s="79">
        <v>4500</v>
      </c>
      <c r="Z31" s="81">
        <v>17500</v>
      </c>
    </row>
    <row r="32" spans="1:28" ht="15.75" thickBot="1" x14ac:dyDescent="0.3">
      <c r="A32" s="121"/>
      <c r="B32" s="104"/>
      <c r="C32" s="19"/>
      <c r="D32" s="23"/>
      <c r="E32" s="24"/>
      <c r="F32" s="24"/>
      <c r="G32" s="24"/>
      <c r="H32" s="24"/>
      <c r="I32" s="24"/>
      <c r="J32" s="24"/>
      <c r="K32" s="25"/>
      <c r="N32" s="3"/>
    </row>
    <row r="33" spans="1:26" ht="14.65" customHeight="1" thickBot="1" x14ac:dyDescent="0.3">
      <c r="A33" s="121"/>
      <c r="B33" s="135" t="s">
        <v>15</v>
      </c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7"/>
      <c r="N33" s="102" t="s">
        <v>19</v>
      </c>
      <c r="O33" s="88">
        <f t="shared" ref="O33:Z33" si="2">O24*O29</f>
        <v>124000</v>
      </c>
      <c r="P33" s="89">
        <f t="shared" si="2"/>
        <v>60444</v>
      </c>
      <c r="Q33" s="89">
        <f t="shared" si="2"/>
        <v>96200</v>
      </c>
      <c r="R33" s="88">
        <f>R24*R29</f>
        <v>25300</v>
      </c>
      <c r="S33" s="88">
        <f t="shared" si="2"/>
        <v>3750</v>
      </c>
      <c r="T33" s="88">
        <f t="shared" si="2"/>
        <v>10500</v>
      </c>
      <c r="U33" s="88">
        <f t="shared" si="2"/>
        <v>35250</v>
      </c>
      <c r="V33" s="88">
        <f t="shared" si="2"/>
        <v>15960</v>
      </c>
      <c r="W33" s="88">
        <f t="shared" si="2"/>
        <v>32100</v>
      </c>
      <c r="X33" s="88">
        <f t="shared" si="2"/>
        <v>1050000</v>
      </c>
      <c r="Y33" s="88">
        <f t="shared" si="2"/>
        <v>6000</v>
      </c>
      <c r="Z33" s="90">
        <f t="shared" si="2"/>
        <v>300000</v>
      </c>
    </row>
    <row r="34" spans="1:26" ht="15.75" thickBot="1" x14ac:dyDescent="0.3">
      <c r="A34" s="121"/>
      <c r="B34" s="141"/>
      <c r="C34" s="142"/>
      <c r="D34" s="142"/>
      <c r="E34" s="142"/>
      <c r="F34" s="142"/>
      <c r="G34" s="142"/>
      <c r="H34" s="142"/>
      <c r="I34" s="142"/>
      <c r="J34" s="142"/>
      <c r="K34" s="142"/>
      <c r="L34" s="142"/>
      <c r="M34" s="143"/>
      <c r="N34" s="102" t="s">
        <v>16</v>
      </c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4"/>
    </row>
    <row r="35" spans="1:26" ht="15.75" thickBot="1" x14ac:dyDescent="0.3">
      <c r="A35" s="121"/>
      <c r="B35" s="135" t="s">
        <v>17</v>
      </c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7"/>
      <c r="N35" s="102" t="s">
        <v>19</v>
      </c>
      <c r="O35" s="48">
        <f t="shared" ref="O35:Z35" si="3">O31*O24</f>
        <v>180000</v>
      </c>
      <c r="P35" s="48">
        <f t="shared" si="3"/>
        <v>67500</v>
      </c>
      <c r="Q35" s="48">
        <f t="shared" si="3"/>
        <v>166500</v>
      </c>
      <c r="R35" s="48">
        <f t="shared" si="3"/>
        <v>49500</v>
      </c>
      <c r="S35" s="48">
        <f t="shared" si="3"/>
        <v>5500</v>
      </c>
      <c r="T35" s="48">
        <f t="shared" si="3"/>
        <v>13500</v>
      </c>
      <c r="U35" s="48">
        <f t="shared" si="3"/>
        <v>42500</v>
      </c>
      <c r="V35" s="48">
        <f t="shared" si="3"/>
        <v>22500</v>
      </c>
      <c r="W35" s="48">
        <f t="shared" si="3"/>
        <v>45000</v>
      </c>
      <c r="X35" s="48">
        <f t="shared" si="3"/>
        <v>1662500</v>
      </c>
      <c r="Y35" s="48">
        <f t="shared" si="3"/>
        <v>45000</v>
      </c>
      <c r="Z35" s="91">
        <f t="shared" si="3"/>
        <v>437500</v>
      </c>
    </row>
    <row r="36" spans="1:26" ht="15.75" thickBot="1" x14ac:dyDescent="0.3">
      <c r="A36" s="121"/>
      <c r="B36" s="141"/>
      <c r="C36" s="142"/>
      <c r="D36" s="142"/>
      <c r="E36" s="142"/>
      <c r="F36" s="142"/>
      <c r="G36" s="142"/>
      <c r="H36" s="142"/>
      <c r="I36" s="142"/>
      <c r="J36" s="142"/>
      <c r="K36" s="142"/>
      <c r="L36" s="142"/>
      <c r="M36" s="143"/>
      <c r="N36" s="102" t="s">
        <v>16</v>
      </c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4"/>
    </row>
    <row r="37" spans="1:26" ht="14.65" customHeight="1" thickBot="1" x14ac:dyDescent="0.3">
      <c r="A37" s="121"/>
      <c r="B37" s="135" t="s">
        <v>18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7"/>
      <c r="N37" s="102" t="s">
        <v>19</v>
      </c>
      <c r="O37" s="48">
        <f t="shared" ref="O37:Y37" si="4">O35-O33</f>
        <v>56000</v>
      </c>
      <c r="P37" s="48">
        <f t="shared" si="4"/>
        <v>7056</v>
      </c>
      <c r="Q37" s="48">
        <f t="shared" si="4"/>
        <v>70300</v>
      </c>
      <c r="R37" s="48">
        <f t="shared" si="4"/>
        <v>24200</v>
      </c>
      <c r="S37" s="48">
        <f t="shared" si="4"/>
        <v>1750</v>
      </c>
      <c r="T37" s="48">
        <f t="shared" si="4"/>
        <v>3000</v>
      </c>
      <c r="U37" s="48">
        <f t="shared" si="4"/>
        <v>7250</v>
      </c>
      <c r="V37" s="48">
        <f t="shared" si="4"/>
        <v>6540</v>
      </c>
      <c r="W37" s="48">
        <f t="shared" si="4"/>
        <v>12900</v>
      </c>
      <c r="X37" s="48">
        <f t="shared" si="4"/>
        <v>612500</v>
      </c>
      <c r="Y37" s="48">
        <f t="shared" si="4"/>
        <v>39000</v>
      </c>
      <c r="Z37" s="91">
        <f>Z35-Z33</f>
        <v>137500</v>
      </c>
    </row>
    <row r="38" spans="1:26" ht="29.65" customHeight="1" thickBot="1" x14ac:dyDescent="0.3">
      <c r="A38" s="121"/>
      <c r="B38" s="141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3"/>
      <c r="N38" s="102" t="s">
        <v>29</v>
      </c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1"/>
    </row>
    <row r="39" spans="1:26" ht="15.75" thickBot="1" x14ac:dyDescent="0.3">
      <c r="A39" s="121"/>
    </row>
    <row r="40" spans="1:26" ht="14.65" customHeight="1" thickBot="1" x14ac:dyDescent="0.3">
      <c r="A40" s="121"/>
      <c r="B40" s="147" t="s">
        <v>25</v>
      </c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9"/>
      <c r="O40" s="103" t="s">
        <v>26</v>
      </c>
      <c r="P40" s="29" t="s">
        <v>27</v>
      </c>
      <c r="Q40" s="61"/>
      <c r="R40" s="5"/>
      <c r="S40" s="5"/>
      <c r="T40" s="5"/>
      <c r="U40" s="5"/>
      <c r="V40" s="5"/>
      <c r="W40" s="5"/>
      <c r="X40" s="5"/>
      <c r="Y40" s="5"/>
      <c r="Z40" s="5"/>
    </row>
    <row r="41" spans="1:26" ht="15" customHeight="1" x14ac:dyDescent="0.25">
      <c r="A41" s="121"/>
      <c r="B41" s="150"/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2"/>
      <c r="O41" s="166"/>
      <c r="P41" s="33"/>
      <c r="Q41" s="62"/>
      <c r="R41" s="6"/>
      <c r="S41" s="6"/>
      <c r="T41" s="6"/>
      <c r="U41" s="6"/>
      <c r="V41" s="6"/>
      <c r="W41" s="6"/>
      <c r="X41" s="6"/>
      <c r="Y41" s="6"/>
      <c r="Z41" s="6"/>
    </row>
    <row r="42" spans="1:26" ht="15" customHeight="1" x14ac:dyDescent="0.25">
      <c r="A42" s="121"/>
      <c r="B42" s="150"/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2"/>
      <c r="O42" s="167"/>
      <c r="P42" s="34"/>
      <c r="Q42" s="62"/>
      <c r="R42" s="6"/>
      <c r="S42" s="6"/>
      <c r="T42" s="6"/>
      <c r="U42" s="6"/>
      <c r="V42" s="6"/>
      <c r="W42" s="6"/>
      <c r="X42" s="6"/>
      <c r="Y42" s="6"/>
      <c r="Z42" s="6"/>
    </row>
    <row r="43" spans="1:26" ht="15" customHeight="1" x14ac:dyDescent="0.25">
      <c r="A43" s="121"/>
      <c r="B43" s="150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2"/>
      <c r="O43" s="167"/>
      <c r="P43" s="34"/>
      <c r="Q43" s="62"/>
      <c r="R43" s="6"/>
      <c r="S43" s="6"/>
      <c r="T43" s="6"/>
      <c r="U43" s="6"/>
      <c r="V43" s="6"/>
      <c r="W43" s="6"/>
      <c r="X43" s="6"/>
      <c r="Y43" s="6"/>
      <c r="Z43" s="6"/>
    </row>
    <row r="44" spans="1:26" ht="15" customHeight="1" x14ac:dyDescent="0.25">
      <c r="A44" s="121"/>
      <c r="B44" s="150"/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2"/>
      <c r="O44" s="167"/>
      <c r="P44" s="34"/>
      <c r="Q44" s="62"/>
      <c r="R44" s="6"/>
      <c r="S44" s="6"/>
      <c r="T44" s="6"/>
      <c r="U44" s="6"/>
      <c r="V44" s="6"/>
      <c r="W44" s="6"/>
      <c r="X44" s="6"/>
      <c r="Y44" s="6"/>
      <c r="Z44" s="6"/>
    </row>
    <row r="45" spans="1:26" ht="15" customHeight="1" x14ac:dyDescent="0.25">
      <c r="A45" s="121"/>
      <c r="B45" s="150"/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2"/>
      <c r="O45" s="167"/>
      <c r="P45" s="34"/>
      <c r="Q45" s="62"/>
      <c r="R45" s="6"/>
      <c r="S45" s="6"/>
      <c r="T45" s="6"/>
      <c r="U45" s="6"/>
      <c r="V45" s="6"/>
      <c r="W45" s="6"/>
      <c r="X45" s="6"/>
      <c r="Y45" s="6"/>
      <c r="Z45" s="6"/>
    </row>
    <row r="46" spans="1:26" ht="15" customHeight="1" x14ac:dyDescent="0.25">
      <c r="A46" s="121"/>
      <c r="B46" s="150"/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2"/>
      <c r="O46" s="167"/>
      <c r="P46" s="34"/>
      <c r="Q46" s="62"/>
      <c r="R46" s="6"/>
      <c r="S46" s="6"/>
      <c r="T46" s="6"/>
      <c r="U46" s="6"/>
      <c r="V46" s="6"/>
      <c r="W46" s="6"/>
      <c r="X46" s="6"/>
      <c r="Y46" s="6"/>
      <c r="Z46" s="6"/>
    </row>
    <row r="47" spans="1:26" ht="15" customHeight="1" thickBot="1" x14ac:dyDescent="0.3">
      <c r="A47" s="121"/>
      <c r="B47" s="150"/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2"/>
      <c r="O47" s="168"/>
      <c r="P47" s="34"/>
      <c r="Q47" s="62"/>
      <c r="R47" s="6"/>
      <c r="S47" s="6"/>
      <c r="T47" s="6"/>
      <c r="U47" s="6"/>
      <c r="V47" s="6"/>
      <c r="W47" s="6"/>
      <c r="X47" s="6"/>
      <c r="Y47" s="6"/>
      <c r="Z47" s="6"/>
    </row>
    <row r="48" spans="1:26" ht="15.75" customHeight="1" thickBot="1" x14ac:dyDescent="0.3">
      <c r="A48" s="121"/>
      <c r="B48" s="153"/>
      <c r="C48" s="154"/>
      <c r="D48" s="154"/>
      <c r="E48" s="154"/>
      <c r="F48" s="154"/>
      <c r="G48" s="154"/>
      <c r="H48" s="154"/>
      <c r="I48" s="154"/>
      <c r="J48" s="154"/>
      <c r="K48" s="154"/>
      <c r="L48" s="154"/>
      <c r="M48" s="154"/>
      <c r="N48" s="155"/>
      <c r="O48" s="103"/>
      <c r="P48" s="35">
        <f>SUM(P41:P47)</f>
        <v>0</v>
      </c>
      <c r="Q48" s="63"/>
      <c r="R48" s="6"/>
      <c r="S48" s="6"/>
      <c r="T48" s="6"/>
      <c r="U48" s="6"/>
      <c r="V48" s="6"/>
      <c r="W48" s="6"/>
      <c r="X48" s="6"/>
      <c r="Y48" s="6"/>
      <c r="Z48" s="6"/>
    </row>
    <row r="49" spans="1:26" ht="15.75" thickBot="1" x14ac:dyDescent="0.3">
      <c r="A49" s="121"/>
    </row>
    <row r="50" spans="1:26" ht="51.75" customHeight="1" thickBot="1" x14ac:dyDescent="0.3">
      <c r="A50" s="122"/>
      <c r="B50" s="129" t="s">
        <v>18</v>
      </c>
      <c r="C50" s="130"/>
      <c r="D50" s="130"/>
      <c r="E50" s="130"/>
      <c r="F50" s="130"/>
      <c r="G50" s="130"/>
      <c r="H50" s="130"/>
      <c r="I50" s="130"/>
      <c r="J50" s="130"/>
      <c r="K50" s="130"/>
      <c r="L50" s="131"/>
      <c r="M50" s="102"/>
      <c r="N50" s="101" t="s">
        <v>16</v>
      </c>
      <c r="O50" s="133"/>
      <c r="P50" s="133"/>
      <c r="Q50" s="133"/>
      <c r="R50" s="133"/>
      <c r="S50" s="134"/>
      <c r="T50" s="72"/>
      <c r="U50" s="72"/>
      <c r="V50" s="72"/>
      <c r="W50" s="72"/>
      <c r="X50" s="72"/>
      <c r="Y50" s="72"/>
      <c r="Z50" s="72"/>
    </row>
    <row r="51" spans="1:26" ht="15.75" customHeight="1" x14ac:dyDescent="0.25">
      <c r="A51" s="30"/>
      <c r="O51" s="28"/>
      <c r="P51" s="28"/>
      <c r="Q51" s="28"/>
      <c r="S51" s="105"/>
      <c r="T51" s="105"/>
      <c r="U51" s="105"/>
      <c r="V51" s="105"/>
      <c r="W51" s="105"/>
      <c r="X51" s="105"/>
      <c r="Y51" s="105"/>
      <c r="Z51" s="105"/>
    </row>
    <row r="52" spans="1:26" ht="15" customHeight="1" x14ac:dyDescent="0.25">
      <c r="A52" s="30"/>
      <c r="O52" s="28"/>
      <c r="P52" s="28"/>
      <c r="Q52" s="28"/>
      <c r="S52" s="7"/>
      <c r="T52" s="7"/>
      <c r="U52" s="7"/>
      <c r="V52" s="7"/>
      <c r="W52" s="7"/>
      <c r="X52" s="7"/>
      <c r="Y52" s="7"/>
      <c r="Z52" s="7"/>
    </row>
    <row r="53" spans="1:26" ht="15" customHeight="1" x14ac:dyDescent="0.25">
      <c r="O53" s="28"/>
      <c r="P53" s="28"/>
      <c r="Q53" s="28"/>
      <c r="S53" s="7"/>
      <c r="T53" s="7"/>
      <c r="U53" s="7"/>
      <c r="V53" s="7"/>
      <c r="W53" s="7"/>
      <c r="X53" s="7"/>
      <c r="Y53" s="7"/>
      <c r="Z53" s="7"/>
    </row>
    <row r="54" spans="1:26" ht="15" customHeight="1" x14ac:dyDescent="0.25">
      <c r="O54" s="28"/>
      <c r="P54" s="28"/>
      <c r="Q54" s="28"/>
      <c r="S54" s="7"/>
      <c r="T54" s="7"/>
      <c r="U54" s="7"/>
      <c r="V54" s="7"/>
      <c r="W54" s="7"/>
      <c r="X54" s="7"/>
      <c r="Y54" s="7"/>
      <c r="Z54" s="7"/>
    </row>
    <row r="55" spans="1:26" ht="15" customHeight="1" x14ac:dyDescent="0.25">
      <c r="O55" s="28"/>
      <c r="P55" s="28"/>
      <c r="Q55" s="28"/>
      <c r="S55" s="7"/>
      <c r="T55" s="7"/>
      <c r="U55" s="7"/>
      <c r="V55" s="7"/>
      <c r="W55" s="7"/>
      <c r="X55" s="7"/>
      <c r="Y55" s="7"/>
      <c r="Z55" s="7"/>
    </row>
    <row r="56" spans="1:26" ht="15" customHeight="1" x14ac:dyDescent="0.25">
      <c r="O56" s="28"/>
      <c r="P56" s="28"/>
      <c r="Q56" s="28"/>
      <c r="S56" s="7"/>
      <c r="T56" s="7"/>
      <c r="U56" s="7"/>
      <c r="V56" s="7"/>
      <c r="W56" s="7"/>
      <c r="X56" s="7"/>
      <c r="Y56" s="7"/>
      <c r="Z56" s="7"/>
    </row>
    <row r="57" spans="1:26" ht="15" customHeight="1" x14ac:dyDescent="0.25">
      <c r="O57" s="28"/>
      <c r="P57" s="28"/>
      <c r="Q57" s="28"/>
      <c r="S57" s="7"/>
      <c r="T57" s="7"/>
      <c r="U57" s="7"/>
      <c r="V57" s="7"/>
      <c r="W57" s="7"/>
      <c r="X57" s="7"/>
      <c r="Y57" s="7"/>
      <c r="Z57" s="7"/>
    </row>
    <row r="58" spans="1:26" ht="15" customHeight="1" x14ac:dyDescent="0.25">
      <c r="O58" s="28"/>
      <c r="P58" s="28"/>
      <c r="Q58" s="28"/>
      <c r="S58" s="7"/>
      <c r="T58" s="7"/>
      <c r="U58" s="7"/>
      <c r="V58" s="7"/>
      <c r="W58" s="7"/>
      <c r="X58" s="7"/>
      <c r="Y58" s="7"/>
      <c r="Z58" s="7"/>
    </row>
    <row r="59" spans="1:26" ht="15.75" customHeight="1" x14ac:dyDescent="0.25">
      <c r="O59" s="28"/>
      <c r="P59" s="28"/>
      <c r="Q59" s="28"/>
      <c r="S59" s="7"/>
      <c r="T59" s="7"/>
      <c r="U59" s="7"/>
      <c r="V59" s="7"/>
      <c r="W59" s="7"/>
      <c r="X59" s="7"/>
      <c r="Y59" s="7"/>
      <c r="Z59" s="7"/>
    </row>
  </sheetData>
  <mergeCells count="15">
    <mergeCell ref="B50:L50"/>
    <mergeCell ref="O50:S50"/>
    <mergeCell ref="B37:M38"/>
    <mergeCell ref="O38:Z38"/>
    <mergeCell ref="B40:N48"/>
    <mergeCell ref="B2:N2"/>
    <mergeCell ref="O2:Z2"/>
    <mergeCell ref="A5:A21"/>
    <mergeCell ref="A24:A50"/>
    <mergeCell ref="B24:M27"/>
    <mergeCell ref="B29:M31"/>
    <mergeCell ref="B33:M34"/>
    <mergeCell ref="O34:Z34"/>
    <mergeCell ref="B35:M36"/>
    <mergeCell ref="O36:Z36"/>
  </mergeCells>
  <conditionalFormatting sqref="AA5:AA21">
    <cfRule type="cellIs" dxfId="2" priority="1" operator="lessThan">
      <formula>20</formula>
    </cfRule>
    <cfRule type="cellIs" dxfId="1" priority="2" operator="between">
      <formula>20</formula>
      <formula>29</formula>
    </cfRule>
    <cfRule type="cellIs" dxfId="0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Pedido base (copiar esta hoja)</vt:lpstr>
      <vt:lpstr>Sabado 2</vt:lpstr>
      <vt:lpstr>Miercoles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2017-12-06T17:07:37Z</dcterms:modified>
</cp:coreProperties>
</file>