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540" firstSheet="1" activeTab="7" xr2:uid="{00000000-000D-0000-FFFF-FFFF00000000}"/>
  </bookViews>
  <sheets>
    <sheet name="Pedido base (copiar esta hoja)" sheetId="3" r:id="rId1"/>
    <sheet name="Sabado 2" sheetId="19" r:id="rId2"/>
    <sheet name="Miercoles 6" sheetId="20" r:id="rId3"/>
    <sheet name="Sabado 9" sheetId="21" r:id="rId4"/>
    <sheet name="Miercoles 13" sheetId="22" r:id="rId5"/>
    <sheet name="Sabado 16" sheetId="23" r:id="rId6"/>
    <sheet name="Miercoles 20" sheetId="24" r:id="rId7"/>
    <sheet name="Sabado 23" sheetId="25" r:id="rId8"/>
  </sheets>
  <externalReferences>
    <externalReference r:id="rId9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25" l="1"/>
  <c r="AB7" i="25"/>
  <c r="N9" i="21" l="1"/>
  <c r="AA9" i="21"/>
  <c r="Y21" i="25" l="1"/>
  <c r="N7" i="24"/>
  <c r="N10" i="24"/>
  <c r="N6" i="24"/>
  <c r="N6" i="22"/>
  <c r="AA6" i="22"/>
  <c r="AA7" i="24"/>
  <c r="X9" i="24"/>
  <c r="AA10" i="24"/>
  <c r="Y22" i="25"/>
  <c r="AA22" i="25"/>
  <c r="Y20" i="25"/>
  <c r="AA6" i="24"/>
  <c r="X5" i="24"/>
  <c r="U30" i="25" l="1"/>
  <c r="U25" i="25"/>
  <c r="U36" i="25" s="1"/>
  <c r="R49" i="25"/>
  <c r="Z31" i="25"/>
  <c r="Z30" i="25" s="1"/>
  <c r="Y31" i="25"/>
  <c r="Y30" i="25" s="1"/>
  <c r="AA30" i="25"/>
  <c r="X30" i="25"/>
  <c r="W30" i="25"/>
  <c r="V30" i="25"/>
  <c r="T30" i="25"/>
  <c r="S30" i="25"/>
  <c r="AA25" i="25"/>
  <c r="AA36" i="25" s="1"/>
  <c r="Z25" i="25"/>
  <c r="Z27" i="25" s="1"/>
  <c r="Y25" i="25"/>
  <c r="Y36" i="25" s="1"/>
  <c r="X25" i="25"/>
  <c r="X34" i="25" s="1"/>
  <c r="W25" i="25"/>
  <c r="W36" i="25" s="1"/>
  <c r="V25" i="25"/>
  <c r="V27" i="25" s="1"/>
  <c r="T25" i="25"/>
  <c r="T27" i="25" s="1"/>
  <c r="S25" i="25"/>
  <c r="S27" i="25" s="1"/>
  <c r="R25" i="25"/>
  <c r="R36" i="25" s="1"/>
  <c r="Q25" i="25"/>
  <c r="Q36" i="25" s="1"/>
  <c r="P25" i="25"/>
  <c r="P36" i="25" s="1"/>
  <c r="O25" i="25"/>
  <c r="O34" i="25" s="1"/>
  <c r="AB12" i="25"/>
  <c r="N12" i="25"/>
  <c r="AB11" i="25"/>
  <c r="N11" i="25"/>
  <c r="AB17" i="25"/>
  <c r="N17" i="25"/>
  <c r="AB22" i="25"/>
  <c r="N22" i="25"/>
  <c r="AB5" i="25"/>
  <c r="N5" i="25"/>
  <c r="AB18" i="25"/>
  <c r="N18" i="25"/>
  <c r="AB19" i="25"/>
  <c r="N19" i="25"/>
  <c r="AB14" i="25"/>
  <c r="N14" i="25"/>
  <c r="AB9" i="25"/>
  <c r="N9" i="25"/>
  <c r="AB10" i="25"/>
  <c r="N10" i="25"/>
  <c r="AB20" i="25"/>
  <c r="N20" i="25"/>
  <c r="AB8" i="25"/>
  <c r="N8" i="25"/>
  <c r="AB13" i="25"/>
  <c r="N13" i="25"/>
  <c r="AB21" i="25"/>
  <c r="N21" i="25"/>
  <c r="AB16" i="25"/>
  <c r="N16" i="25"/>
  <c r="AB6" i="25"/>
  <c r="N6" i="25"/>
  <c r="AB15" i="25"/>
  <c r="N15" i="25"/>
  <c r="U27" i="25" l="1"/>
  <c r="U34" i="25"/>
  <c r="U38" i="25" s="1"/>
  <c r="W27" i="25"/>
  <c r="P34" i="25"/>
  <c r="P38" i="25" s="1"/>
  <c r="Y34" i="25"/>
  <c r="Y38" i="25" s="1"/>
  <c r="W34" i="25"/>
  <c r="W38" i="25" s="1"/>
  <c r="S36" i="25"/>
  <c r="Z36" i="25"/>
  <c r="O27" i="25"/>
  <c r="X27" i="25"/>
  <c r="Q34" i="25"/>
  <c r="Z34" i="25"/>
  <c r="T36" i="25"/>
  <c r="P27" i="25"/>
  <c r="Y27" i="25"/>
  <c r="R34" i="25"/>
  <c r="R38" i="25" s="1"/>
  <c r="AA34" i="25"/>
  <c r="AA38" i="25" s="1"/>
  <c r="V36" i="25"/>
  <c r="Q27" i="25"/>
  <c r="S34" i="25"/>
  <c r="R27" i="25"/>
  <c r="AA27" i="25"/>
  <c r="T34" i="25"/>
  <c r="O36" i="25"/>
  <c r="X36" i="25"/>
  <c r="X38" i="25" s="1"/>
  <c r="V34" i="25"/>
  <c r="R44" i="24"/>
  <c r="Y26" i="24"/>
  <c r="X26" i="24"/>
  <c r="X25" i="24" s="1"/>
  <c r="Z25" i="24"/>
  <c r="Y25" i="24"/>
  <c r="W25" i="24"/>
  <c r="V25" i="24"/>
  <c r="U25" i="24"/>
  <c r="T25" i="24"/>
  <c r="S25" i="24"/>
  <c r="Z20" i="24"/>
  <c r="Z31" i="24" s="1"/>
  <c r="Y20" i="24"/>
  <c r="Y31" i="24" s="1"/>
  <c r="X20" i="24"/>
  <c r="X31" i="24" s="1"/>
  <c r="W20" i="24"/>
  <c r="W29" i="24" s="1"/>
  <c r="V20" i="24"/>
  <c r="V29" i="24" s="1"/>
  <c r="U20" i="24"/>
  <c r="U22" i="24" s="1"/>
  <c r="T20" i="24"/>
  <c r="T22" i="24" s="1"/>
  <c r="S20" i="24"/>
  <c r="S22" i="24" s="1"/>
  <c r="R20" i="24"/>
  <c r="R31" i="24" s="1"/>
  <c r="Q20" i="24"/>
  <c r="Q31" i="24" s="1"/>
  <c r="P20" i="24"/>
  <c r="P31" i="24" s="1"/>
  <c r="O20" i="24"/>
  <c r="O29" i="24" s="1"/>
  <c r="AA9" i="24"/>
  <c r="N9" i="24"/>
  <c r="AA12" i="24"/>
  <c r="N12" i="24"/>
  <c r="AA17" i="24"/>
  <c r="N17" i="24"/>
  <c r="AA16" i="24"/>
  <c r="N16" i="24"/>
  <c r="AA15" i="24"/>
  <c r="N15" i="24"/>
  <c r="AA13" i="24"/>
  <c r="N13" i="24"/>
  <c r="AA5" i="24"/>
  <c r="N5" i="24"/>
  <c r="AA14" i="24"/>
  <c r="N14" i="24"/>
  <c r="AA8" i="24"/>
  <c r="N8" i="24"/>
  <c r="AA11" i="24"/>
  <c r="N11" i="24"/>
  <c r="R44" i="23"/>
  <c r="Y26" i="23"/>
  <c r="Y25" i="23" s="1"/>
  <c r="X26" i="23"/>
  <c r="X25" i="23" s="1"/>
  <c r="Z25" i="23"/>
  <c r="W25" i="23"/>
  <c r="V25" i="23"/>
  <c r="U25" i="23"/>
  <c r="T25" i="23"/>
  <c r="S25" i="23"/>
  <c r="Z20" i="23"/>
  <c r="Z31" i="23" s="1"/>
  <c r="Y20" i="23"/>
  <c r="Y31" i="23" s="1"/>
  <c r="X20" i="23"/>
  <c r="X31" i="23" s="1"/>
  <c r="W20" i="23"/>
  <c r="W22" i="23" s="1"/>
  <c r="V20" i="23"/>
  <c r="V31" i="23" s="1"/>
  <c r="U20" i="23"/>
  <c r="U22" i="23" s="1"/>
  <c r="T20" i="23"/>
  <c r="T22" i="23" s="1"/>
  <c r="S20" i="23"/>
  <c r="R20" i="23"/>
  <c r="R31" i="23" s="1"/>
  <c r="Q20" i="23"/>
  <c r="Q31" i="23" s="1"/>
  <c r="P20" i="23"/>
  <c r="P31" i="23" s="1"/>
  <c r="O20" i="23"/>
  <c r="O29" i="23" s="1"/>
  <c r="AA10" i="23"/>
  <c r="N10" i="23"/>
  <c r="AA6" i="23"/>
  <c r="N6" i="23"/>
  <c r="AA13" i="23"/>
  <c r="N13" i="23"/>
  <c r="AA17" i="23"/>
  <c r="N17" i="23"/>
  <c r="AA9" i="23"/>
  <c r="N9" i="23"/>
  <c r="AA14" i="23"/>
  <c r="N14" i="23"/>
  <c r="AA15" i="23"/>
  <c r="N15" i="23"/>
  <c r="AA8" i="23"/>
  <c r="N8" i="23"/>
  <c r="AA16" i="23"/>
  <c r="N16" i="23"/>
  <c r="AA5" i="23"/>
  <c r="N5" i="23"/>
  <c r="AA11" i="23"/>
  <c r="N11" i="23"/>
  <c r="AA12" i="23"/>
  <c r="N12" i="23"/>
  <c r="AA7" i="23"/>
  <c r="N7" i="23"/>
  <c r="Z38" i="25" l="1"/>
  <c r="S38" i="25"/>
  <c r="O35" i="25"/>
  <c r="Q38" i="25"/>
  <c r="T38" i="25"/>
  <c r="O37" i="25"/>
  <c r="O38" i="25"/>
  <c r="V38" i="25"/>
  <c r="V29" i="23"/>
  <c r="V33" i="23" s="1"/>
  <c r="V22" i="23"/>
  <c r="P29" i="23"/>
  <c r="P33" i="23" s="1"/>
  <c r="S29" i="23"/>
  <c r="O22" i="23"/>
  <c r="Q29" i="23"/>
  <c r="Q33" i="23" s="1"/>
  <c r="Q22" i="23"/>
  <c r="X29" i="23"/>
  <c r="X33" i="23" s="1"/>
  <c r="Y29" i="23"/>
  <c r="Y33" i="23" s="1"/>
  <c r="S31" i="23"/>
  <c r="W29" i="23"/>
  <c r="Y22" i="23"/>
  <c r="T31" i="23"/>
  <c r="O22" i="24"/>
  <c r="Q22" i="24"/>
  <c r="T29" i="24"/>
  <c r="V22" i="24"/>
  <c r="Y29" i="24"/>
  <c r="Y33" i="24" s="1"/>
  <c r="O31" i="24"/>
  <c r="O33" i="24" s="1"/>
  <c r="W22" i="24"/>
  <c r="S31" i="24"/>
  <c r="Y22" i="24"/>
  <c r="X29" i="24"/>
  <c r="X33" i="24" s="1"/>
  <c r="T31" i="24"/>
  <c r="T33" i="24" s="1"/>
  <c r="V31" i="24"/>
  <c r="V33" i="24" s="1"/>
  <c r="S29" i="24"/>
  <c r="P29" i="24"/>
  <c r="P33" i="24" s="1"/>
  <c r="W31" i="24"/>
  <c r="W33" i="24" s="1"/>
  <c r="Q29" i="24"/>
  <c r="Q33" i="24" s="1"/>
  <c r="P22" i="24"/>
  <c r="X22" i="24"/>
  <c r="R29" i="24"/>
  <c r="R33" i="24" s="1"/>
  <c r="Z29" i="24"/>
  <c r="Z33" i="24" s="1"/>
  <c r="U31" i="24"/>
  <c r="R22" i="24"/>
  <c r="Z22" i="24"/>
  <c r="U29" i="24"/>
  <c r="P22" i="23"/>
  <c r="X22" i="23"/>
  <c r="R29" i="23"/>
  <c r="R33" i="23" s="1"/>
  <c r="Z29" i="23"/>
  <c r="Z33" i="23" s="1"/>
  <c r="U31" i="23"/>
  <c r="R22" i="23"/>
  <c r="Z22" i="23"/>
  <c r="T29" i="23"/>
  <c r="O31" i="23"/>
  <c r="W31" i="23"/>
  <c r="S22" i="23"/>
  <c r="U29" i="23"/>
  <c r="X7" i="22"/>
  <c r="Z16" i="21"/>
  <c r="X16" i="21"/>
  <c r="O95" i="3"/>
  <c r="O97" i="3" s="1"/>
  <c r="P95" i="3"/>
  <c r="P97" i="3" s="1"/>
  <c r="N10" i="22"/>
  <c r="AA10" i="22"/>
  <c r="N17" i="22"/>
  <c r="AA17" i="22"/>
  <c r="S33" i="23" l="1"/>
  <c r="O39" i="25"/>
  <c r="O51" i="25" s="1"/>
  <c r="U33" i="23"/>
  <c r="W33" i="23"/>
  <c r="S33" i="24"/>
  <c r="T33" i="23"/>
  <c r="O30" i="24"/>
  <c r="U33" i="24"/>
  <c r="O32" i="24"/>
  <c r="O30" i="23"/>
  <c r="O32" i="23"/>
  <c r="O33" i="23"/>
  <c r="Z27" i="22"/>
  <c r="Z26" i="22" s="1"/>
  <c r="N5" i="22"/>
  <c r="N18" i="22"/>
  <c r="N9" i="22"/>
  <c r="AA9" i="22"/>
  <c r="AA15" i="22"/>
  <c r="AA12" i="22"/>
  <c r="AA13" i="22"/>
  <c r="AA5" i="22"/>
  <c r="AA16" i="22"/>
  <c r="AA14" i="22"/>
  <c r="AA18" i="22"/>
  <c r="AA7" i="22"/>
  <c r="AA11" i="22"/>
  <c r="AA8" i="22"/>
  <c r="N15" i="22"/>
  <c r="N12" i="22"/>
  <c r="N13" i="22"/>
  <c r="N16" i="22"/>
  <c r="N14" i="22"/>
  <c r="N7" i="22"/>
  <c r="N11" i="22"/>
  <c r="N8" i="22"/>
  <c r="P45" i="22"/>
  <c r="Y27" i="22"/>
  <c r="Y26" i="22" s="1"/>
  <c r="X27" i="22"/>
  <c r="X26" i="22" s="1"/>
  <c r="W26" i="22"/>
  <c r="V26" i="22"/>
  <c r="U26" i="22"/>
  <c r="T26" i="22"/>
  <c r="S26" i="22"/>
  <c r="R26" i="22"/>
  <c r="Q26" i="22"/>
  <c r="P26" i="22"/>
  <c r="O26" i="22"/>
  <c r="Z21" i="22"/>
  <c r="Y21" i="22"/>
  <c r="Y23" i="22" s="1"/>
  <c r="X21" i="22"/>
  <c r="X23" i="22" s="1"/>
  <c r="W21" i="22"/>
  <c r="W23" i="22" s="1"/>
  <c r="V21" i="22"/>
  <c r="V23" i="22" s="1"/>
  <c r="U21" i="22"/>
  <c r="U23" i="22" s="1"/>
  <c r="T21" i="22"/>
  <c r="T32" i="22" s="1"/>
  <c r="S21" i="22"/>
  <c r="R21" i="22"/>
  <c r="Q21" i="22"/>
  <c r="Q23" i="22" s="1"/>
  <c r="P21" i="22"/>
  <c r="P23" i="22" s="1"/>
  <c r="O21" i="22"/>
  <c r="O23" i="22" s="1"/>
  <c r="B92" i="3"/>
  <c r="C92" i="3"/>
  <c r="D92" i="3"/>
  <c r="E92" i="3"/>
  <c r="F92" i="3"/>
  <c r="G92" i="3"/>
  <c r="H92" i="3"/>
  <c r="I92" i="3"/>
  <c r="J92" i="3"/>
  <c r="K92" i="3"/>
  <c r="N92" i="3"/>
  <c r="AA92" i="3"/>
  <c r="R30" i="22" l="1"/>
  <c r="O34" i="23"/>
  <c r="O46" i="23" s="1"/>
  <c r="O34" i="24"/>
  <c r="O46" i="24" s="1"/>
  <c r="Z30" i="22"/>
  <c r="S30" i="22"/>
  <c r="Z23" i="22"/>
  <c r="R23" i="22"/>
  <c r="T30" i="22"/>
  <c r="T34" i="22" s="1"/>
  <c r="U32" i="22"/>
  <c r="S23" i="22"/>
  <c r="U30" i="22"/>
  <c r="V32" i="22"/>
  <c r="T23" i="22"/>
  <c r="V30" i="22"/>
  <c r="O32" i="22"/>
  <c r="W32" i="22"/>
  <c r="O30" i="22"/>
  <c r="W30" i="22"/>
  <c r="P32" i="22"/>
  <c r="X32" i="22"/>
  <c r="P30" i="22"/>
  <c r="X30" i="22"/>
  <c r="Q32" i="22"/>
  <c r="Y32" i="22"/>
  <c r="Q30" i="22"/>
  <c r="Y30" i="22"/>
  <c r="R32" i="22"/>
  <c r="Z32" i="22"/>
  <c r="Z34" i="22" s="1"/>
  <c r="S32" i="22"/>
  <c r="S34" i="22" s="1"/>
  <c r="R34" i="22" l="1"/>
  <c r="O33" i="22"/>
  <c r="O31" i="22"/>
  <c r="U34" i="22"/>
  <c r="Y34" i="22"/>
  <c r="W34" i="22"/>
  <c r="X34" i="22"/>
  <c r="P34" i="22"/>
  <c r="V34" i="22"/>
  <c r="Q34" i="22"/>
  <c r="O34" i="22"/>
  <c r="O35" i="22" l="1"/>
  <c r="X20" i="20"/>
  <c r="X22" i="20"/>
  <c r="N14" i="20"/>
  <c r="AA14" i="20"/>
  <c r="AA16" i="21"/>
  <c r="N16" i="21"/>
  <c r="AA10" i="21"/>
  <c r="AA6" i="21"/>
  <c r="AA14" i="21"/>
  <c r="AA11" i="21"/>
  <c r="AA7" i="21"/>
  <c r="AA13" i="21"/>
  <c r="AA8" i="21"/>
  <c r="AA15" i="21"/>
  <c r="AA17" i="21"/>
  <c r="AA5" i="21"/>
  <c r="AA12" i="21"/>
  <c r="N10" i="21"/>
  <c r="N6" i="21"/>
  <c r="N14" i="21"/>
  <c r="N11" i="21"/>
  <c r="N7" i="21"/>
  <c r="N13" i="21"/>
  <c r="N8" i="21"/>
  <c r="N15" i="21"/>
  <c r="N17" i="21"/>
  <c r="N5" i="21"/>
  <c r="N12" i="21"/>
  <c r="P44" i="21"/>
  <c r="Y26" i="21"/>
  <c r="Y25" i="21" s="1"/>
  <c r="X26" i="21"/>
  <c r="X25" i="21" s="1"/>
  <c r="Z25" i="21"/>
  <c r="W25" i="21"/>
  <c r="V25" i="21"/>
  <c r="U25" i="21"/>
  <c r="T25" i="21"/>
  <c r="S25" i="21"/>
  <c r="R25" i="21"/>
  <c r="Q25" i="21"/>
  <c r="P25" i="21"/>
  <c r="O25" i="21"/>
  <c r="Z20" i="21"/>
  <c r="Y20" i="21"/>
  <c r="Y22" i="21" s="1"/>
  <c r="X20" i="21"/>
  <c r="X22" i="21" s="1"/>
  <c r="W20" i="21"/>
  <c r="W22" i="21" s="1"/>
  <c r="V20" i="21"/>
  <c r="V22" i="21" s="1"/>
  <c r="U20" i="21"/>
  <c r="U31" i="21" s="1"/>
  <c r="T20" i="21"/>
  <c r="T31" i="21" s="1"/>
  <c r="S20" i="21"/>
  <c r="R20" i="21"/>
  <c r="Q20" i="21"/>
  <c r="Q22" i="21" s="1"/>
  <c r="P20" i="21"/>
  <c r="P22" i="21" s="1"/>
  <c r="O20" i="21"/>
  <c r="O22" i="21" s="1"/>
  <c r="S29" i="21" l="1"/>
  <c r="T29" i="21"/>
  <c r="T33" i="21" s="1"/>
  <c r="R29" i="21"/>
  <c r="T22" i="21"/>
  <c r="V29" i="21"/>
  <c r="O31" i="21"/>
  <c r="Z29" i="21"/>
  <c r="U29" i="21"/>
  <c r="U33" i="21" s="1"/>
  <c r="U22" i="21"/>
  <c r="P31" i="21"/>
  <c r="O29" i="21"/>
  <c r="W29" i="21"/>
  <c r="V31" i="21"/>
  <c r="W31" i="21"/>
  <c r="X31" i="21"/>
  <c r="R22" i="21"/>
  <c r="Z22" i="21"/>
  <c r="S22" i="21"/>
  <c r="P29" i="21"/>
  <c r="X29" i="21"/>
  <c r="Q31" i="21"/>
  <c r="Y31" i="21"/>
  <c r="Q29" i="21"/>
  <c r="Y29" i="21"/>
  <c r="R31" i="21"/>
  <c r="Z31" i="21"/>
  <c r="S31" i="21"/>
  <c r="S33" i="21" l="1"/>
  <c r="O32" i="21"/>
  <c r="O30" i="21"/>
  <c r="R33" i="21"/>
  <c r="W33" i="21"/>
  <c r="P33" i="21"/>
  <c r="V33" i="21"/>
  <c r="O33" i="21"/>
  <c r="Z33" i="21"/>
  <c r="Q33" i="21"/>
  <c r="X33" i="21"/>
  <c r="Y33" i="21"/>
  <c r="O34" i="21" l="1"/>
  <c r="X16" i="20"/>
  <c r="N11" i="20"/>
  <c r="AA11" i="20"/>
  <c r="N25" i="19"/>
  <c r="N5" i="19"/>
  <c r="N6" i="19"/>
  <c r="N27" i="19"/>
  <c r="N26" i="19"/>
  <c r="N24" i="19"/>
  <c r="N7" i="19"/>
  <c r="N23" i="19"/>
  <c r="N31" i="19"/>
  <c r="N12" i="19"/>
  <c r="N13" i="19"/>
  <c r="N33" i="19"/>
  <c r="N29" i="19"/>
  <c r="N14" i="19"/>
  <c r="N30" i="19"/>
  <c r="N28" i="19"/>
  <c r="N15" i="19"/>
  <c r="N32" i="19"/>
  <c r="N16" i="19"/>
  <c r="N17" i="19"/>
  <c r="N8" i="19"/>
  <c r="N22" i="19"/>
  <c r="N18" i="19"/>
  <c r="N19" i="19"/>
  <c r="N20" i="19"/>
  <c r="N11" i="19"/>
  <c r="N9" i="19"/>
  <c r="N10" i="19"/>
  <c r="N21" i="19"/>
  <c r="N34" i="19"/>
  <c r="N17" i="20"/>
  <c r="AA17" i="20"/>
  <c r="X21" i="20"/>
  <c r="N21" i="20" s="1"/>
  <c r="X19" i="20"/>
  <c r="Y5" i="20"/>
  <c r="Y25" i="20" s="1"/>
  <c r="Y27" i="20" s="1"/>
  <c r="Q5" i="20"/>
  <c r="X13" i="20"/>
  <c r="O13" i="20"/>
  <c r="O25" i="20" s="1"/>
  <c r="O27" i="20" s="1"/>
  <c r="X7" i="20"/>
  <c r="Q7" i="20"/>
  <c r="AA20" i="20"/>
  <c r="AA22" i="20"/>
  <c r="AA12" i="20"/>
  <c r="AA6" i="20"/>
  <c r="AA18" i="20"/>
  <c r="AA19" i="20"/>
  <c r="AA8" i="20"/>
  <c r="AA16" i="20"/>
  <c r="AA15" i="20"/>
  <c r="AA9" i="20"/>
  <c r="AA10" i="20"/>
  <c r="N20" i="20"/>
  <c r="N22" i="20"/>
  <c r="N12" i="20"/>
  <c r="N6" i="20"/>
  <c r="N18" i="20"/>
  <c r="N19" i="20"/>
  <c r="N8" i="20"/>
  <c r="N16" i="20"/>
  <c r="N15" i="20"/>
  <c r="N9" i="20"/>
  <c r="N10" i="20"/>
  <c r="P49" i="20"/>
  <c r="Y31" i="20"/>
  <c r="Y30" i="20" s="1"/>
  <c r="X31" i="20"/>
  <c r="X30" i="20" s="1"/>
  <c r="Z30" i="20"/>
  <c r="W30" i="20"/>
  <c r="V30" i="20"/>
  <c r="U30" i="20"/>
  <c r="T30" i="20"/>
  <c r="S30" i="20"/>
  <c r="R30" i="20"/>
  <c r="Q30" i="20"/>
  <c r="P30" i="20"/>
  <c r="O30" i="20"/>
  <c r="Z25" i="20"/>
  <c r="W25" i="20"/>
  <c r="W27" i="20" s="1"/>
  <c r="V25" i="20"/>
  <c r="V27" i="20" s="1"/>
  <c r="U25" i="20"/>
  <c r="U27" i="20" s="1"/>
  <c r="T25" i="20"/>
  <c r="T36" i="20" s="1"/>
  <c r="S25" i="20"/>
  <c r="R25" i="20"/>
  <c r="P25" i="20"/>
  <c r="P27" i="20" s="1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Z100" i="3"/>
  <c r="Z95" i="3"/>
  <c r="Z97" i="3" s="1"/>
  <c r="B90" i="3"/>
  <c r="B91" i="3"/>
  <c r="C90" i="3"/>
  <c r="C91" i="3"/>
  <c r="D90" i="3"/>
  <c r="D91" i="3"/>
  <c r="E90" i="3"/>
  <c r="E91" i="3"/>
  <c r="F90" i="3"/>
  <c r="F91" i="3"/>
  <c r="G90" i="3"/>
  <c r="G91" i="3"/>
  <c r="H90" i="3"/>
  <c r="H91" i="3"/>
  <c r="I90" i="3"/>
  <c r="I91" i="3"/>
  <c r="J90" i="3"/>
  <c r="J91" i="3"/>
  <c r="K90" i="3"/>
  <c r="K91" i="3"/>
  <c r="B88" i="3"/>
  <c r="B89" i="3"/>
  <c r="C88" i="3"/>
  <c r="C89" i="3"/>
  <c r="D88" i="3"/>
  <c r="D89" i="3"/>
  <c r="E88" i="3"/>
  <c r="E89" i="3"/>
  <c r="F88" i="3"/>
  <c r="F89" i="3"/>
  <c r="G88" i="3"/>
  <c r="G89" i="3"/>
  <c r="H88" i="3"/>
  <c r="H89" i="3"/>
  <c r="I88" i="3"/>
  <c r="I89" i="3"/>
  <c r="J88" i="3"/>
  <c r="J89" i="3"/>
  <c r="K88" i="3"/>
  <c r="K89" i="3"/>
  <c r="R34" i="20" l="1"/>
  <c r="Q25" i="20"/>
  <c r="Q27" i="20" s="1"/>
  <c r="N13" i="20"/>
  <c r="Z34" i="20"/>
  <c r="AA21" i="20"/>
  <c r="AA13" i="20"/>
  <c r="S34" i="20"/>
  <c r="N5" i="20"/>
  <c r="AA5" i="20"/>
  <c r="X25" i="20"/>
  <c r="X27" i="20" s="1"/>
  <c r="N7" i="20"/>
  <c r="AA7" i="20"/>
  <c r="V34" i="20"/>
  <c r="O36" i="20"/>
  <c r="T27" i="20"/>
  <c r="W36" i="20"/>
  <c r="R27" i="20"/>
  <c r="Z27" i="20"/>
  <c r="T34" i="20"/>
  <c r="T38" i="20" s="1"/>
  <c r="U36" i="20"/>
  <c r="S27" i="20"/>
  <c r="U34" i="20"/>
  <c r="V36" i="20"/>
  <c r="O34" i="20"/>
  <c r="W34" i="20"/>
  <c r="P36" i="20"/>
  <c r="P34" i="20"/>
  <c r="Y36" i="20"/>
  <c r="Y34" i="20"/>
  <c r="R36" i="20"/>
  <c r="Z36" i="20"/>
  <c r="Z38" i="20" s="1"/>
  <c r="S36" i="20"/>
  <c r="Z104" i="3"/>
  <c r="Z106" i="3"/>
  <c r="R38" i="20" l="1"/>
  <c r="Q34" i="20"/>
  <c r="Q36" i="20"/>
  <c r="S38" i="20"/>
  <c r="X34" i="20"/>
  <c r="O35" i="20" s="1"/>
  <c r="X36" i="20"/>
  <c r="O37" i="20" s="1"/>
  <c r="W38" i="20"/>
  <c r="U38" i="20"/>
  <c r="P38" i="20"/>
  <c r="V38" i="20"/>
  <c r="O38" i="20"/>
  <c r="Y38" i="20"/>
  <c r="Q38" i="20"/>
  <c r="Z108" i="3"/>
  <c r="AB20" i="19"/>
  <c r="AB8" i="19"/>
  <c r="AB22" i="19"/>
  <c r="AB32" i="19"/>
  <c r="R61" i="19"/>
  <c r="AA43" i="19"/>
  <c r="AA42" i="19" s="1"/>
  <c r="Z43" i="19"/>
  <c r="Z42" i="19" s="1"/>
  <c r="Y42" i="19"/>
  <c r="X42" i="19"/>
  <c r="W42" i="19"/>
  <c r="V42" i="19"/>
  <c r="U42" i="19"/>
  <c r="T42" i="19"/>
  <c r="S42" i="19"/>
  <c r="R42" i="19"/>
  <c r="Q42" i="19"/>
  <c r="P42" i="19"/>
  <c r="O42" i="19"/>
  <c r="AA37" i="19"/>
  <c r="AA48" i="19" s="1"/>
  <c r="Z37" i="19"/>
  <c r="Y37" i="19"/>
  <c r="X37" i="19"/>
  <c r="W37" i="19"/>
  <c r="V37" i="19"/>
  <c r="V39" i="19" s="1"/>
  <c r="U37" i="19"/>
  <c r="U39" i="19" s="1"/>
  <c r="T37" i="19"/>
  <c r="T48" i="19" s="1"/>
  <c r="S37" i="19"/>
  <c r="S48" i="19" s="1"/>
  <c r="R37" i="19"/>
  <c r="R46" i="19" s="1"/>
  <c r="Q37" i="19"/>
  <c r="P37" i="19"/>
  <c r="O37" i="19"/>
  <c r="AB29" i="19"/>
  <c r="AB24" i="19"/>
  <c r="AB19" i="19"/>
  <c r="AB9" i="19"/>
  <c r="AB11" i="19"/>
  <c r="AB5" i="19"/>
  <c r="AB31" i="19"/>
  <c r="AB25" i="19"/>
  <c r="AB34" i="19"/>
  <c r="AB21" i="19"/>
  <c r="AB10" i="19"/>
  <c r="AB18" i="19"/>
  <c r="AB17" i="19"/>
  <c r="AB16" i="19"/>
  <c r="AB15" i="19"/>
  <c r="AB28" i="19"/>
  <c r="AB30" i="19"/>
  <c r="AB14" i="19"/>
  <c r="AB13" i="19"/>
  <c r="AB33" i="19"/>
  <c r="AB12" i="19"/>
  <c r="AB23" i="19"/>
  <c r="AB7" i="19"/>
  <c r="AB26" i="19"/>
  <c r="AB6" i="19"/>
  <c r="AB27" i="19"/>
  <c r="O46" i="19" l="1"/>
  <c r="Z46" i="19"/>
  <c r="W46" i="19"/>
  <c r="P46" i="19"/>
  <c r="Q46" i="19"/>
  <c r="X46" i="19"/>
  <c r="Y46" i="19"/>
  <c r="O39" i="20"/>
  <c r="X38" i="20"/>
  <c r="W39" i="19"/>
  <c r="S46" i="19"/>
  <c r="S50" i="19" s="1"/>
  <c r="AA46" i="19"/>
  <c r="AA50" i="19" s="1"/>
  <c r="U48" i="19"/>
  <c r="O39" i="19"/>
  <c r="P39" i="19"/>
  <c r="X39" i="19"/>
  <c r="T46" i="19"/>
  <c r="T50" i="19" s="1"/>
  <c r="V48" i="19"/>
  <c r="Q39" i="19"/>
  <c r="Y39" i="19"/>
  <c r="U46" i="19"/>
  <c r="O48" i="19"/>
  <c r="W48" i="19"/>
  <c r="R39" i="19"/>
  <c r="Z39" i="19"/>
  <c r="V46" i="19"/>
  <c r="P48" i="19"/>
  <c r="X48" i="19"/>
  <c r="S39" i="19"/>
  <c r="AA39" i="19"/>
  <c r="Q48" i="19"/>
  <c r="Q50" i="19" s="1"/>
  <c r="Y48" i="19"/>
  <c r="T39" i="19"/>
  <c r="R48" i="19"/>
  <c r="R50" i="19" s="1"/>
  <c r="Z48" i="19"/>
  <c r="Y50" i="19" l="1"/>
  <c r="W50" i="19"/>
  <c r="P50" i="19"/>
  <c r="Z50" i="19"/>
  <c r="X50" i="19"/>
  <c r="O47" i="19"/>
  <c r="V50" i="19"/>
  <c r="O49" i="19"/>
  <c r="O50" i="19"/>
  <c r="U50" i="19"/>
  <c r="O104" i="3"/>
  <c r="P106" i="3"/>
  <c r="Q95" i="3"/>
  <c r="Q106" i="3" s="1"/>
  <c r="R95" i="3"/>
  <c r="R106" i="3" s="1"/>
  <c r="S95" i="3"/>
  <c r="S106" i="3" s="1"/>
  <c r="T95" i="3"/>
  <c r="T106" i="3" s="1"/>
  <c r="U95" i="3"/>
  <c r="U106" i="3" s="1"/>
  <c r="V95" i="3"/>
  <c r="V106" i="3" s="1"/>
  <c r="W95" i="3"/>
  <c r="W106" i="3" s="1"/>
  <c r="X95" i="3"/>
  <c r="X106" i="3" s="1"/>
  <c r="Y95" i="3"/>
  <c r="Y106" i="3" s="1"/>
  <c r="S100" i="3"/>
  <c r="T100" i="3"/>
  <c r="U100" i="3"/>
  <c r="V100" i="3"/>
  <c r="W100" i="3"/>
  <c r="X101" i="3"/>
  <c r="X100" i="3" s="1"/>
  <c r="Y101" i="3"/>
  <c r="Y100" i="3" s="1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R119" i="3"/>
  <c r="R97" i="3"/>
  <c r="T97" i="3" l="1"/>
  <c r="V97" i="3"/>
  <c r="Y97" i="3"/>
  <c r="Y104" i="3"/>
  <c r="U97" i="3"/>
  <c r="W104" i="3"/>
  <c r="W108" i="3" s="1"/>
  <c r="Q97" i="3"/>
  <c r="W97" i="3"/>
  <c r="S97" i="3"/>
  <c r="U104" i="3"/>
  <c r="U108" i="3" s="1"/>
  <c r="O106" i="3"/>
  <c r="Q104" i="3"/>
  <c r="Q108" i="3" s="1"/>
  <c r="S104" i="3"/>
  <c r="S108" i="3" s="1"/>
  <c r="P104" i="3"/>
  <c r="P108" i="3" s="1"/>
  <c r="V104" i="3"/>
  <c r="V108" i="3" s="1"/>
  <c r="O51" i="19"/>
  <c r="O63" i="19" s="1"/>
  <c r="Y108" i="3"/>
  <c r="X104" i="3"/>
  <c r="X108" i="3" s="1"/>
  <c r="T104" i="3"/>
  <c r="T108" i="3" s="1"/>
  <c r="R104" i="3"/>
  <c r="R108" i="3" s="1"/>
  <c r="X97" i="3"/>
  <c r="O105" i="3" l="1"/>
  <c r="O108" i="3"/>
  <c r="O107" i="3"/>
  <c r="O109" i="3" l="1"/>
  <c r="O121" i="3" s="1"/>
</calcChain>
</file>

<file path=xl/sharedStrings.xml><?xml version="1.0" encoding="utf-8"?>
<sst xmlns="http://schemas.openxmlformats.org/spreadsheetml/2006/main" count="1817" uniqueCount="244">
  <si>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</si>
  <si>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</si>
  <si>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</si>
  <si>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</si>
  <si>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</si>
  <si>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</si>
  <si>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</si>
  <si>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</si>
  <si>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</si>
  <si>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</si>
  <si>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</si>
  <si>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</si>
  <si>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</si>
  <si>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</si>
  <si>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</si>
  <si>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</si>
  <si>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</si>
  <si>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</si>
  <si>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</si>
  <si>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</si>
  <si>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</si>
  <si>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</si>
  <si>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</si>
  <si>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</si>
  <si>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</si>
  <si>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</si>
  <si>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</si>
  <si>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</si>
  <si>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</si>
  <si>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</si>
  <si>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</si>
  <si>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</si>
  <si>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</si>
  <si>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</si>
  <si>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</si>
  <si>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</si>
  <si>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</si>
  <si>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</si>
  <si>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</si>
  <si>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</si>
  <si>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</si>
  <si>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</si>
  <si>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</si>
  <si>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Vitacura</t>
  </si>
  <si>
    <t>Vespucio</t>
  </si>
  <si>
    <t>UC</t>
  </si>
  <si>
    <t>Las Condes</t>
  </si>
  <si>
    <t>Santa Maria</t>
  </si>
  <si>
    <t>Lukas Quense</t>
  </si>
  <si>
    <t>Los Trapenses</t>
  </si>
  <si>
    <t>Vial</t>
  </si>
  <si>
    <t>Monte Tabor</t>
  </si>
  <si>
    <t>Fernandez</t>
  </si>
  <si>
    <t>UDD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</si>
  <si>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</si>
  <si>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</si>
  <si>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</si>
  <si>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</si>
  <si>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</si>
  <si>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</si>
  <si>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</si>
  <si>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</si>
  <si>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</si>
  <si>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</si>
  <si>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</si>
  <si>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</si>
  <si>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</si>
  <si>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</si>
  <si>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</si>
  <si>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</si>
  <si>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</si>
  <si>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Deuda</t>
  </si>
  <si>
    <t>Morales</t>
  </si>
  <si>
    <t>Los Trapenses 3230</t>
  </si>
  <si>
    <t>morales.villar25@gmail.com</t>
  </si>
  <si>
    <t>La Dehesa</t>
  </si>
  <si>
    <t>UAndes</t>
  </si>
  <si>
    <t>Mani</t>
  </si>
  <si>
    <t>Pistachos</t>
  </si>
  <si>
    <t>Caju</t>
  </si>
  <si>
    <t>Almendras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</si>
  <si>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</si>
  <si>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</si>
  <si>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</si>
  <si>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</si>
  <si>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</si>
  <si>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</si>
  <si>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</si>
  <si>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</si>
  <si>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</si>
  <si>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</si>
  <si>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</si>
  <si>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</si>
  <si>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Newland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</si>
  <si>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</si>
  <si>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</si>
  <si>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</si>
  <si>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</si>
  <si>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</si>
  <si>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</si>
  <si>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</si>
  <si>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</si>
  <si>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</si>
  <si>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</si>
  <si>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</si>
  <si>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</si>
  <si>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</si>
  <si>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</si>
  <si>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</si>
  <si>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</si>
  <si>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</si>
  <si>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</si>
  <si>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</si>
  <si>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</si>
  <si>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</si>
  <si>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</si>
  <si>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</si>
  <si>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</si>
  <si>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</si>
  <si>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</si>
  <si>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</si>
  <si>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</si>
  <si>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</si>
  <si>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</si>
  <si>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</si>
  <si>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</si>
  <si>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</si>
  <si>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</si>
  <si>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</si>
  <si>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</si>
  <si>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</si>
  <si>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</si>
  <si>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</si>
  <si>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</si>
  <si>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</si>
  <si>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Chicureo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</si>
  <si>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</si>
  <si>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</si>
  <si>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</si>
  <si>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</si>
  <si>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</si>
  <si>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</si>
  <si>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</si>
  <si>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</si>
  <si>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</si>
  <si>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</si>
  <si>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</si>
  <si>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</si>
  <si>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</si>
  <si>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</si>
  <si>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</si>
  <si>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</si>
  <si>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</si>
  <si>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</si>
  <si>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</si>
  <si>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</si>
  <si>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</si>
  <si>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</si>
  <si>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</si>
  <si>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</si>
  <si>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</si>
  <si>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</si>
  <si>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</si>
  <si>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</si>
  <si>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</si>
  <si>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</si>
  <si>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</si>
  <si>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</si>
  <si>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</si>
  <si>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</si>
  <si>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</si>
  <si>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</si>
  <si>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Av La Dehesa 4510 Casa 10</t>
  </si>
  <si>
    <t>exequielswinburn@gmail.com</t>
  </si>
  <si>
    <t>Santa Veronica 1035</t>
  </si>
  <si>
    <t>jpgermain17@gmail.com</t>
  </si>
  <si>
    <t>Florencia</t>
  </si>
  <si>
    <t>Croxatto</t>
  </si>
  <si>
    <t>Los Olivos 12179</t>
  </si>
  <si>
    <t>fcroxatto@uc.cl</t>
  </si>
  <si>
    <t>Cristobal</t>
  </si>
  <si>
    <t>Valdes</t>
  </si>
  <si>
    <t>Los Queltehues 11524</t>
  </si>
  <si>
    <t>Cordillera</t>
  </si>
  <si>
    <t>cristobalvaldes99@gmail.com</t>
  </si>
  <si>
    <t>Muschen</t>
  </si>
  <si>
    <t>Pia</t>
  </si>
  <si>
    <t>Camino Mirasol 2569</t>
  </si>
  <si>
    <t>Empanadas</t>
  </si>
  <si>
    <t>Piedra Roja</t>
  </si>
  <si>
    <t>Paul</t>
  </si>
  <si>
    <t>Brenner</t>
  </si>
  <si>
    <t>San Jose De La Sierra 1105</t>
  </si>
  <si>
    <t>Quinchamali</t>
  </si>
  <si>
    <t>paulmartinbrenner@hotmail.com</t>
  </si>
  <si>
    <t>Joaquin</t>
  </si>
  <si>
    <t>Daly</t>
  </si>
  <si>
    <t>Polo 1 de Manquehue Casa 112</t>
  </si>
  <si>
    <t>CSA</t>
  </si>
  <si>
    <t>dalyjoaquin@gmail.com</t>
  </si>
  <si>
    <t>Parque Antonio Rabbat 6333</t>
  </si>
  <si>
    <t>Badia</t>
  </si>
  <si>
    <t>Av Golf Lomas de La Dehesa 11755</t>
  </si>
  <si>
    <t>isidorabadiaw@gmail.com</t>
  </si>
  <si>
    <t>Las Condesas 2035</t>
  </si>
  <si>
    <t>SI</t>
  </si>
  <si>
    <t>NO</t>
  </si>
  <si>
    <t>Ric</t>
  </si>
  <si>
    <t>Jungk</t>
  </si>
  <si>
    <t>Pasaje Pie Andino 4209A</t>
  </si>
  <si>
    <t>rtjungk@miuandes.cl</t>
  </si>
  <si>
    <t>matimuschen@gmail.com</t>
  </si>
  <si>
    <t>Si</t>
  </si>
  <si>
    <t>Tati</t>
  </si>
  <si>
    <t>Von Storch</t>
  </si>
  <si>
    <t>tevonstorch@uc.cl</t>
  </si>
  <si>
    <t>Carlos Pena Otaegui 11472</t>
  </si>
  <si>
    <t>SOCIO</t>
  </si>
  <si>
    <t>Jesu</t>
  </si>
  <si>
    <t>Valenzuela</t>
  </si>
  <si>
    <t>Bombay 8825</t>
  </si>
  <si>
    <t>Alto Las Condes</t>
  </si>
  <si>
    <t>mjvalenzuela3@uc.cl</t>
  </si>
  <si>
    <t>Eichholz</t>
  </si>
  <si>
    <t>Estrella Del Norte 980 Dpto 154</t>
  </si>
  <si>
    <t>joaquin.eichholz@gmail.com</t>
  </si>
  <si>
    <t>icastanedaw@gmail.com</t>
  </si>
  <si>
    <t>Vicky</t>
  </si>
  <si>
    <t>Chaparro</t>
  </si>
  <si>
    <t>Carolina Rabat 780 Casa 8</t>
  </si>
  <si>
    <t>mchaparroh@udd.cl</t>
  </si>
  <si>
    <t>Cata</t>
  </si>
  <si>
    <t>Lukas</t>
  </si>
  <si>
    <t>Quense</t>
  </si>
  <si>
    <t>Cerro Cortadera 9897</t>
  </si>
  <si>
    <t>lukas.quense@gmail.com</t>
  </si>
  <si>
    <t>Tondreau</t>
  </si>
  <si>
    <t>Francisco de Aguirre 4155</t>
  </si>
  <si>
    <t>catalinatp_97@hotmail.com</t>
  </si>
  <si>
    <t>piarodriguez24@gmail.com</t>
  </si>
  <si>
    <t>Remate paltas</t>
  </si>
  <si>
    <t>Mani Miel</t>
  </si>
  <si>
    <t>Mani Salado</t>
  </si>
  <si>
    <t>Mani 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</si>
</sst>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20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37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left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2" xfId="0" quotePrefix="1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43" xfId="0" applyFont="1" applyBorder="1" applyAlignment="1">
      <alignment horizontal="center" vertical="center"/>
    </xf>
    <xf numFmtId="164" fontId="0" fillId="0" borderId="42" xfId="0" applyFont="1" applyBorder="1" applyAlignment="1">
      <alignment horizontal="center" vertical="center"/>
    </xf>
    <xf numFmtId="164" fontId="0" fillId="0" borderId="41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0" fillId="0" borderId="44" xfId="0" applyNumberFormat="1" applyBorder="1"/>
    <xf numFmtId="164" fontId="0" fillId="0" borderId="44" xfId="0" applyBorder="1"/>
    <xf numFmtId="164" fontId="0" fillId="0" borderId="46" xfId="0" applyNumberFormat="1" applyBorder="1"/>
    <xf numFmtId="164" fontId="0" fillId="0" borderId="45" xfId="0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45" xfId="0" applyNumberFormat="1" applyBorder="1"/>
    <xf numFmtId="164" fontId="7" fillId="0" borderId="25" xfId="0" applyFont="1" applyBorder="1" applyAlignment="1">
      <alignment horizontal="center" vertical="center" textRotation="90"/>
    </xf>
    <xf numFmtId="164" fontId="7" fillId="0" borderId="1" xfId="0" applyFont="1" applyBorder="1" applyAlignment="1">
      <alignment horizontal="center" vertical="center" textRotation="90"/>
    </xf>
    <xf numFmtId="164" fontId="7" fillId="0" borderId="47" xfId="0" applyFont="1" applyBorder="1" applyAlignment="1">
      <alignment horizontal="center" vertical="center" textRotation="90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3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5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7" fillId="0" borderId="48" xfId="0" applyFont="1" applyBorder="1" applyAlignment="1">
      <alignment horizontal="center" vertical="center" textRotation="90"/>
    </xf>
    <xf numFmtId="164" fontId="7" fillId="0" borderId="49" xfId="0" applyFont="1" applyBorder="1" applyAlignment="1">
      <alignment horizontal="center" vertical="center" textRotation="90"/>
    </xf>
    <xf numFmtId="164" fontId="7" fillId="0" borderId="50" xfId="0" applyFont="1" applyBorder="1" applyAlignment="1">
      <alignment horizontal="center" vertical="center" textRotation="90"/>
    </xf>
    <xf numFmtId="164" fontId="7" fillId="0" borderId="19" xfId="0" applyFont="1" applyBorder="1" applyAlignment="1">
      <alignment horizontal="center" vertical="center" textRotation="90"/>
    </xf>
    <xf numFmtId="164" fontId="7" fillId="0" borderId="21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4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  <row r="85">
          <cell r="A85" t="str">
            <v>Matias</v>
          </cell>
          <cell r="B85" t="str">
            <v>Muschen</v>
          </cell>
          <cell r="C85" t="str">
            <v>Las Condesas 2035</v>
          </cell>
          <cell r="D85" t="str">
            <v>Las Condes</v>
          </cell>
          <cell r="E85" t="str">
            <v>San Carlos</v>
          </cell>
          <cell r="F85" t="str">
            <v>Aleman</v>
          </cell>
          <cell r="G85" t="str">
            <v>JEFE</v>
          </cell>
          <cell r="H85">
            <v>56990163951</v>
          </cell>
          <cell r="I85" t="str">
            <v>matimuschen@gmail.com</v>
          </cell>
          <cell r="J85" t="str">
            <v>Lukas Quense</v>
          </cell>
        </row>
        <row r="86">
          <cell r="A86" t="str">
            <v>Pia</v>
          </cell>
          <cell r="B86" t="str">
            <v>Rodriguez</v>
          </cell>
          <cell r="C86" t="str">
            <v>Camino Mirasol 2569</v>
          </cell>
          <cell r="D86" t="str">
            <v>Las Condes</v>
          </cell>
          <cell r="E86" t="str">
            <v>San Carlos</v>
          </cell>
          <cell r="G86" t="str">
            <v>JEFE</v>
          </cell>
          <cell r="H86">
            <v>56978945335</v>
          </cell>
          <cell r="I86" t="str">
            <v>piarodriguez24@gmail.com</v>
          </cell>
          <cell r="J86" t="str">
            <v>Lukas Quense</v>
          </cell>
        </row>
        <row r="87">
          <cell r="A87" t="str">
            <v>Gino</v>
          </cell>
          <cell r="B87" t="str">
            <v>Genova</v>
          </cell>
          <cell r="H87"/>
          <cell r="I87"/>
          <cell r="J87" t="str">
            <v>Joaquin Eichholz</v>
          </cell>
        </row>
        <row r="88">
          <cell r="A88" t="str">
            <v>Isidora</v>
          </cell>
          <cell r="B88" t="str">
            <v>Badia</v>
          </cell>
          <cell r="C88" t="str">
            <v>Av Golf Lomas de La Dehesa 11755</v>
          </cell>
          <cell r="D88" t="str">
            <v>Lo Barnechea</v>
          </cell>
          <cell r="E88" t="str">
            <v>Los Trapenses</v>
          </cell>
          <cell r="F88" t="str">
            <v>UAI</v>
          </cell>
          <cell r="G88" t="str">
            <v>JEFE</v>
          </cell>
          <cell r="H88">
            <v>56976994719</v>
          </cell>
          <cell r="I88" t="str">
            <v>isidorabadiaw@gmail.com</v>
          </cell>
          <cell r="J88" t="str">
            <v>Lukas Quense</v>
          </cell>
        </row>
        <row r="89">
          <cell r="A89" t="str">
            <v>Tati</v>
          </cell>
          <cell r="B89" t="str">
            <v>Von Storch</v>
          </cell>
          <cell r="C89" t="str">
            <v>Carlos Pena Otaegui 11472</v>
          </cell>
          <cell r="D89" t="str">
            <v>Las Condes</v>
          </cell>
          <cell r="G89" t="str">
            <v>JEFE</v>
          </cell>
          <cell r="H89">
            <v>56977895588</v>
          </cell>
          <cell r="I89" t="str">
            <v>tevonstorch@uc.cl</v>
          </cell>
          <cell r="J89" t="str">
            <v>Lukas Quense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B92" totalsRowShown="0" headerRowDxfId="472" headerRowBorderDxfId="471" tableBorderDxfId="470" totalsRowBorderDxfId="469">
  <autoFilter ref="B4:AB92" xr:uid="{00000000-0009-0000-0100-000002000000}"/>
  <sortState ref="B5:AB87">
    <sortCondition ref="C4:C72"/>
  </sortState>
  <tableColumns count="27">
    <tableColumn id="1" xr3:uid="{00000000-0010-0000-0000-000001000000}" name="Nombre" dataDxfId="468">
      <calculatedColumnFormula>[1]Personas!A2</calculatedColumnFormula>
    </tableColumn>
    <tableColumn id="2" xr3:uid="{00000000-0010-0000-0000-000002000000}" name="Apellido" dataDxfId="467" totalsRowDxfId="466">
      <calculatedColumnFormula>[1]Personas!B2</calculatedColumnFormula>
    </tableColumn>
    <tableColumn id="3" xr3:uid="{00000000-0010-0000-0000-000003000000}" name="Direccion" dataDxfId="465" totalsRowDxfId="464">
      <calculatedColumnFormula>[1]Personas!C2</calculatedColumnFormula>
    </tableColumn>
    <tableColumn id="4" xr3:uid="{00000000-0010-0000-0000-000004000000}" name="Comuna" dataDxfId="463" totalsRowDxfId="462">
      <calculatedColumnFormula>[1]Personas!D2</calculatedColumnFormula>
    </tableColumn>
    <tableColumn id="20" xr3:uid="{00000000-0010-0000-0000-000014000000}" name="Sector" dataDxfId="461" totalsRowDxfId="460">
      <calculatedColumnFormula>[1]Personas!E2</calculatedColumnFormula>
    </tableColumn>
    <tableColumn id="21" xr3:uid="{00000000-0010-0000-0000-000015000000}" name="Universidad" dataDxfId="459" totalsRowDxfId="458">
      <calculatedColumnFormula>[1]Personas!F2</calculatedColumnFormula>
    </tableColumn>
    <tableColumn id="22" xr3:uid="{00000000-0010-0000-0000-000016000000}" name="Cargo" dataDxfId="457" totalsRowDxfId="456">
      <calculatedColumnFormula>[1]Personas!G2</calculatedColumnFormula>
    </tableColumn>
    <tableColumn id="19" xr3:uid="{00000000-0010-0000-0000-000013000000}" name="Telefono" dataDxfId="455" totalsRowDxfId="454">
      <calculatedColumnFormula>[1]Personas!H2</calculatedColumnFormula>
    </tableColumn>
    <tableColumn id="12" xr3:uid="{00000000-0010-0000-0000-00000C000000}" name="Mail" dataDxfId="453" totalsRowDxfId="452" dataCellStyle="Millares">
      <calculatedColumnFormula>[1]Personas!I2</calculatedColumnFormula>
    </tableColumn>
    <tableColumn id="29" xr3:uid="{00000000-0010-0000-0000-00001D000000}" name="Encargado" dataDxfId="451" totalsRowDxfId="450" dataCellStyle="Millares">
      <calculatedColumnFormula>[1]Personas!J2</calculatedColumnFormula>
    </tableColumn>
    <tableColumn id="28" xr3:uid="{00000000-0010-0000-0000-00001C000000}" name="Entregado" dataDxfId="449" totalsRowDxfId="448"/>
    <tableColumn id="11" xr3:uid="{EA03B5A3-0D22-4235-8B84-5BCED3FE14DE}" name="Pagado" dataDxfId="447" totalsRowDxfId="446"/>
    <tableColumn id="5" xr3:uid="{00000000-0010-0000-0000-000005000000}" name="Deuda" dataDxfId="445" totalsRowDxfId="444">
      <calculatedColumnFormula>SUMPRODUCT(Tabla523[[#This Row],[Paltas]:[Empanadas]],O$102:Z$102)</calculatedColumnFormula>
    </tableColumn>
    <tableColumn id="7" xr3:uid="{00000000-0010-0000-0000-000007000000}" name="Paltas" dataDxfId="443" totalsRowDxfId="442"/>
    <tableColumn id="8" xr3:uid="{00000000-0010-0000-0000-000008000000}" name="Quesos" dataDxfId="441" totalsRowDxfId="440"/>
    <tableColumn id="9" xr3:uid="{00000000-0010-0000-0000-000009000000}" name="Frutillas" dataDxfId="439" totalsRowDxfId="438"/>
    <tableColumn id="10" xr3:uid="{00000000-0010-0000-0000-00000A000000}" name="Tomate Cherry" dataDxfId="437" totalsRowDxfId="436"/>
    <tableColumn id="14" xr3:uid="{00000000-0010-0000-0000-00000E000000}" name="Nueces" dataDxfId="435" totalsRowDxfId="434"/>
    <tableColumn id="15" xr3:uid="{521ADC59-7BBF-4276-8FA1-9D5F3652F653}" name="Mani" dataDxfId="433" totalsRowDxfId="432"/>
    <tableColumn id="16" xr3:uid="{A0273DDC-1B43-44D2-9218-45E0A5D88391}" name="Pistachos" dataDxfId="431" totalsRowDxfId="430"/>
    <tableColumn id="17" xr3:uid="{C5A1A2FF-4286-42A7-8DEE-9A684DFF7AC0}" name="Caju" dataDxfId="429" totalsRowDxfId="428"/>
    <tableColumn id="18" xr3:uid="{C6D5E838-31A0-4EAD-849A-FAC4EC0A9B82}" name="Almendras" dataDxfId="427" totalsRowDxfId="426"/>
    <tableColumn id="24" xr3:uid="{27EB8D53-46B1-4BC2-BFB6-B8CE36C95103}" name="Cerezas" dataDxfId="425" totalsRowDxfId="424"/>
    <tableColumn id="25" xr3:uid="{39A7B418-A22B-4561-896D-DE159452AE13}" name="Arandanos" dataDxfId="423" totalsRowDxfId="422"/>
    <tableColumn id="26" xr3:uid="{71B74DBE-6416-4D1B-88FD-C4514F95BA6A}" name="Empanadas" dataDxfId="421" totalsRowDxfId="420"/>
    <tableColumn id="23" xr3:uid="{00000000-0010-0000-0000-000017000000}" name="Total" dataDxfId="419">
      <calculatedColumnFormula>SUM(Tabla523[[#This Row],[Paltas]:[Empanadas]])</calculatedColumnFormula>
    </tableColumn>
    <tableColumn id="30" xr3:uid="{00000000-0010-0000-0000-00001E000000}" name="Comentario" dataDxfId="418" totalsRowDxfId="41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9EEF5-AB8B-4180-8244-F7E5B70DA91C}" name="Tabla5232" displayName="Tabla5232" ref="B4:AC34" totalsRowShown="0" headerRowDxfId="413" headerRowBorderDxfId="412" tableBorderDxfId="411" totalsRowBorderDxfId="410">
  <autoFilter ref="B4:AC34" xr:uid="{00000000-0009-0000-0100-000002000000}"/>
  <sortState ref="B5:AC34">
    <sortCondition ref="M4:M34"/>
  </sortState>
  <tableColumns count="28">
    <tableColumn id="1" xr3:uid="{71B4C92C-9C64-41E8-A798-4510DC81DF4A}" name="Nombre" dataDxfId="409"/>
    <tableColumn id="2" xr3:uid="{58E5AB42-96EA-40B4-B703-94FA8092DC4E}" name="Apellido" dataDxfId="408" totalsRowDxfId="407"/>
    <tableColumn id="3" xr3:uid="{C9AC297E-4DAA-496B-91B7-3E3B53BC637C}" name="Direccion" dataDxfId="406" totalsRowDxfId="405"/>
    <tableColumn id="4" xr3:uid="{0D2A2296-A23C-497C-A510-1B1BA009174C}" name="Comuna" dataDxfId="404" totalsRowDxfId="403"/>
    <tableColumn id="20" xr3:uid="{456400BD-3F02-42A6-810F-B46A8184E6D5}" name="Sector" dataDxfId="402" totalsRowDxfId="401"/>
    <tableColumn id="21" xr3:uid="{5A1F73F5-E7EA-4C10-8CF6-D9AD98725AC2}" name="Universidad" dataDxfId="400" totalsRowDxfId="399"/>
    <tableColumn id="22" xr3:uid="{09AA1EAF-A9E4-4DED-81BA-F1985931A1D2}" name="Cargo" dataDxfId="398" totalsRowDxfId="397"/>
    <tableColumn id="19" xr3:uid="{3E8E2A3D-A163-4D20-A5CF-23AB49B4B9A2}" name="Telefono" dataDxfId="396" totalsRowDxfId="395"/>
    <tableColumn id="12" xr3:uid="{632A6781-39DA-4F7A-B4D3-967429AC58C3}" name="Mail" dataDxfId="394" totalsRowDxfId="393" dataCellStyle="Millares"/>
    <tableColumn id="29" xr3:uid="{5058808B-1DDC-4693-9828-F5F08034D128}" name="Encargado" dataDxfId="392" totalsRowDxfId="391" dataCellStyle="Millares"/>
    <tableColumn id="28" xr3:uid="{44AE51D1-5510-4C54-A6FF-FCF243FBA379}" name="Entregado" dataDxfId="390" totalsRowDxfId="389"/>
    <tableColumn id="11" xr3:uid="{E56BFFCB-4649-43A5-AC87-2D5182B21DC5}" name="Pagado" dataDxfId="388" totalsRowDxfId="387"/>
    <tableColumn id="5" xr3:uid="{30960046-F2A4-4D1E-85CB-7E24D59297A3}" name="Deuda" dataDxfId="386" totalsRowDxfId="385">
      <calculatedColumnFormula>SUMPRODUCT(Tabla5232[[#This Row],[Naranjas]:[Arandanos]],O$99:AA$99)</calculatedColumnFormula>
    </tableColumn>
    <tableColumn id="7" xr3:uid="{829F5950-A077-48F7-B019-4A5B7B1ACD3C}" name="Naranjas" dataDxfId="384" totalsRowDxfId="383"/>
    <tableColumn id="8" xr3:uid="{73E8CFA6-B4FD-4A91-87F1-16596133B9C1}" name="Mandarinas" dataDxfId="382" totalsRowDxfId="381"/>
    <tableColumn id="9" xr3:uid="{A5F735DE-F64D-484E-A26F-B84B2FBAC03C}" name="Paltas" dataDxfId="380" totalsRowDxfId="379"/>
    <tableColumn id="10" xr3:uid="{2789C415-CB5E-4B24-A2F9-224AAEB821CE}" name="Quesos" dataDxfId="378" totalsRowDxfId="377"/>
    <tableColumn id="6" xr3:uid="{8B14CFF4-4C69-480B-AD97-A2B8513DD53B}" name="Frutillas" dataDxfId="376" totalsRowDxfId="375"/>
    <tableColumn id="13" xr3:uid="{1FB2ED45-888A-4E81-880C-975BA7331F19}" name="Tomate Cherry" dataDxfId="374" totalsRowDxfId="373"/>
    <tableColumn id="14" xr3:uid="{6459A08D-275F-46AA-9A07-EFD30893355D}" name="Nueces" dataDxfId="372" totalsRowDxfId="371"/>
    <tableColumn id="15" xr3:uid="{963A48D3-52E6-413A-86E5-96E6E3F452C3}" name="Mani Sal" dataDxfId="370" totalsRowDxfId="369"/>
    <tableColumn id="16" xr3:uid="{BFD03669-23EA-4121-8A67-47B859296D30}" name="Pistachos" dataDxfId="368" totalsRowDxfId="367"/>
    <tableColumn id="17" xr3:uid="{168D9731-715E-457C-B56A-7DA67280ED14}" name="Caju" dataDxfId="366" totalsRowDxfId="365"/>
    <tableColumn id="18" xr3:uid="{D81D2DF2-0D65-4DC0-B8D4-AD6CA8DE80F7}" name="Almendras" dataDxfId="364" totalsRowDxfId="363"/>
    <tableColumn id="24" xr3:uid="{48AE6144-4171-4249-9C00-064ACA9EF49F}" name="Cerezas" dataDxfId="362" totalsRowDxfId="361"/>
    <tableColumn id="25" xr3:uid="{F01808BB-3E1C-492A-A5E6-89174DFEBED7}" name="Arandanos" dataDxfId="360" totalsRowDxfId="359"/>
    <tableColumn id="23" xr3:uid="{1B2DE2B9-F48F-4545-B84F-8441640915AA}" name="Total" dataDxfId="358">
      <calculatedColumnFormula>SUM(Tabla5232[[#This Row],[Naranjas]:[Arandanos]])</calculatedColumnFormula>
    </tableColumn>
    <tableColumn id="30" xr3:uid="{9C95A16C-119E-4C8F-AA98-4BE9847DE85D}" name="Comentario" dataDxfId="357" totalsRowDxfId="35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5939B1-6E3E-47BB-80A0-EC0289829611}" name="Tabla5234" displayName="Tabla5234" ref="B4:AB22" totalsRowShown="0" headerRowDxfId="352" headerRowBorderDxfId="351" tableBorderDxfId="350" totalsRowBorderDxfId="349">
  <autoFilter ref="B4:AB22" xr:uid="{00000000-0009-0000-0100-000002000000}"/>
  <sortState ref="B5:AB22">
    <sortCondition ref="M4:M22"/>
  </sortState>
  <tableColumns count="27">
    <tableColumn id="1" xr3:uid="{437D22FA-39C6-4DDE-B240-1CE6B15C5592}" name="Nombre" dataDxfId="348"/>
    <tableColumn id="2" xr3:uid="{284B03E7-45BB-4638-A663-9DB60F2FD435}" name="Apellido" dataDxfId="347" totalsRowDxfId="346"/>
    <tableColumn id="3" xr3:uid="{38309E86-1285-490B-BA81-DCA9D8160C32}" name="Direccion" dataDxfId="345" totalsRowDxfId="344"/>
    <tableColumn id="4" xr3:uid="{224D1D55-73AF-4E72-B8D0-9A1CE053818C}" name="Comuna" dataDxfId="343" totalsRowDxfId="342"/>
    <tableColumn id="20" xr3:uid="{88A29F3C-15A3-4E6D-91AF-930A03B0257D}" name="Sector" dataDxfId="341" totalsRowDxfId="340"/>
    <tableColumn id="21" xr3:uid="{2414206A-CC71-4708-8AA1-DEF707F4F083}" name="Universidad" dataDxfId="339" totalsRowDxfId="338"/>
    <tableColumn id="22" xr3:uid="{38F5FBD2-2DE1-4F7C-844B-077A76594499}" name="Cargo" dataDxfId="337" totalsRowDxfId="336"/>
    <tableColumn id="19" xr3:uid="{FF7B4033-A94F-436C-8891-D8088BDDA3E7}" name="Telefono" dataDxfId="335" totalsRowDxfId="334"/>
    <tableColumn id="12" xr3:uid="{72404270-8AC6-4312-AD82-DB59720C469C}" name="Mail" dataDxfId="333" totalsRowDxfId="332" dataCellStyle="Millares"/>
    <tableColumn id="29" xr3:uid="{AEE1CA8F-0C31-4A59-AA93-8D920355DE77}" name="Encargado" dataDxfId="331" totalsRowDxfId="330" dataCellStyle="Millares"/>
    <tableColumn id="28" xr3:uid="{D140BA68-4EA1-42C2-A1C4-58E1F3E3E06F}" name="Entregado" dataDxfId="329" totalsRowDxfId="328"/>
    <tableColumn id="11" xr3:uid="{CECE6857-FB57-4313-BEED-C8B33CD66B24}" name="Pagado" dataDxfId="327" totalsRowDxfId="326"/>
    <tableColumn id="5" xr3:uid="{FA12459A-27EB-4631-9DA8-B0466F187D13}" name="Deuda" dataDxfId="325" totalsRowDxfId="324">
      <calculatedColumnFormula>SUMPRODUCT(Tabla5234[[#This Row],[Paltas]:[Empanadas]],O$33:Z$33)</calculatedColumnFormula>
    </tableColumn>
    <tableColumn id="9" xr3:uid="{89C1ADA4-E7ED-4155-8B63-CC06927D2EFC}" name="Paltas" dataDxfId="323" totalsRowDxfId="322"/>
    <tableColumn id="10" xr3:uid="{2C8352FD-8421-4448-954E-8D01E13795EF}" name="Quesos" dataDxfId="321" totalsRowDxfId="320"/>
    <tableColumn id="6" xr3:uid="{2302DABD-F433-43F7-8116-2A36678B5675}" name="Frutillas" dataDxfId="319" totalsRowDxfId="318"/>
    <tableColumn id="13" xr3:uid="{AA08DF1B-AD16-43DE-A7CE-B2528C6CA9CF}" name="Tomate Cherry" dataDxfId="317" totalsRowDxfId="316"/>
    <tableColumn id="14" xr3:uid="{9B8517BE-D356-4D20-B71A-4802596E752D}" name="Nueces" dataDxfId="315" totalsRowDxfId="314"/>
    <tableColumn id="15" xr3:uid="{81B5433F-70A2-401F-8B51-2A18CF33F44F}" name="Mani Sal" dataDxfId="313" totalsRowDxfId="312"/>
    <tableColumn id="16" xr3:uid="{43914BE7-7674-43B4-9364-8EEAF1D666CF}" name="Pistachos" dataDxfId="311" totalsRowDxfId="310"/>
    <tableColumn id="17" xr3:uid="{6D632EA4-0F8D-4F06-A8D7-F7035481A6AA}" name="Caju" dataDxfId="309" totalsRowDxfId="308"/>
    <tableColumn id="18" xr3:uid="{CBB591BD-ADA6-40BD-B519-B58F4B0A6C25}" name="Almendras" dataDxfId="307" totalsRowDxfId="306"/>
    <tableColumn id="24" xr3:uid="{6BDE7958-FFFE-4712-B8BB-18155FD3B9C5}" name="Cerezas" dataDxfId="305" totalsRowDxfId="304"/>
    <tableColumn id="25" xr3:uid="{E7BCC900-CA0A-433B-8186-ED55A0C57F43}" name="Arandanos" dataDxfId="303" totalsRowDxfId="302"/>
    <tableColumn id="26" xr3:uid="{617484A2-BDB1-482F-94EA-3B75346446A9}" name="Empanadas" dataDxfId="301" totalsRowDxfId="300"/>
    <tableColumn id="23" xr3:uid="{CEAD1779-2EA6-404A-9EB1-9796E49F75E2}" name="Total" dataDxfId="299">
      <calculatedColumnFormula>SUM(Tabla5234[[#This Row],[Paltas]:[Empanadas]])</calculatedColumnFormula>
    </tableColumn>
    <tableColumn id="30" xr3:uid="{118F6D56-F6CB-4EF2-A098-B2D7390074E4}" name="Comentario" dataDxfId="298" totalsRowDxfId="29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802BF6-8260-4BDB-8872-AFB478704937}" name="Tabla5235" displayName="Tabla5235" ref="B4:AB17" totalsRowShown="0" headerRowDxfId="293" headerRowBorderDxfId="292" tableBorderDxfId="291" totalsRowBorderDxfId="290">
  <autoFilter ref="B4:AB17" xr:uid="{00000000-0009-0000-0100-000002000000}"/>
  <sortState ref="B5:AB17">
    <sortCondition ref="M4:M17"/>
  </sortState>
  <tableColumns count="27">
    <tableColumn id="1" xr3:uid="{41B9BF0E-85BC-49A9-A3F5-3A11316A01C3}" name="Nombre" dataDxfId="289"/>
    <tableColumn id="2" xr3:uid="{8D87DF75-BF92-455A-9F92-036C6D8EDDE7}" name="Apellido" dataDxfId="288" totalsRowDxfId="287"/>
    <tableColumn id="3" xr3:uid="{5130C07B-E72B-4D5A-A31B-594F57550069}" name="Direccion" dataDxfId="286" totalsRowDxfId="285"/>
    <tableColumn id="4" xr3:uid="{80C879C7-F321-4036-BE17-C91290ECD484}" name="Comuna" dataDxfId="284" totalsRowDxfId="283"/>
    <tableColumn id="20" xr3:uid="{696BC841-75D3-4A22-85E6-B81951449A1E}" name="Sector" dataDxfId="282" totalsRowDxfId="281"/>
    <tableColumn id="21" xr3:uid="{B28E13BD-4C67-436C-9AC4-D3BEC6EB7652}" name="Universidad" dataDxfId="280" totalsRowDxfId="279"/>
    <tableColumn id="22" xr3:uid="{24F0AC50-F8CE-43FD-907C-F270D6CD530B}" name="Cargo" dataDxfId="278" totalsRowDxfId="277"/>
    <tableColumn id="19" xr3:uid="{2BACE5BA-9DB3-40D2-B204-E946DAED5B31}" name="Telefono" dataDxfId="276" totalsRowDxfId="275"/>
    <tableColumn id="12" xr3:uid="{7313BB68-42BD-4D4D-B1C1-032BCEA516E3}" name="Mail" dataDxfId="274" totalsRowDxfId="273" dataCellStyle="Millares"/>
    <tableColumn id="29" xr3:uid="{811E65A7-0395-4438-829F-5BE7D61A12FF}" name="Encargado" dataDxfId="272" totalsRowDxfId="271" dataCellStyle="Millares"/>
    <tableColumn id="28" xr3:uid="{2323EA86-F25F-4644-990F-2DF236EEEE04}" name="Entregado" dataDxfId="270" totalsRowDxfId="269"/>
    <tableColumn id="11" xr3:uid="{A165A6DF-C0BA-4346-921A-6270BF1E1A5F}" name="Pagado" dataDxfId="268" totalsRowDxfId="267"/>
    <tableColumn id="5" xr3:uid="{3A5783D3-5977-4170-BE2F-5CE34E9BA4EA}" name="Deuda" dataDxfId="266" totalsRowDxfId="265">
      <calculatedColumnFormula>SUMPRODUCT(Tabla5235[[#This Row],[Paltas]:[Empanadas]],O$27:Z$27)</calculatedColumnFormula>
    </tableColumn>
    <tableColumn id="9" xr3:uid="{AC14671B-6455-44B4-ABE0-3CA02460529A}" name="Paltas" dataDxfId="264" totalsRowDxfId="263"/>
    <tableColumn id="10" xr3:uid="{BB384E7C-B4E1-4C18-AAAA-6C3062A3C46C}" name="Quesos" dataDxfId="262" totalsRowDxfId="261"/>
    <tableColumn id="6" xr3:uid="{E4429D1A-C56B-4E89-81C8-1DE3DF85F3FA}" name="Frutillas" dataDxfId="260" totalsRowDxfId="259"/>
    <tableColumn id="13" xr3:uid="{275A32BB-65BC-4EB0-9763-52E87FA46BE3}" name="Tomate Cherry" dataDxfId="258" totalsRowDxfId="257"/>
    <tableColumn id="14" xr3:uid="{4CBE5654-D69B-4BDF-817B-6013EA4596D0}" name="Nueces" dataDxfId="256" totalsRowDxfId="255"/>
    <tableColumn id="15" xr3:uid="{7DA77927-C8BB-4AD0-A704-B179A246FC36}" name="Mani Sal" dataDxfId="254" totalsRowDxfId="253"/>
    <tableColumn id="16" xr3:uid="{2316A142-25D1-47AB-B3DC-4FE43CB8BEB9}" name="Pistachos" dataDxfId="252" totalsRowDxfId="251"/>
    <tableColumn id="17" xr3:uid="{A0B0A165-07A8-4012-8F7C-76CEE44B2E71}" name="Caju" dataDxfId="250" totalsRowDxfId="249"/>
    <tableColumn id="18" xr3:uid="{1221E917-C97B-4FD0-A9BE-287B074A8872}" name="Almendras" dataDxfId="248" totalsRowDxfId="247"/>
    <tableColumn id="24" xr3:uid="{10FE7E4D-F547-4627-A863-70CCD5D4E66A}" name="Cerezas" dataDxfId="246" totalsRowDxfId="245"/>
    <tableColumn id="25" xr3:uid="{94FAB3A5-2F21-49B7-AB8E-94C2B7A35347}" name="Arandanos" dataDxfId="244" totalsRowDxfId="243"/>
    <tableColumn id="26" xr3:uid="{0598D9BA-3E84-4F80-AE72-36380E2058AD}" name="Empanadas" dataDxfId="242" totalsRowDxfId="241"/>
    <tableColumn id="23" xr3:uid="{CAFF7D89-01D8-4824-B68F-F82C00DB52D5}" name="Total" dataDxfId="240">
      <calculatedColumnFormula>SUM(Tabla5235[[#This Row],[Paltas]:[Empanadas]])</calculatedColumnFormula>
    </tableColumn>
    <tableColumn id="30" xr3:uid="{28FEE42E-47B6-43EE-8BBE-C37DE0294047}" name="Comentario" dataDxfId="239" totalsRowDxfId="23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201E75-AFCC-4C65-8E57-246E81E6C02A}" name="Tabla5236" displayName="Tabla5236" ref="B4:AB18" totalsRowShown="0" headerRowDxfId="234" headerRowBorderDxfId="233" tableBorderDxfId="232" totalsRowBorderDxfId="231">
  <autoFilter ref="B4:AB18" xr:uid="{00000000-0009-0000-0100-000002000000}"/>
  <sortState ref="B5:AB18">
    <sortCondition ref="M4:M18"/>
  </sortState>
  <tableColumns count="27">
    <tableColumn id="1" xr3:uid="{7D0734A9-DE6F-4D93-864B-478B144BF7D2}" name="Nombre" dataDxfId="230"/>
    <tableColumn id="2" xr3:uid="{6450D466-32F1-4C47-9ABF-3E3FD29194C3}" name="Apellido" dataDxfId="229" totalsRowDxfId="228"/>
    <tableColumn id="3" xr3:uid="{D2EFBDAD-8B1B-46D9-B1B5-4CB5BE69AF4A}" name="Direccion" dataDxfId="227" totalsRowDxfId="226"/>
    <tableColumn id="4" xr3:uid="{F2032674-9AEB-48C4-918F-0E5BC27B86E5}" name="Comuna" dataDxfId="225" totalsRowDxfId="224"/>
    <tableColumn id="20" xr3:uid="{99A5D1D7-8629-4098-BADA-9C3A6C1CBFEC}" name="Sector" dataDxfId="223" totalsRowDxfId="222"/>
    <tableColumn id="21" xr3:uid="{8F14438F-9D7D-4920-836A-60451254366C}" name="Universidad" dataDxfId="221" totalsRowDxfId="220"/>
    <tableColumn id="22" xr3:uid="{BA90F7EF-C0E5-438A-8699-4635698BAC9E}" name="Cargo" dataDxfId="219" totalsRowDxfId="218"/>
    <tableColumn id="19" xr3:uid="{EF470B0A-2469-480D-B7E1-5E6A89B44D47}" name="Telefono" dataDxfId="217" totalsRowDxfId="216"/>
    <tableColumn id="12" xr3:uid="{E9357B79-63F7-4BA0-AB0D-8043C87E3E46}" name="Mail" dataDxfId="215" totalsRowDxfId="214" dataCellStyle="Millares"/>
    <tableColumn id="29" xr3:uid="{AEE80D9F-BFEE-4115-B221-7ED5598A9024}" name="Encargado" dataDxfId="213" totalsRowDxfId="212" dataCellStyle="Millares"/>
    <tableColumn id="28" xr3:uid="{5FFA4C9F-C227-4665-B5C2-077814BCC653}" name="Entregado" dataDxfId="211" totalsRowDxfId="210"/>
    <tableColumn id="11" xr3:uid="{D8CD11EA-2A9C-42F9-B4B8-A2D410504505}" name="Pagado" dataDxfId="209" totalsRowDxfId="208"/>
    <tableColumn id="5" xr3:uid="{0BC71DBD-DF7F-4BB7-943F-55DCBE10A7C7}" name="Deuda" dataDxfId="207" totalsRowDxfId="206">
      <calculatedColumnFormula>SUMPRODUCT(Tabla5236[[#This Row],[Paltas]:[Empanadas]],O$105:Z$105)</calculatedColumnFormula>
    </tableColumn>
    <tableColumn id="9" xr3:uid="{CD5508E1-6F4F-4488-B22F-68782C9151DC}" name="Paltas" dataDxfId="205" totalsRowDxfId="204"/>
    <tableColumn id="10" xr3:uid="{71F9BCC7-B208-4936-ABCE-EF0D6A780C98}" name="Quesos" dataDxfId="203" totalsRowDxfId="202"/>
    <tableColumn id="6" xr3:uid="{F37AB2BA-AFF1-4F12-B560-E93F95C9E8DB}" name="Frutillas" dataDxfId="201" totalsRowDxfId="200"/>
    <tableColumn id="13" xr3:uid="{700DCC9A-EEC2-40D1-9254-6FEC2FFE01D5}" name="Tomate Cherry" dataDxfId="199" totalsRowDxfId="198"/>
    <tableColumn id="14" xr3:uid="{6F7E1FA7-17F8-437A-BA41-255EF08998D7}" name="Nueces" dataDxfId="197" totalsRowDxfId="196"/>
    <tableColumn id="15" xr3:uid="{ADF8AFC5-C311-4778-9664-61CAD06601CD}" name="Mani Sal" dataDxfId="195" totalsRowDxfId="194"/>
    <tableColumn id="16" xr3:uid="{1EEED54A-48F5-450B-82F4-51F703B5C09D}" name="Pistachos" dataDxfId="193" totalsRowDxfId="192"/>
    <tableColumn id="17" xr3:uid="{AEA64FC9-67C5-4747-8F4E-E45856DA5C42}" name="Caju" dataDxfId="191" totalsRowDxfId="190"/>
    <tableColumn id="18" xr3:uid="{6EDF7824-4490-4586-BC27-CBAFA7A90170}" name="Almendras" dataDxfId="189" totalsRowDxfId="188"/>
    <tableColumn id="24" xr3:uid="{76A6FE7F-DC75-41C7-9FD0-7D4E91943CAD}" name="Cerezas" dataDxfId="187" totalsRowDxfId="186"/>
    <tableColumn id="25" xr3:uid="{780783AB-24C0-4D57-9066-8A3578CA91A4}" name="Arandanos" dataDxfId="185" totalsRowDxfId="184"/>
    <tableColumn id="26" xr3:uid="{580F999F-E50D-4316-8D79-BAD613505C06}" name="Empanadas" dataDxfId="183" totalsRowDxfId="182"/>
    <tableColumn id="23" xr3:uid="{7DECA98B-D28E-4F88-A125-BD32881B3391}" name="Total" dataDxfId="181">
      <calculatedColumnFormula>SUM(Tabla5236[[#This Row],[Paltas]:[Empanadas]])</calculatedColumnFormula>
    </tableColumn>
    <tableColumn id="30" xr3:uid="{09FE2D9A-BFC1-43FD-845F-3145FA2A93EC}" name="Comentario" dataDxfId="180" totalsRowDxfId="17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C3D751-A3D9-47CB-A8B8-612CC065F998}" name="Tabla5237" displayName="Tabla5237" ref="B4:AB17" totalsRowShown="0" headerRowDxfId="175" headerRowBorderDxfId="174" tableBorderDxfId="173" totalsRowBorderDxfId="172">
  <autoFilter ref="B4:AB17" xr:uid="{00000000-0009-0000-0100-000002000000}"/>
  <sortState ref="B5:AB17">
    <sortCondition ref="M4:M17"/>
  </sortState>
  <tableColumns count="27">
    <tableColumn id="1" xr3:uid="{087BF09B-2AA4-44A7-946B-B6EA7A437912}" name="Nombre" dataDxfId="171"/>
    <tableColumn id="2" xr3:uid="{1957F363-3005-44E6-A841-C1A6A91C9EF0}" name="Apellido" dataDxfId="170" totalsRowDxfId="169"/>
    <tableColumn id="3" xr3:uid="{26A08EED-5824-4CFE-9FBB-9A935F91C2E3}" name="Direccion" dataDxfId="168" totalsRowDxfId="167"/>
    <tableColumn id="4" xr3:uid="{E8879853-4ECD-4633-8FA5-C863FC87F531}" name="Comuna" dataDxfId="166" totalsRowDxfId="165"/>
    <tableColumn id="20" xr3:uid="{FCBABFD4-E8BD-4B56-ACF8-A3C01CFE45CA}" name="Sector" dataDxfId="164" totalsRowDxfId="163"/>
    <tableColumn id="21" xr3:uid="{B5D867A8-A963-49CA-A125-C8A48503C70B}" name="Universidad" dataDxfId="162" totalsRowDxfId="161"/>
    <tableColumn id="22" xr3:uid="{BD51EDB5-D019-4563-8490-11E0D4DED9F6}" name="Cargo" dataDxfId="160" totalsRowDxfId="159"/>
    <tableColumn id="19" xr3:uid="{6CEE7C82-67D7-44DB-A463-4A1D832734B4}" name="Telefono" dataDxfId="158" totalsRowDxfId="157"/>
    <tableColumn id="12" xr3:uid="{29A0683C-FF84-4ADD-918D-2248CD6A57E1}" name="Mail" dataDxfId="156" totalsRowDxfId="155" dataCellStyle="Millares"/>
    <tableColumn id="29" xr3:uid="{15562D3C-40B3-4AFB-81C1-0D49735052A0}" name="Encargado" dataDxfId="154" totalsRowDxfId="153" dataCellStyle="Millares"/>
    <tableColumn id="28" xr3:uid="{B7AB4F00-64EE-4A5D-9A5E-2BBB0638685E}" name="Entregado" dataDxfId="152" totalsRowDxfId="151"/>
    <tableColumn id="11" xr3:uid="{A782EC20-BAE3-4379-8328-0E5A88C3342E}" name="Pagado" dataDxfId="150" totalsRowDxfId="149"/>
    <tableColumn id="5" xr3:uid="{53048DBA-830E-435C-A652-D25F27A1DCDD}" name="Deuda" dataDxfId="148" totalsRowDxfId="147">
      <calculatedColumnFormula>SUMPRODUCT(Tabla5237[[#This Row],[Paltas]:[Empanadas]],O$102:Z$102)</calculatedColumnFormula>
    </tableColumn>
    <tableColumn id="7" xr3:uid="{3E1EFB9D-FDF6-4BB4-ACCE-2F6604106608}" name="Paltas" dataDxfId="146" totalsRowDxfId="145"/>
    <tableColumn id="8" xr3:uid="{2261FAAF-A17C-4DBB-9763-AF084737CC31}" name="Quesos" dataDxfId="144" totalsRowDxfId="143"/>
    <tableColumn id="9" xr3:uid="{75E95D0A-9D36-459E-BB4B-859FEF1BCF27}" name="Frutillas" dataDxfId="142" totalsRowDxfId="141"/>
    <tableColumn id="10" xr3:uid="{1F23DC8E-F3D4-429E-9EC6-6F09DCBA28BF}" name="Tomate Cherry" dataDxfId="140" totalsRowDxfId="139"/>
    <tableColumn id="14" xr3:uid="{DFD07EA6-FB43-43A7-AA28-4A78ADBEC0B8}" name="Nueces" dataDxfId="138" totalsRowDxfId="137"/>
    <tableColumn id="15" xr3:uid="{D78689C7-CE4C-46CD-8FAF-971E3624D21D}" name="Mani Sal" dataDxfId="136" totalsRowDxfId="135"/>
    <tableColumn id="16" xr3:uid="{490A0A02-DCF4-4985-8299-D0A9DE6A90D6}" name="Pistachos" dataDxfId="134" totalsRowDxfId="133"/>
    <tableColumn id="17" xr3:uid="{E4028272-DCAA-478D-BE72-61353D665932}" name="Caju" dataDxfId="132" totalsRowDxfId="131"/>
    <tableColumn id="18" xr3:uid="{4D91C627-A709-4B55-9D59-ED37FA3250BF}" name="Almendras" dataDxfId="130" totalsRowDxfId="129"/>
    <tableColumn id="24" xr3:uid="{3CA6FD5D-3A42-4EFD-8EC3-7D3DE49B8571}" name="Cerezas" dataDxfId="128" totalsRowDxfId="127"/>
    <tableColumn id="25" xr3:uid="{4A2B4E91-1EE1-469D-A9D3-6F7CE8CFD800}" name="Arandanos" dataDxfId="126" totalsRowDxfId="125"/>
    <tableColumn id="26" xr3:uid="{D9EA08AE-EDF2-4DAC-AB3F-5ADDB50AEF40}" name="Empanadas" dataDxfId="124" totalsRowDxfId="123"/>
    <tableColumn id="23" xr3:uid="{B4F38F22-3049-47C1-93EE-80A7D46E475C}" name="Total" dataDxfId="122">
      <calculatedColumnFormula>SUM(Tabla5237[[#This Row],[Paltas]:[Empanadas]])</calculatedColumnFormula>
    </tableColumn>
    <tableColumn id="30" xr3:uid="{7A4F2435-A8FB-4410-BA87-C62A9FEF6B74}" name="Comentario" dataDxfId="121" totalsRowDxfId="120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BDF53E2-A27C-4A92-B885-36EA539285FB}" name="Tabla52378" displayName="Tabla52378" ref="B4:AB17" totalsRowShown="0" headerRowDxfId="116" headerRowBorderDxfId="115" tableBorderDxfId="114" totalsRowBorderDxfId="113">
  <autoFilter ref="B4:AB17" xr:uid="{00000000-0009-0000-0100-000002000000}"/>
  <sortState ref="B5:AB17">
    <sortCondition ref="M4:M17"/>
  </sortState>
  <tableColumns count="27">
    <tableColumn id="1" xr3:uid="{158EEFF2-6700-4FA2-BC02-83A697BA813B}" name="Nombre" dataDxfId="112"/>
    <tableColumn id="2" xr3:uid="{7221B8A4-DE27-4B5A-97CF-FFA25452FD7B}" name="Apellido" dataDxfId="111" totalsRowDxfId="110"/>
    <tableColumn id="3" xr3:uid="{AF3A3DD8-617F-44E3-A6F3-33DAD644A828}" name="Direccion" dataDxfId="109" totalsRowDxfId="108"/>
    <tableColumn id="4" xr3:uid="{8E6D48E8-6513-4AAE-A250-F714EA522D3F}" name="Comuna" dataDxfId="107" totalsRowDxfId="106"/>
    <tableColumn id="20" xr3:uid="{A49202DD-954E-46A2-BEC4-97CBDF1B6AE2}" name="Sector" dataDxfId="105" totalsRowDxfId="104"/>
    <tableColumn id="21" xr3:uid="{08B66D6A-24A8-4A8F-8F33-420F19B15A9E}" name="Universidad" dataDxfId="103" totalsRowDxfId="102"/>
    <tableColumn id="22" xr3:uid="{F56432B5-9C66-4892-ABF3-124B040F502E}" name="Cargo" dataDxfId="101" totalsRowDxfId="100"/>
    <tableColumn id="19" xr3:uid="{1E4D71F2-BD64-45DD-A4D0-FDE62311F1D8}" name="Telefono" dataDxfId="99" totalsRowDxfId="98"/>
    <tableColumn id="12" xr3:uid="{F6D7A08A-69C4-4420-8128-BF50FD49EEE5}" name="Mail" dataDxfId="97" totalsRowDxfId="96" dataCellStyle="Millares"/>
    <tableColumn id="29" xr3:uid="{68420BBD-4E66-4087-A77E-7CC4B42DB2A5}" name="Encargado" dataDxfId="95" totalsRowDxfId="94" dataCellStyle="Millares"/>
    <tableColumn id="28" xr3:uid="{0412A65A-C930-4337-B45F-4FE5BD73F2D9}" name="Entregado" dataDxfId="93" totalsRowDxfId="92"/>
    <tableColumn id="11" xr3:uid="{E3E33925-50AE-4B4D-8527-963BCC3416D2}" name="Pagado" dataDxfId="91" totalsRowDxfId="90"/>
    <tableColumn id="5" xr3:uid="{9C025A18-2835-49F0-BFEC-5A6FE3F04C83}" name="Deuda" dataDxfId="89" totalsRowDxfId="88">
      <calculatedColumnFormula>SUMPRODUCT(Tabla52378[[#This Row],[Paltas]:[Empanadas]],O$105:Z$105)</calculatedColumnFormula>
    </tableColumn>
    <tableColumn id="7" xr3:uid="{E67F990E-7CB8-4245-8D55-BD9792BCDDCF}" name="Paltas" dataDxfId="87" totalsRowDxfId="86"/>
    <tableColumn id="8" xr3:uid="{97A32D42-1BC7-4FDD-AF72-90BBE7B5905F}" name="Quesos" dataDxfId="85" totalsRowDxfId="84"/>
    <tableColumn id="9" xr3:uid="{371FE3CA-2286-46D9-9193-5CA366E8A8A0}" name="Frutillas" dataDxfId="83" totalsRowDxfId="82"/>
    <tableColumn id="10" xr3:uid="{2258AC3C-DD74-4B08-BAB6-66D9082D03D0}" name="Tomate Cherry" dataDxfId="81" totalsRowDxfId="80"/>
    <tableColumn id="14" xr3:uid="{CE7AEE9F-F3A7-4441-9C0E-F9F22497196A}" name="Nueces" dataDxfId="79" totalsRowDxfId="78"/>
    <tableColumn id="15" xr3:uid="{B8D295C1-8BD8-470E-A9D5-42B9ADD52D95}" name="Mani Sal" dataDxfId="77" totalsRowDxfId="76"/>
    <tableColumn id="16" xr3:uid="{32E77845-9C62-4DD1-A40B-0BC12EACC2AD}" name="Pistachos" dataDxfId="75" totalsRowDxfId="74"/>
    <tableColumn id="17" xr3:uid="{4AEC178D-6F8D-4AA4-B38D-D4B4688F63DD}" name="Caju" dataDxfId="73" totalsRowDxfId="72"/>
    <tableColumn id="18" xr3:uid="{D745AF2F-97C8-47DE-9C5D-9E137476C5DB}" name="Almendras" dataDxfId="71" totalsRowDxfId="70"/>
    <tableColumn id="24" xr3:uid="{342628C2-EEF3-4820-B39D-5E3BF7F569FB}" name="Cerezas" dataDxfId="69" totalsRowDxfId="68"/>
    <tableColumn id="25" xr3:uid="{680A3A27-82B0-409D-9985-A4547FCD1765}" name="Arandanos" dataDxfId="67" totalsRowDxfId="66"/>
    <tableColumn id="26" xr3:uid="{6816708F-EC06-4684-9442-8B6CC4BC8B65}" name="Empanadas" dataDxfId="65" totalsRowDxfId="64"/>
    <tableColumn id="23" xr3:uid="{B7B51FB6-6998-4914-84E1-AFFCC2A233F2}" name="Total" dataDxfId="63">
      <calculatedColumnFormula>SUM(Tabla52378[[#This Row],[Paltas]:[Empanadas]])</calculatedColumnFormula>
    </tableColumn>
    <tableColumn id="30" xr3:uid="{ACFEF04C-46D7-435B-A208-1AF2BA57302F}" name="Comentario" dataDxfId="62" totalsRowDxfId="6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95F8B4-1D89-40D9-8C27-8ADDC1BD9FFE}" name="Tabla5239" displayName="Tabla5239" ref="B4:AC22" totalsRowShown="0" headerRowDxfId="57" headerRowBorderDxfId="56" tableBorderDxfId="55" totalsRowBorderDxfId="54">
  <autoFilter ref="B4:AC22" xr:uid="{00000000-0009-0000-0100-000002000000}"/>
  <sortState ref="B5:AC22">
    <sortCondition ref="M4:M22"/>
  </sortState>
  <tableColumns count="28">
    <tableColumn id="1" xr3:uid="{FEEF3E98-B1C7-44F9-A120-EBFF1294A585}" name="Nombre" dataDxfId="53"/>
    <tableColumn id="2" xr3:uid="{53944A6E-2A19-4C8B-98A4-9C6BB8A2B8B8}" name="Apellido" dataDxfId="52" totalsRowDxfId="51"/>
    <tableColumn id="3" xr3:uid="{93C6F8E8-8BB0-4F52-8775-552192C2C3DB}" name="Direccion" dataDxfId="50" totalsRowDxfId="49"/>
    <tableColumn id="4" xr3:uid="{61F0BE3A-0629-4BF1-8D31-C2C944C84E7D}" name="Comuna" dataDxfId="48" totalsRowDxfId="47"/>
    <tableColumn id="20" xr3:uid="{77E95C3E-489D-4619-B789-5F37E87D1B2F}" name="Sector" dataDxfId="46" totalsRowDxfId="45"/>
    <tableColumn id="21" xr3:uid="{39B55415-2786-4E29-9F1A-3A919C67B261}" name="Universidad" dataDxfId="44" totalsRowDxfId="43"/>
    <tableColumn id="22" xr3:uid="{04795B4B-F260-42BC-A6EF-504CB69467A4}" name="Cargo" dataDxfId="42" totalsRowDxfId="41"/>
    <tableColumn id="19" xr3:uid="{D0E99242-498E-43A5-B9A5-8B40199DB4B4}" name="Telefono" dataDxfId="40" totalsRowDxfId="39"/>
    <tableColumn id="12" xr3:uid="{80C9BCF1-DFFB-4A1E-BEDA-30B685EB4660}" name="Mail" dataDxfId="38" totalsRowDxfId="37" dataCellStyle="Millares"/>
    <tableColumn id="29" xr3:uid="{B92F5C97-A575-4969-8013-4CB06971AB52}" name="Encargado" dataDxfId="36" totalsRowDxfId="35" dataCellStyle="Millares"/>
    <tableColumn id="28" xr3:uid="{6A3924AE-1276-4737-A504-36B6B056AD2A}" name="Entregado" dataDxfId="34" totalsRowDxfId="33"/>
    <tableColumn id="11" xr3:uid="{A8350E68-60F2-4E14-8BA8-46C966ACB3D6}" name="Pagado" dataDxfId="32" totalsRowDxfId="31"/>
    <tableColumn id="5" xr3:uid="{B3E55D99-FB73-4EEC-90BC-A1E43C0DCEF6}" name="Deuda" dataDxfId="30" totalsRowDxfId="29">
      <calculatedColumnFormula>SUMPRODUCT(Tabla5239[[#This Row],[Paltas]:[Empanadas]],O$32:AA$32)</calculatedColumnFormula>
    </tableColumn>
    <tableColumn id="7" xr3:uid="{91D0A763-A2E6-40ED-A107-0F11A1CD6B98}" name="Paltas" dataDxfId="28" totalsRowDxfId="27"/>
    <tableColumn id="8" xr3:uid="{9927ECC3-CFE9-4968-B3D9-89709C744D71}" name="Quesos" dataDxfId="26" totalsRowDxfId="25"/>
    <tableColumn id="9" xr3:uid="{23A13F35-86C5-4B75-B556-C7C37ACD6C97}" name="Frutillas" dataDxfId="24" totalsRowDxfId="23"/>
    <tableColumn id="10" xr3:uid="{5C4C9BAE-CC2D-40C2-8C0C-C9B46BBD2AA7}" name="Tomate Cherry" dataDxfId="22" totalsRowDxfId="21"/>
    <tableColumn id="14" xr3:uid="{3B1A3589-48AA-44F0-9F96-B6C4F14E7E85}" name="Nueces" dataDxfId="20" totalsRowDxfId="19"/>
    <tableColumn id="15" xr3:uid="{2CB94279-4039-4402-9BA6-607BCA8ED0A5}" name="Mani Sal" dataDxfId="18" totalsRowDxfId="17"/>
    <tableColumn id="6" xr3:uid="{8071C470-685E-4CAE-8709-7909EF4F7BD9}" name="Mani Miel" dataDxfId="16" totalsRowDxfId="15"/>
    <tableColumn id="16" xr3:uid="{18A39E26-F803-4860-900B-AF3D96D595A6}" name="Pistachos" dataDxfId="14" totalsRowDxfId="13"/>
    <tableColumn id="17" xr3:uid="{18B5CA8A-15A7-41CE-BF62-0E32D73F8B5D}" name="Caju" dataDxfId="12" totalsRowDxfId="11"/>
    <tableColumn id="18" xr3:uid="{7D07235F-B1C7-4353-91EF-23BBA110D1BF}" name="Almendras" dataDxfId="10" totalsRowDxfId="9"/>
    <tableColumn id="24" xr3:uid="{6C566EA0-41E8-4444-B3AF-D3C1C426A649}" name="Cerezas" dataDxfId="8" totalsRowDxfId="7"/>
    <tableColumn id="25" xr3:uid="{65D086D3-93C6-443A-95FD-40FE968EEBD8}" name="Arandanos" dataDxfId="6" totalsRowDxfId="5"/>
    <tableColumn id="26" xr3:uid="{C8C24936-4EAA-4122-ACC3-99937150E61F}" name="Empanadas" dataDxfId="4" totalsRowDxfId="3"/>
    <tableColumn id="23" xr3:uid="{0668BDE5-71FF-491E-B1EC-B31FF31357EE}" name="Total" dataDxfId="2">
      <calculatedColumnFormula>SUM(Tabla5239[[#This Row],[Paltas]:[Empanadas]])</calculatedColumnFormula>
    </tableColumn>
    <tableColumn id="30" xr3:uid="{680D63E7-5E5E-45CE-BBE1-D520ED4FCF4A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timuschen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timuschen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B130"/>
  <sheetViews>
    <sheetView zoomScale="85" zoomScaleNormal="85" zoomScalePageLayoutView="85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B41" sqref="B41:K41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customWidth="1" outlineLevel="1"/>
    <col min="5" max="5" width="15.1796875" customWidth="1" outlineLevel="1"/>
    <col min="6" max="6" width="16.54296875" customWidth="1" outlineLevel="1"/>
    <col min="7" max="7" width="14.7265625" customWidth="1" outlineLevel="1"/>
    <col min="8" max="8" width="10.54296875" customWidth="1" outlineLevel="1"/>
    <col min="9" max="9" width="18.453125" customWidth="1" outlineLevel="1"/>
    <col min="10" max="10" width="33.54296875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7" t="s">
        <v>11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35">
      <c r="A5" s="144" t="s">
        <v>39</v>
      </c>
      <c r="B5" s="13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Row],[Paltas]:[Empanadas]],O$102:Z$102)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>
        <f>SUM(Tabla523[[#This Row],[Paltas]:[Empanadas]])</f>
        <v>0</v>
      </c>
      <c r="AB5" s="57"/>
    </row>
    <row r="6" spans="1:28" outlineLevel="1" x14ac:dyDescent="0.35">
      <c r="A6" s="145"/>
      <c r="B6" s="132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Row],[Paltas]:[Empanadas]],O$102:Z$102)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>
        <f>SUM(Tabla523[[#This Row],[Paltas]:[Empanadas]])</f>
        <v>0</v>
      </c>
      <c r="AB6" s="58"/>
    </row>
    <row r="7" spans="1:28" outlineLevel="1" x14ac:dyDescent="0.35">
      <c r="A7" s="145"/>
      <c r="B7" s="132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Row],[Paltas]:[Empanadas]],O$102:Z$102)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>
        <f>SUM(Tabla523[[#This Row],[Paltas]:[Empanadas]])</f>
        <v>0</v>
      </c>
      <c r="AB7" s="58"/>
    </row>
    <row r="8" spans="1:28" outlineLevel="1" x14ac:dyDescent="0.35">
      <c r="A8" s="145"/>
      <c r="B8" s="132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Row],[Paltas]:[Empanadas]],O$102:Z$102)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>
        <f>SUM(Tabla523[[#This Row],[Paltas]:[Empanadas]])</f>
        <v>0</v>
      </c>
      <c r="AB8" s="58"/>
    </row>
    <row r="9" spans="1:28" outlineLevel="1" x14ac:dyDescent="0.35">
      <c r="A9" s="145"/>
      <c r="B9" s="132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Row],[Paltas]:[Empanadas]],O$102:Z$102)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>
        <f>SUM(Tabla523[[#This Row],[Paltas]:[Empanadas]])</f>
        <v>0</v>
      </c>
      <c r="AB9" s="58"/>
    </row>
    <row r="10" spans="1:28" outlineLevel="1" x14ac:dyDescent="0.35">
      <c r="A10" s="145"/>
      <c r="B10" s="132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Row],[Paltas]:[Empanadas]],O$102:Z$102)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>
        <f>SUM(Tabla523[[#This Row],[Paltas]:[Empanadas]])</f>
        <v>0</v>
      </c>
      <c r="AB10" s="58"/>
    </row>
    <row r="11" spans="1:28" outlineLevel="1" x14ac:dyDescent="0.35">
      <c r="A11" s="145"/>
      <c r="B11" s="132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Row],[Paltas]:[Empanadas]],O$102:Z$102)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>
        <f>SUM(Tabla523[[#This Row],[Paltas]:[Empanadas]])</f>
        <v>0</v>
      </c>
      <c r="AB11" s="58"/>
    </row>
    <row r="12" spans="1:28" outlineLevel="1" x14ac:dyDescent="0.35">
      <c r="A12" s="145"/>
      <c r="B12" s="132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Row],[Paltas]:[Empanadas]],O$102:Z$102)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>
        <f>SUM(Tabla523[[#This Row],[Paltas]:[Empanadas]])</f>
        <v>0</v>
      </c>
      <c r="AB12" s="58"/>
    </row>
    <row r="13" spans="1:28" outlineLevel="1" x14ac:dyDescent="0.35">
      <c r="A13" s="145"/>
      <c r="B13" s="132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Row],[Paltas]:[Empanadas]],O$102:Z$102)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>
        <f>SUM(Tabla523[[#This Row],[Paltas]:[Empanadas]])</f>
        <v>0</v>
      </c>
      <c r="AB13" s="58"/>
    </row>
    <row r="14" spans="1:28" outlineLevel="1" x14ac:dyDescent="0.35">
      <c r="A14" s="145"/>
      <c r="B14" s="132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Row],[Paltas]:[Empanadas]],O$102:Z$102)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>
        <f>SUM(Tabla523[[#This Row],[Paltas]:[Empanadas]])</f>
        <v>0</v>
      </c>
      <c r="AB14" s="58"/>
    </row>
    <row r="15" spans="1:28" outlineLevel="1" x14ac:dyDescent="0.35">
      <c r="A15" s="145"/>
      <c r="B15" s="132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Row],[Paltas]:[Empanadas]],O$102:Z$102)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>
        <f>SUM(Tabla523[[#This Row],[Paltas]:[Empanadas]])</f>
        <v>0</v>
      </c>
      <c r="AB15" s="58"/>
    </row>
    <row r="16" spans="1:28" outlineLevel="1" x14ac:dyDescent="0.35">
      <c r="A16" s="145"/>
      <c r="B16" s="132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Row],[Paltas]:[Empanadas]],O$102:Z$102)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f>SUM(Tabla523[[#This Row],[Paltas]:[Empanadas]])</f>
        <v>0</v>
      </c>
      <c r="AB16" s="58"/>
    </row>
    <row r="17" spans="1:28" outlineLevel="1" x14ac:dyDescent="0.35">
      <c r="A17" s="145"/>
      <c r="B17" s="132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Row],[Paltas]:[Empanadas]],O$102:Z$102)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>
        <f>SUM(Tabla523[[#This Row],[Paltas]:[Empanadas]])</f>
        <v>0</v>
      </c>
      <c r="AB17" s="58"/>
    </row>
    <row r="18" spans="1:28" outlineLevel="1" x14ac:dyDescent="0.35">
      <c r="A18" s="145"/>
      <c r="B18" s="132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Row],[Paltas]:[Empanadas]],O$102:Z$102)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>
        <f>SUM(Tabla523[[#This Row],[Paltas]:[Empanadas]])</f>
        <v>0</v>
      </c>
      <c r="AB18" s="58"/>
    </row>
    <row r="19" spans="1:28" outlineLevel="1" x14ac:dyDescent="0.35">
      <c r="A19" s="145"/>
      <c r="B19" s="132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Row],[Paltas]:[Empanadas]],O$102:Z$102)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>
        <f>SUM(Tabla523[[#This Row],[Paltas]:[Empanadas]])</f>
        <v>0</v>
      </c>
      <c r="AB19" s="58"/>
    </row>
    <row r="20" spans="1:28" outlineLevel="1" x14ac:dyDescent="0.35">
      <c r="A20" s="145"/>
      <c r="B20" s="132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Row],[Paltas]:[Empanadas]],O$102:Z$102)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>
        <f>SUM(Tabla523[[#This Row],[Paltas]:[Empanadas]])</f>
        <v>0</v>
      </c>
      <c r="AB20" s="58"/>
    </row>
    <row r="21" spans="1:28" outlineLevel="1" x14ac:dyDescent="0.35">
      <c r="A21" s="145"/>
      <c r="B21" s="132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Row],[Paltas]:[Empanadas]],O$102:Z$102)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>
        <f>SUM(Tabla523[[#This Row],[Paltas]:[Empanadas]])</f>
        <v>0</v>
      </c>
      <c r="AB21" s="58"/>
    </row>
    <row r="22" spans="1:28" outlineLevel="1" x14ac:dyDescent="0.35">
      <c r="A22" s="145"/>
      <c r="B22" s="132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Row],[Paltas]:[Empanadas]],O$102:Z$102)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>
        <f>SUM(Tabla523[[#This Row],[Paltas]:[Empanadas]])</f>
        <v>0</v>
      </c>
      <c r="AB22" s="58"/>
    </row>
    <row r="23" spans="1:28" outlineLevel="1" x14ac:dyDescent="0.35">
      <c r="A23" s="145"/>
      <c r="B23" s="132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Row],[Paltas]:[Empanadas]],O$102:Z$102)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f>SUM(Tabla523[[#This Row],[Paltas]:[Empanadas]])</f>
        <v>0</v>
      </c>
      <c r="AB23" s="58"/>
    </row>
    <row r="24" spans="1:28" outlineLevel="1" x14ac:dyDescent="0.35">
      <c r="A24" s="145"/>
      <c r="B24" s="132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Row],[Paltas]:[Empanadas]],O$102:Z$102)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>
        <f>SUM(Tabla523[[#This Row],[Paltas]:[Empanadas]])</f>
        <v>0</v>
      </c>
      <c r="AB24" s="58"/>
    </row>
    <row r="25" spans="1:28" outlineLevel="1" x14ac:dyDescent="0.35">
      <c r="A25" s="145"/>
      <c r="B25" s="132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Row],[Paltas]:[Empanadas]],O$102:Z$102)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>
        <f>SUM(Tabla523[[#This Row],[Paltas]:[Empanadas]])</f>
        <v>0</v>
      </c>
      <c r="AB25" s="58"/>
    </row>
    <row r="26" spans="1:28" outlineLevel="1" x14ac:dyDescent="0.35">
      <c r="A26" s="145"/>
      <c r="B26" s="132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Row],[Paltas]:[Empanadas]],O$102:Z$102)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f>SUM(Tabla523[[#This Row],[Paltas]:[Empanadas]])</f>
        <v>0</v>
      </c>
      <c r="AB26" s="58"/>
    </row>
    <row r="27" spans="1:28" outlineLevel="1" x14ac:dyDescent="0.35">
      <c r="A27" s="145"/>
      <c r="B27" s="132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Row],[Paltas]:[Empanadas]],O$102:Z$102)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>
        <f>SUM(Tabla523[[#This Row],[Paltas]:[Empanadas]])</f>
        <v>0</v>
      </c>
      <c r="AB27" s="58"/>
    </row>
    <row r="28" spans="1:28" outlineLevel="1" x14ac:dyDescent="0.35">
      <c r="A28" s="145"/>
      <c r="B28" s="132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Row],[Paltas]:[Empanadas]],O$102:Z$102)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>
        <f>SUM(Tabla523[[#This Row],[Paltas]:[Empanadas]])</f>
        <v>0</v>
      </c>
      <c r="AB28" s="58"/>
    </row>
    <row r="29" spans="1:28" outlineLevel="1" x14ac:dyDescent="0.35">
      <c r="A29" s="145"/>
      <c r="B29" s="132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Row],[Paltas]:[Empanadas]],O$102:Z$102)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f>SUM(Tabla523[[#This Row],[Paltas]:[Empanadas]])</f>
        <v>0</v>
      </c>
      <c r="AB29" s="58"/>
    </row>
    <row r="30" spans="1:28" outlineLevel="1" x14ac:dyDescent="0.35">
      <c r="A30" s="145"/>
      <c r="B30" s="132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Row],[Paltas]:[Empanadas]],O$102:Z$102)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>
        <f>SUM(Tabla523[[#This Row],[Paltas]:[Empanadas]])</f>
        <v>0</v>
      </c>
      <c r="AB30" s="58"/>
    </row>
    <row r="31" spans="1:28" outlineLevel="1" x14ac:dyDescent="0.35">
      <c r="A31" s="145"/>
      <c r="B31" s="132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Row],[Paltas]:[Empanadas]],O$102:Z$102)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>
        <f>SUM(Tabla523[[#This Row],[Paltas]:[Empanadas]])</f>
        <v>0</v>
      </c>
      <c r="AB31" s="58"/>
    </row>
    <row r="32" spans="1:28" outlineLevel="1" x14ac:dyDescent="0.35">
      <c r="A32" s="145"/>
      <c r="B32" s="132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Row],[Paltas]:[Empanadas]],O$102:Z$102)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>
        <f>SUM(Tabla523[[#This Row],[Paltas]:[Empanadas]])</f>
        <v>0</v>
      </c>
      <c r="AB32" s="58"/>
    </row>
    <row r="33" spans="1:28" outlineLevel="1" x14ac:dyDescent="0.35">
      <c r="A33" s="145"/>
      <c r="B33" s="132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Row],[Paltas]:[Empanadas]],O$102:Z$102)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>
        <f>SUM(Tabla523[[#This Row],[Paltas]:[Empanadas]])</f>
        <v>0</v>
      </c>
      <c r="AB33" s="58"/>
    </row>
    <row r="34" spans="1:28" outlineLevel="1" x14ac:dyDescent="0.35">
      <c r="A34" s="145"/>
      <c r="B34" s="132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Row],[Paltas]:[Empanadas]],O$102:Z$102)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>
        <f>SUM(Tabla523[[#This Row],[Paltas]:[Empanadas]])</f>
        <v>0</v>
      </c>
      <c r="AB34" s="58"/>
    </row>
    <row r="35" spans="1:28" outlineLevel="1" x14ac:dyDescent="0.35">
      <c r="A35" s="145"/>
      <c r="B35" s="132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Row],[Paltas]:[Empanadas]],O$102:Z$102)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>
        <f>SUM(Tabla523[[#This Row],[Paltas]:[Empanadas]])</f>
        <v>0</v>
      </c>
      <c r="AB35" s="58"/>
    </row>
    <row r="36" spans="1:28" outlineLevel="1" x14ac:dyDescent="0.35">
      <c r="A36" s="145"/>
      <c r="B36" s="132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Row],[Paltas]:[Empanadas]],O$102:Z$102)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>
        <f>SUM(Tabla523[[#This Row],[Paltas]:[Empanadas]])</f>
        <v>0</v>
      </c>
      <c r="AB36" s="58"/>
    </row>
    <row r="37" spans="1:28" outlineLevel="1" x14ac:dyDescent="0.35">
      <c r="A37" s="145"/>
      <c r="B37" s="132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Row],[Paltas]:[Empanadas]],O$102:Z$102)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>
        <f>SUM(Tabla523[[#This Row],[Paltas]:[Empanadas]])</f>
        <v>0</v>
      </c>
      <c r="AB37" s="58"/>
    </row>
    <row r="38" spans="1:28" outlineLevel="1" x14ac:dyDescent="0.35">
      <c r="A38" s="145"/>
      <c r="B38" s="132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Row],[Paltas]:[Empanadas]],O$102:Z$102)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>
        <f>SUM(Tabla523[[#This Row],[Paltas]:[Empanadas]])</f>
        <v>0</v>
      </c>
      <c r="AB38" s="58"/>
    </row>
    <row r="39" spans="1:28" outlineLevel="1" x14ac:dyDescent="0.35">
      <c r="A39" s="145"/>
      <c r="B39" s="132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Row],[Paltas]:[Empanadas]],O$102:Z$102)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>
        <f>SUM(Tabla523[[#This Row],[Paltas]:[Empanadas]])</f>
        <v>0</v>
      </c>
      <c r="AB39" s="58"/>
    </row>
    <row r="40" spans="1:28" outlineLevel="1" x14ac:dyDescent="0.35">
      <c r="A40" s="145"/>
      <c r="B40" s="132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Row],[Paltas]:[Empanadas]],O$102:Z$102)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>
        <f>SUM(Tabla523[[#This Row],[Paltas]:[Empanadas]])</f>
        <v>0</v>
      </c>
      <c r="AB40" s="58"/>
    </row>
    <row r="41" spans="1:28" outlineLevel="1" x14ac:dyDescent="0.35">
      <c r="A41" s="145"/>
      <c r="B41" s="132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Row],[Paltas]:[Empanadas]],O$102:Z$102)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>
        <f>SUM(Tabla523[[#This Row],[Paltas]:[Empanadas]])</f>
        <v>0</v>
      </c>
      <c r="AB41" s="58"/>
    </row>
    <row r="42" spans="1:28" outlineLevel="1" x14ac:dyDescent="0.35">
      <c r="A42" s="145"/>
      <c r="B42" s="132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Row],[Paltas]:[Empanadas]],O$102:Z$102)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>
        <f>SUM(Tabla523[[#This Row],[Paltas]:[Empanadas]])</f>
        <v>0</v>
      </c>
      <c r="AB42" s="58"/>
    </row>
    <row r="43" spans="1:28" outlineLevel="1" x14ac:dyDescent="0.35">
      <c r="A43" s="145"/>
      <c r="B43" s="132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Row],[Paltas]:[Empanadas]],O$102:Z$102)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>
        <f>SUM(Tabla523[[#This Row],[Paltas]:[Empanadas]])</f>
        <v>0</v>
      </c>
      <c r="AB43" s="58"/>
    </row>
    <row r="44" spans="1:28" outlineLevel="1" x14ac:dyDescent="0.35">
      <c r="A44" s="145"/>
      <c r="B44" s="132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Row],[Paltas]:[Empanadas]],O$102:Z$102)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>
        <f>SUM(Tabla523[[#This Row],[Paltas]:[Empanadas]])</f>
        <v>0</v>
      </c>
      <c r="AB44" s="58"/>
    </row>
    <row r="45" spans="1:28" outlineLevel="1" x14ac:dyDescent="0.35">
      <c r="A45" s="145"/>
      <c r="B45" s="132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Row],[Paltas]:[Empanadas]],O$102:Z$102)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>
        <f>SUM(Tabla523[[#This Row],[Paltas]:[Empanadas]])</f>
        <v>0</v>
      </c>
      <c r="AB45" s="58"/>
    </row>
    <row r="46" spans="1:28" outlineLevel="1" x14ac:dyDescent="0.35">
      <c r="A46" s="145"/>
      <c r="B46" s="132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Row],[Paltas]:[Empanadas]],O$102:Z$102)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>
        <f>SUM(Tabla523[[#This Row],[Paltas]:[Empanadas]])</f>
        <v>0</v>
      </c>
      <c r="AB46" s="58"/>
    </row>
    <row r="47" spans="1:28" outlineLevel="1" x14ac:dyDescent="0.35">
      <c r="A47" s="145"/>
      <c r="B47" s="132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Row],[Paltas]:[Empanadas]],O$102:Z$102)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>
        <f>SUM(Tabla523[[#This Row],[Paltas]:[Empanadas]])</f>
        <v>0</v>
      </c>
      <c r="AB47" s="58"/>
    </row>
    <row r="48" spans="1:28" outlineLevel="1" x14ac:dyDescent="0.35">
      <c r="A48" s="145"/>
      <c r="B48" s="132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Row],[Paltas]:[Empanadas]],O$102:Z$102)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>
        <f>SUM(Tabla523[[#This Row],[Paltas]:[Empanadas]])</f>
        <v>0</v>
      </c>
      <c r="AB48" s="58"/>
    </row>
    <row r="49" spans="1:28" outlineLevel="1" x14ac:dyDescent="0.35">
      <c r="A49" s="145"/>
      <c r="B49" s="132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Row],[Paltas]:[Empanadas]],O$102:Z$102)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>
        <f>SUM(Tabla523[[#This Row],[Paltas]:[Empanadas]])</f>
        <v>0</v>
      </c>
      <c r="AB49" s="58"/>
    </row>
    <row r="50" spans="1:28" outlineLevel="1" x14ac:dyDescent="0.35">
      <c r="A50" s="145"/>
      <c r="B50" s="132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Row],[Paltas]:[Empanadas]],O$102:Z$102)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>
        <f>SUM(Tabla523[[#This Row],[Paltas]:[Empanadas]])</f>
        <v>0</v>
      </c>
      <c r="AB50" s="58"/>
    </row>
    <row r="51" spans="1:28" outlineLevel="1" x14ac:dyDescent="0.35">
      <c r="A51" s="145"/>
      <c r="B51" s="132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Row],[Paltas]:[Empanadas]],O$102:Z$102)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>
        <f>SUM(Tabla523[[#This Row],[Paltas]:[Empanadas]])</f>
        <v>0</v>
      </c>
      <c r="AB51" s="58"/>
    </row>
    <row r="52" spans="1:28" outlineLevel="1" x14ac:dyDescent="0.35">
      <c r="A52" s="145"/>
      <c r="B52" s="132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Row],[Paltas]:[Empanadas]],O$102:Z$102)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>
        <f>SUM(Tabla523[[#This Row],[Paltas]:[Empanadas]])</f>
        <v>0</v>
      </c>
      <c r="AB52" s="58"/>
    </row>
    <row r="53" spans="1:28" outlineLevel="1" x14ac:dyDescent="0.35">
      <c r="A53" s="145"/>
      <c r="B53" s="132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Row],[Paltas]:[Empanadas]],O$102:Z$102)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>
        <f>SUM(Tabla523[[#This Row],[Paltas]:[Empanadas]])</f>
        <v>0</v>
      </c>
      <c r="AB53" s="58"/>
    </row>
    <row r="54" spans="1:28" outlineLevel="1" x14ac:dyDescent="0.35">
      <c r="A54" s="145"/>
      <c r="B54" s="132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Row],[Paltas]:[Empanadas]],O$102:Z$102)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>
        <f>SUM(Tabla523[[#This Row],[Paltas]:[Empanadas]])</f>
        <v>0</v>
      </c>
      <c r="AB54" s="58"/>
    </row>
    <row r="55" spans="1:28" outlineLevel="1" x14ac:dyDescent="0.35">
      <c r="A55" s="145"/>
      <c r="B55" s="132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Row],[Paltas]:[Empanadas]],O$102:Z$102)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>
        <f>SUM(Tabla523[[#This Row],[Paltas]:[Empanadas]])</f>
        <v>0</v>
      </c>
      <c r="AB55" s="58"/>
    </row>
    <row r="56" spans="1:28" outlineLevel="1" x14ac:dyDescent="0.35">
      <c r="A56" s="145"/>
      <c r="B56" s="132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Row],[Paltas]:[Empanadas]],O$102:Z$102)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>
        <f>SUM(Tabla523[[#This Row],[Paltas]:[Empanadas]])</f>
        <v>0</v>
      </c>
      <c r="AB56" s="58"/>
    </row>
    <row r="57" spans="1:28" outlineLevel="1" x14ac:dyDescent="0.35">
      <c r="A57" s="145"/>
      <c r="B57" s="132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Row],[Paltas]:[Empanadas]],O$102:Z$102)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>
        <f>SUM(Tabla523[[#This Row],[Paltas]:[Empanadas]])</f>
        <v>0</v>
      </c>
      <c r="AB57" s="58"/>
    </row>
    <row r="58" spans="1:28" outlineLevel="1" x14ac:dyDescent="0.35">
      <c r="A58" s="145"/>
      <c r="B58" s="132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Row],[Paltas]:[Empanadas]],O$102:Z$102)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>
        <f>SUM(Tabla523[[#This Row],[Paltas]:[Empanadas]])</f>
        <v>0</v>
      </c>
      <c r="AB58" s="58"/>
    </row>
    <row r="59" spans="1:28" outlineLevel="1" x14ac:dyDescent="0.35">
      <c r="A59" s="145"/>
      <c r="B59" s="132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Row],[Paltas]:[Empanadas]],O$102:Z$102)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>
        <f>SUM(Tabla523[[#This Row],[Paltas]:[Empanadas]])</f>
        <v>0</v>
      </c>
      <c r="AB59" s="58"/>
    </row>
    <row r="60" spans="1:28" outlineLevel="1" x14ac:dyDescent="0.35">
      <c r="A60" s="145"/>
      <c r="B60" s="132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Row],[Paltas]:[Empanadas]],O$102:Z$102)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>
        <f>SUM(Tabla523[[#This Row],[Paltas]:[Empanadas]])</f>
        <v>0</v>
      </c>
      <c r="AB60" s="58"/>
    </row>
    <row r="61" spans="1:28" outlineLevel="1" x14ac:dyDescent="0.35">
      <c r="A61" s="145"/>
      <c r="B61" s="132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Row],[Paltas]:[Empanadas]],O$102:Z$102)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>
        <f>SUM(Tabla523[[#This Row],[Paltas]:[Empanadas]])</f>
        <v>0</v>
      </c>
      <c r="AB61" s="58"/>
    </row>
    <row r="62" spans="1:28" outlineLevel="1" x14ac:dyDescent="0.35">
      <c r="A62" s="145"/>
      <c r="B62" s="132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Row],[Paltas]:[Empanadas]],O$102:Z$102)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f>SUM(Tabla523[[#This Row],[Paltas]:[Empanadas]])</f>
        <v>0</v>
      </c>
      <c r="AB62" s="58"/>
    </row>
    <row r="63" spans="1:28" outlineLevel="1" x14ac:dyDescent="0.35">
      <c r="A63" s="145"/>
      <c r="B63" s="132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Row],[Paltas]:[Empanadas]],O$102:Z$102)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>
        <f>SUM(Tabla523[[#This Row],[Paltas]:[Empanadas]])</f>
        <v>0</v>
      </c>
      <c r="AB63" s="58"/>
    </row>
    <row r="64" spans="1:28" outlineLevel="1" x14ac:dyDescent="0.35">
      <c r="A64" s="145"/>
      <c r="B64" s="132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Row],[Paltas]:[Empanadas]],O$102:Z$102)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>
        <f>SUM(Tabla523[[#This Row],[Paltas]:[Empanadas]])</f>
        <v>0</v>
      </c>
      <c r="AB64" s="58"/>
    </row>
    <row r="65" spans="1:28" outlineLevel="1" x14ac:dyDescent="0.35">
      <c r="A65" s="145"/>
      <c r="B65" s="132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Row],[Paltas]:[Empanadas]],O$102:Z$102)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>
        <f>SUM(Tabla523[[#This Row],[Paltas]:[Empanadas]])</f>
        <v>0</v>
      </c>
      <c r="AB65" s="58"/>
    </row>
    <row r="66" spans="1:28" outlineLevel="1" x14ac:dyDescent="0.35">
      <c r="A66" s="145"/>
      <c r="B66" s="132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Row],[Paltas]:[Empanadas]],O$102:Z$102)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>
        <f>SUM(Tabla523[[#This Row],[Paltas]:[Empanadas]])</f>
        <v>0</v>
      </c>
      <c r="AB66" s="58"/>
    </row>
    <row r="67" spans="1:28" outlineLevel="1" x14ac:dyDescent="0.35">
      <c r="A67" s="145"/>
      <c r="B67" s="132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Row],[Paltas]:[Empanadas]],O$102:Z$102)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>
        <f>SUM(Tabla523[[#This Row],[Paltas]:[Empanadas]])</f>
        <v>0</v>
      </c>
      <c r="AB67" s="58"/>
    </row>
    <row r="68" spans="1:28" outlineLevel="1" x14ac:dyDescent="0.35">
      <c r="A68" s="145"/>
      <c r="B68" s="131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Row],[Paltas]:[Empanadas]],O$102:Z$102)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>
        <f>SUM(Tabla523[[#This Row],[Paltas]:[Empanadas]])</f>
        <v>0</v>
      </c>
      <c r="AB68" s="58"/>
    </row>
    <row r="69" spans="1:28" outlineLevel="1" x14ac:dyDescent="0.35">
      <c r="A69" s="145"/>
      <c r="B69" s="131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Row],[Paltas]:[Empanadas]],O$102:Z$102)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>
        <f>SUM(Tabla523[[#This Row],[Paltas]:[Empanadas]])</f>
        <v>0</v>
      </c>
      <c r="AB69" s="58"/>
    </row>
    <row r="70" spans="1:28" outlineLevel="1" x14ac:dyDescent="0.35">
      <c r="A70" s="145"/>
      <c r="B70" s="131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Row],[Paltas]:[Empanadas]],O$102:Z$102)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>
        <f>SUM(Tabla523[[#This Row],[Paltas]:[Empanadas]])</f>
        <v>0</v>
      </c>
      <c r="AB70" s="58"/>
    </row>
    <row r="71" spans="1:28" outlineLevel="1" x14ac:dyDescent="0.35">
      <c r="A71" s="145"/>
      <c r="B71" s="131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Row],[Paltas]:[Empanadas]],O$102:Z$102)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>
        <f>SUM(Tabla523[[#This Row],[Paltas]:[Empanadas]])</f>
        <v>0</v>
      </c>
      <c r="AB71" s="58"/>
    </row>
    <row r="72" spans="1:28" outlineLevel="1" x14ac:dyDescent="0.35">
      <c r="A72" s="145"/>
      <c r="B72" s="131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Row],[Paltas]:[Empanadas]],O$102:Z$102)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>
        <f>SUM(Tabla523[[#This Row],[Paltas]:[Empanadas]])</f>
        <v>0</v>
      </c>
      <c r="AB72" s="58"/>
    </row>
    <row r="73" spans="1:28" outlineLevel="1" x14ac:dyDescent="0.35">
      <c r="A73" s="145"/>
      <c r="B73" s="131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Row],[Paltas]:[Empanadas]],O$102:Z$102)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>
        <f>SUM(Tabla523[[#This Row],[Paltas]:[Empanadas]])</f>
        <v>0</v>
      </c>
      <c r="AB73" s="58"/>
    </row>
    <row r="74" spans="1:28" outlineLevel="1" x14ac:dyDescent="0.35">
      <c r="A74" s="145"/>
      <c r="B74" s="131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Row],[Paltas]:[Empanadas]],O$102:Z$102)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>
        <f>SUM(Tabla523[[#This Row],[Paltas]:[Empanadas]])</f>
        <v>0</v>
      </c>
      <c r="AB74" s="58"/>
    </row>
    <row r="75" spans="1:28" outlineLevel="1" x14ac:dyDescent="0.35">
      <c r="A75" s="145"/>
      <c r="B75" s="131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Row],[Paltas]:[Empanadas]],O$102:Z$102)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>
        <f>SUM(Tabla523[[#This Row],[Paltas]:[Empanadas]])</f>
        <v>0</v>
      </c>
      <c r="AB75" s="58"/>
    </row>
    <row r="76" spans="1:28" outlineLevel="1" x14ac:dyDescent="0.35">
      <c r="A76" s="145"/>
      <c r="B76" s="131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Row],[Paltas]:[Empanadas]],O$102:Z$102)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>
        <f>SUM(Tabla523[[#This Row],[Paltas]:[Empanadas]])</f>
        <v>0</v>
      </c>
      <c r="AB76" s="58"/>
    </row>
    <row r="77" spans="1:28" outlineLevel="1" x14ac:dyDescent="0.35">
      <c r="A77" s="145"/>
      <c r="B77" s="131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Row],[Paltas]:[Empanadas]],O$102:Z$102)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>
        <f>SUM(Tabla523[[#This Row],[Paltas]:[Empanadas]])</f>
        <v>0</v>
      </c>
      <c r="AB77" s="58"/>
    </row>
    <row r="78" spans="1:28" outlineLevel="1" x14ac:dyDescent="0.35">
      <c r="A78" s="145"/>
      <c r="B78" s="131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Joaquin Eichholz</v>
      </c>
      <c r="L78" s="52"/>
      <c r="M78" s="52"/>
      <c r="N78" s="70">
        <f>SUMPRODUCT(Tabla523[[#This Row],[Paltas]:[Empanadas]],O$102:Z$102)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>
        <f>SUM(Tabla523[[#This Row],[Paltas]:[Empanadas]])</f>
        <v>0</v>
      </c>
      <c r="AB78" s="58"/>
    </row>
    <row r="79" spans="1:28" outlineLevel="1" x14ac:dyDescent="0.35">
      <c r="A79" s="145"/>
      <c r="B79" s="131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Row],[Paltas]:[Empanadas]],O$102:Z$102)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>
        <f>SUM(Tabla523[[#This Row],[Paltas]:[Empanadas]])</f>
        <v>0</v>
      </c>
      <c r="AB79" s="58"/>
    </row>
    <row r="80" spans="1:28" outlineLevel="1" x14ac:dyDescent="0.35">
      <c r="A80" s="145"/>
      <c r="B80" s="131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Row],[Paltas]:[Empanadas]],O$102:Z$102)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>
        <f>SUM(Tabla523[[#This Row],[Paltas]:[Empanadas]])</f>
        <v>0</v>
      </c>
      <c r="AB80" s="58"/>
    </row>
    <row r="81" spans="1:28" outlineLevel="1" x14ac:dyDescent="0.35">
      <c r="A81" s="145"/>
      <c r="B81" s="131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Row],[Paltas]:[Empanadas]],O$102:Z$102)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>
        <f>SUM(Tabla523[[#This Row],[Paltas]:[Empanadas]])</f>
        <v>0</v>
      </c>
      <c r="AB81" s="58"/>
    </row>
    <row r="82" spans="1:28" outlineLevel="1" x14ac:dyDescent="0.35">
      <c r="A82" s="145"/>
      <c r="B82" s="131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Row],[Paltas]:[Empanadas]],O$102:Z$102)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>
        <f>SUM(Tabla523[[#This Row],[Paltas]:[Empanadas]])</f>
        <v>0</v>
      </c>
      <c r="AB82" s="58"/>
    </row>
    <row r="83" spans="1:28" outlineLevel="1" x14ac:dyDescent="0.35">
      <c r="A83" s="145"/>
      <c r="B83" s="131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Row],[Paltas]:[Empanadas]],O$102:Z$102)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>
        <f>SUM(Tabla523[[#This Row],[Paltas]:[Empanadas]])</f>
        <v>0</v>
      </c>
      <c r="AB83" s="58"/>
    </row>
    <row r="84" spans="1:28" outlineLevel="1" x14ac:dyDescent="0.35">
      <c r="A84" s="145"/>
      <c r="B84" s="131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Row],[Paltas]:[Empanadas]],O$102:Z$102)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>
        <f>SUM(Tabla523[[#This Row],[Paltas]:[Empanadas]])</f>
        <v>0</v>
      </c>
      <c r="AB84" s="58"/>
    </row>
    <row r="85" spans="1:28" outlineLevel="1" x14ac:dyDescent="0.35">
      <c r="A85" s="145"/>
      <c r="B85" s="131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Row],[Paltas]:[Empanadas]],O$102:Z$102)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>
        <f>SUM(Tabla523[[#This Row],[Paltas]:[Empanadas]])</f>
        <v>0</v>
      </c>
      <c r="AB85" s="58"/>
    </row>
    <row r="86" spans="1:28" outlineLevel="1" x14ac:dyDescent="0.35">
      <c r="A86" s="145"/>
      <c r="B86" s="131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Row],[Paltas]:[Empanadas]],O$102:Z$102)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>
        <f>SUM(Tabla523[[#This Row],[Paltas]:[Empanadas]])</f>
        <v>0</v>
      </c>
      <c r="AB86" s="58"/>
    </row>
    <row r="87" spans="1:28" outlineLevel="1" x14ac:dyDescent="0.35">
      <c r="A87" s="145"/>
      <c r="B87" s="131" t="str">
        <f>[1]Personas!A84</f>
        <v>Juan Pablo</v>
      </c>
      <c r="C87" s="48" t="str">
        <f>[1]Personas!B84</f>
        <v>Germain</v>
      </c>
      <c r="D87" s="59" t="str">
        <f>[1]Personas!C84</f>
        <v>Santa Veronica 1035</v>
      </c>
      <c r="E87" s="59" t="str">
        <f>[1]Personas!D84</f>
        <v>Las Condes</v>
      </c>
      <c r="F87" s="59" t="str">
        <f>[1]Personas!E84</f>
        <v>San Carlos</v>
      </c>
      <c r="G87" s="59" t="str">
        <f>[1]Personas!F84</f>
        <v>UC</v>
      </c>
      <c r="H87" s="59" t="str">
        <f>[1]Personas!G84</f>
        <v>JEFE</v>
      </c>
      <c r="I87" s="60">
        <f>[1]Personas!H84</f>
        <v>56966685970</v>
      </c>
      <c r="J87" s="27" t="str">
        <f>[1]Personas!I84</f>
        <v>jpgermain17@gmail.com</v>
      </c>
      <c r="K87" s="27" t="str">
        <f>[1]Personas!J84</f>
        <v>Joaquin Eichholz</v>
      </c>
      <c r="L87" s="52"/>
      <c r="M87" s="52"/>
      <c r="N87" s="70">
        <f>SUMPRODUCT(Tabla523[[#This Row],[Paltas]:[Empanadas]],O$102:Z$102)</f>
        <v>0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>
        <f>SUM(Tabla523[[#This Row],[Paltas]:[Empanadas]])</f>
        <v>0</v>
      </c>
      <c r="AB87" s="58"/>
    </row>
    <row r="88" spans="1:28" outlineLevel="1" x14ac:dyDescent="0.35">
      <c r="A88" s="145"/>
      <c r="B88" s="131" t="str">
        <f>[1]Personas!A85</f>
        <v>Matias</v>
      </c>
      <c r="C88" s="48" t="str">
        <f>[1]Personas!B85</f>
        <v>Muschen</v>
      </c>
      <c r="D88" s="59" t="str">
        <f>[1]Personas!C85</f>
        <v>Las Condesas 2035</v>
      </c>
      <c r="E88" s="59" t="str">
        <f>[1]Personas!D85</f>
        <v>Las Condes</v>
      </c>
      <c r="F88" s="59" t="str">
        <f>[1]Personas!E85</f>
        <v>San Carlos</v>
      </c>
      <c r="G88" s="59" t="str">
        <f>[1]Personas!F85</f>
        <v>Aleman</v>
      </c>
      <c r="H88" s="59" t="str">
        <f>[1]Personas!G85</f>
        <v>JEFE</v>
      </c>
      <c r="I88" s="60">
        <f>[1]Personas!H85</f>
        <v>56990163951</v>
      </c>
      <c r="J88" s="27" t="str">
        <f>[1]Personas!I85</f>
        <v>matimuschen@gmail.com</v>
      </c>
      <c r="K88" s="27" t="str">
        <f>[1]Personas!J85</f>
        <v>Lukas Quense</v>
      </c>
      <c r="L88" s="52"/>
      <c r="M88" s="52"/>
      <c r="N88" s="70">
        <f>SUMPRODUCT(Tabla523[[#This Row],[Paltas]:[Empanadas]],O$102:Z$102)</f>
        <v>0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>
        <f>SUM(Tabla523[[#This Row],[Paltas]:[Empanadas]])</f>
        <v>0</v>
      </c>
      <c r="AB88" s="58"/>
    </row>
    <row r="89" spans="1:28" outlineLevel="1" x14ac:dyDescent="0.35">
      <c r="A89" s="145"/>
      <c r="B89" s="131" t="str">
        <f>[1]Personas!A86</f>
        <v>Pia</v>
      </c>
      <c r="C89" s="48" t="str">
        <f>[1]Personas!B86</f>
        <v>Rodriguez</v>
      </c>
      <c r="D89" s="59" t="str">
        <f>[1]Personas!C86</f>
        <v>Camino Mirasol 2569</v>
      </c>
      <c r="E89" s="59" t="str">
        <f>[1]Personas!D86</f>
        <v>Las Condes</v>
      </c>
      <c r="F89" s="59" t="str">
        <f>[1]Personas!E86</f>
        <v>San Carlos</v>
      </c>
      <c r="G89" s="59">
        <f>[1]Personas!F86</f>
        <v>0</v>
      </c>
      <c r="H89" s="59" t="str">
        <f>[1]Personas!G86</f>
        <v>JEFE</v>
      </c>
      <c r="I89" s="60">
        <f>[1]Personas!H86</f>
        <v>56978945335</v>
      </c>
      <c r="J89" s="27" t="str">
        <f>[1]Personas!I86</f>
        <v>piarodriguez24@gmail.com</v>
      </c>
      <c r="K89" s="27" t="str">
        <f>[1]Personas!J86</f>
        <v>Lukas Quense</v>
      </c>
      <c r="L89" s="52"/>
      <c r="M89" s="52"/>
      <c r="N89" s="70">
        <f>SUMPRODUCT(Tabla523[[#This Row],[Paltas]:[Empanadas]],O$102:Z$102)</f>
        <v>0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>
        <f>SUM(Tabla523[[#This Row],[Paltas]:[Empanadas]])</f>
        <v>0</v>
      </c>
      <c r="AB89" s="58"/>
    </row>
    <row r="90" spans="1:28" outlineLevel="1" x14ac:dyDescent="0.35">
      <c r="A90" s="145"/>
      <c r="B90" s="131" t="str">
        <f>[1]Personas!A87</f>
        <v>Gino</v>
      </c>
      <c r="C90" s="48" t="str">
        <f>[1]Personas!B87</f>
        <v>Genova</v>
      </c>
      <c r="D90" s="59">
        <f>[1]Personas!C87</f>
        <v>0</v>
      </c>
      <c r="E90" s="59">
        <f>[1]Personas!D87</f>
        <v>0</v>
      </c>
      <c r="F90" s="59">
        <f>[1]Personas!E87</f>
        <v>0</v>
      </c>
      <c r="G90" s="59">
        <f>[1]Personas!F87</f>
        <v>0</v>
      </c>
      <c r="H90" s="59">
        <f>[1]Personas!G87</f>
        <v>0</v>
      </c>
      <c r="I90" s="60">
        <f>[1]Personas!H87</f>
        <v>0</v>
      </c>
      <c r="J90" s="27">
        <f>[1]Personas!I87</f>
        <v>0</v>
      </c>
      <c r="K90" s="27" t="str">
        <f>[1]Personas!J87</f>
        <v>Joaquin Eichholz</v>
      </c>
      <c r="L90" s="52"/>
      <c r="M90" s="52"/>
      <c r="N90" s="70">
        <f>SUMPRODUCT(Tabla523[[#This Row],[Paltas]:[Empanadas]],O$102:Z$102)</f>
        <v>0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>
        <f>SUM(Tabla523[[#This Row],[Paltas]:[Empanadas]])</f>
        <v>0</v>
      </c>
      <c r="AB90" s="58"/>
    </row>
    <row r="91" spans="1:28" outlineLevel="1" x14ac:dyDescent="0.35">
      <c r="A91" s="145"/>
      <c r="B91" s="131" t="str">
        <f>[1]Personas!A88</f>
        <v>Isidora</v>
      </c>
      <c r="C91" s="48" t="str">
        <f>[1]Personas!B88</f>
        <v>Badia</v>
      </c>
      <c r="D91" s="59" t="str">
        <f>[1]Personas!C88</f>
        <v>Av Golf Lomas de La Dehesa 11755</v>
      </c>
      <c r="E91" s="59" t="str">
        <f>[1]Personas!D88</f>
        <v>Lo Barnechea</v>
      </c>
      <c r="F91" s="59" t="str">
        <f>[1]Personas!E88</f>
        <v>Los Trapenses</v>
      </c>
      <c r="G91" s="59" t="str">
        <f>[1]Personas!F88</f>
        <v>UAI</v>
      </c>
      <c r="H91" s="59" t="str">
        <f>[1]Personas!G88</f>
        <v>JEFE</v>
      </c>
      <c r="I91" s="60">
        <f>[1]Personas!H88</f>
        <v>56976994719</v>
      </c>
      <c r="J91" s="27" t="str">
        <f>[1]Personas!I88</f>
        <v>isidorabadiaw@gmail.com</v>
      </c>
      <c r="K91" s="27" t="str">
        <f>[1]Personas!J88</f>
        <v>Lukas Quense</v>
      </c>
      <c r="L91" s="52"/>
      <c r="M91" s="52"/>
      <c r="N91" s="70">
        <f>SUMPRODUCT(Tabla523[[#This Row],[Paltas]:[Empanadas]],O$102:Z$102)</f>
        <v>0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>
        <f>SUM(Tabla523[[#This Row],[Paltas]:[Empanadas]])</f>
        <v>0</v>
      </c>
      <c r="AB91" s="58"/>
    </row>
    <row r="92" spans="1:28" ht="15" outlineLevel="1" thickBot="1" x14ac:dyDescent="0.4">
      <c r="A92" s="146"/>
      <c r="B92" s="133" t="str">
        <f>[1]Personas!A89</f>
        <v>Tati</v>
      </c>
      <c r="C92" s="14" t="str">
        <f>[1]Personas!B89</f>
        <v>Von Storch</v>
      </c>
      <c r="D92" s="65" t="str">
        <f>[1]Personas!C89</f>
        <v>Carlos Pena Otaegui 11472</v>
      </c>
      <c r="E92" s="65" t="str">
        <f>[1]Personas!D89</f>
        <v>Las Condes</v>
      </c>
      <c r="F92" s="65">
        <f>[1]Personas!E89</f>
        <v>0</v>
      </c>
      <c r="G92" s="65">
        <f>[1]Personas!F89</f>
        <v>0</v>
      </c>
      <c r="H92" s="65" t="str">
        <f>[1]Personas!G89</f>
        <v>JEFE</v>
      </c>
      <c r="I92" s="66">
        <f>[1]Personas!H89</f>
        <v>56977895588</v>
      </c>
      <c r="J92" s="46" t="str">
        <f>[1]Personas!I89</f>
        <v>tevonstorch@uc.cl</v>
      </c>
      <c r="K92" s="46" t="str">
        <f>[1]Personas!J89</f>
        <v>Lukas Quense</v>
      </c>
      <c r="L92" s="16"/>
      <c r="M92" s="16"/>
      <c r="N92" s="71">
        <f>SUMPRODUCT(Tabla523[[#This Row],[Paltas]:[Empanadas]],O$102:Z$102)</f>
        <v>0</v>
      </c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>
        <f>SUM(Tabla523[[#This Row],[Paltas]:[Empanadas]])</f>
        <v>0</v>
      </c>
      <c r="AB92" s="45"/>
    </row>
    <row r="93" spans="1:28" outlineLevel="1" x14ac:dyDescent="0.35">
      <c r="A93" s="18"/>
      <c r="B93" s="19"/>
      <c r="C93" s="19"/>
      <c r="D93" s="19"/>
      <c r="E93" s="19"/>
      <c r="F93" s="19"/>
      <c r="G93" s="19"/>
      <c r="H93" s="19"/>
      <c r="I93" s="32"/>
      <c r="J93" s="31"/>
      <c r="K93" s="31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</row>
    <row r="94" spans="1:28" ht="15" thickBot="1" x14ac:dyDescent="0.4"/>
    <row r="95" spans="1:28" ht="14.65" customHeight="1" thickBot="1" x14ac:dyDescent="0.4">
      <c r="A95" s="165" t="s">
        <v>20</v>
      </c>
      <c r="B95" s="156" t="s">
        <v>7</v>
      </c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8"/>
      <c r="N95" s="41" t="s">
        <v>9</v>
      </c>
      <c r="O95" s="8">
        <f>SUM(Tabla523[Paltas])</f>
        <v>0</v>
      </c>
      <c r="P95" s="49">
        <f>SUM(Tabla523[Quesos])</f>
        <v>0</v>
      </c>
      <c r="Q95" s="49">
        <f>SUM(Tabla523[Frutillas])</f>
        <v>0</v>
      </c>
      <c r="R95" s="49">
        <f>SUM(Tabla523[Tomate Cherry])</f>
        <v>0</v>
      </c>
      <c r="S95" s="49">
        <f>SUM(Tabla523[Nueces])</f>
        <v>0</v>
      </c>
      <c r="T95" s="49">
        <f>SUM(Tabla523[Mani])</f>
        <v>0</v>
      </c>
      <c r="U95" s="49">
        <f>SUM(Tabla523[Pistachos])</f>
        <v>0</v>
      </c>
      <c r="V95" s="49">
        <f>SUM(Tabla523[Caju])</f>
        <v>0</v>
      </c>
      <c r="W95" s="49">
        <f>SUM(Tabla523[Almendras])</f>
        <v>0</v>
      </c>
      <c r="X95" s="49">
        <f>SUM(Tabla523[Cerezas])</f>
        <v>0</v>
      </c>
      <c r="Y95" s="49">
        <f>SUM(Tabla523[Arandanos])</f>
        <v>0</v>
      </c>
      <c r="Z95" s="4">
        <f>SUM(Tabla523[Empanadas])</f>
        <v>0</v>
      </c>
    </row>
    <row r="96" spans="1:28" ht="14.65" customHeight="1" thickBot="1" x14ac:dyDescent="0.4">
      <c r="A96" s="166"/>
      <c r="B96" s="174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6"/>
      <c r="N96" s="41" t="s">
        <v>28</v>
      </c>
      <c r="O96" s="9">
        <v>5</v>
      </c>
      <c r="P96" s="52">
        <v>4</v>
      </c>
      <c r="Q96" s="52">
        <v>2</v>
      </c>
      <c r="R96" s="37">
        <v>1</v>
      </c>
      <c r="S96" s="73">
        <v>0.5</v>
      </c>
      <c r="T96" s="73">
        <v>1</v>
      </c>
      <c r="U96" s="73">
        <v>0.5</v>
      </c>
      <c r="V96" s="73">
        <v>0.4</v>
      </c>
      <c r="W96" s="73">
        <v>0.5</v>
      </c>
      <c r="X96" s="73">
        <v>5</v>
      </c>
      <c r="Y96" s="73">
        <v>0.5</v>
      </c>
      <c r="Z96" s="38">
        <v>12</v>
      </c>
    </row>
    <row r="97" spans="1:26" ht="14.65" customHeight="1" thickBot="1" x14ac:dyDescent="0.4">
      <c r="A97" s="166"/>
      <c r="B97" s="174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6"/>
      <c r="N97" s="41" t="s">
        <v>8</v>
      </c>
      <c r="O97" s="9">
        <f>O96*O95</f>
        <v>0</v>
      </c>
      <c r="P97" s="52">
        <f t="shared" ref="P97:S97" si="0">P96*P95</f>
        <v>0</v>
      </c>
      <c r="Q97" s="52">
        <f t="shared" si="0"/>
        <v>0</v>
      </c>
      <c r="R97" s="52">
        <f t="shared" si="0"/>
        <v>0</v>
      </c>
      <c r="S97" s="52">
        <f t="shared" si="0"/>
        <v>0</v>
      </c>
      <c r="T97" s="52">
        <f t="shared" ref="T97:Y97" si="1">T96*T95</f>
        <v>0</v>
      </c>
      <c r="U97" s="52">
        <f t="shared" si="1"/>
        <v>0</v>
      </c>
      <c r="V97" s="52">
        <f t="shared" si="1"/>
        <v>0</v>
      </c>
      <c r="W97" s="52">
        <f t="shared" si="1"/>
        <v>0</v>
      </c>
      <c r="X97" s="52">
        <f t="shared" si="1"/>
        <v>0</v>
      </c>
      <c r="Y97" s="52">
        <f t="shared" si="1"/>
        <v>0</v>
      </c>
      <c r="Z97" s="11">
        <f t="shared" ref="Z97" si="2">Z96*Z95</f>
        <v>0</v>
      </c>
    </row>
    <row r="98" spans="1:26" ht="15" thickBot="1" x14ac:dyDescent="0.4">
      <c r="A98" s="166"/>
      <c r="B98" s="159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1"/>
      <c r="N98" s="41" t="s">
        <v>10</v>
      </c>
      <c r="O98" s="10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2"/>
    </row>
    <row r="99" spans="1:26" ht="15" thickBot="1" x14ac:dyDescent="0.4">
      <c r="A99" s="166"/>
      <c r="B99" s="42"/>
      <c r="C99" s="19"/>
      <c r="D99" s="23"/>
      <c r="E99" s="24"/>
      <c r="F99" s="24"/>
      <c r="G99" s="24"/>
      <c r="H99" s="24"/>
      <c r="I99" s="24"/>
      <c r="J99" s="24"/>
      <c r="K99" s="25"/>
      <c r="N99" s="3"/>
    </row>
    <row r="100" spans="1:26" ht="15" thickBot="1" x14ac:dyDescent="0.4">
      <c r="A100" s="166"/>
      <c r="B100" s="156" t="s">
        <v>12</v>
      </c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  <c r="M100" s="158"/>
      <c r="N100" s="41" t="s">
        <v>13</v>
      </c>
      <c r="O100" s="54">
        <v>3100</v>
      </c>
      <c r="P100" s="51">
        <v>6716</v>
      </c>
      <c r="Q100" s="51">
        <v>2600</v>
      </c>
      <c r="R100" s="51">
        <v>2300</v>
      </c>
      <c r="S100" s="51">
        <f t="shared" ref="S100" si="3">S101*S96</f>
        <v>3750</v>
      </c>
      <c r="T100" s="51">
        <f t="shared" ref="T100:Y100" si="4">T101*T96</f>
        <v>3500</v>
      </c>
      <c r="U100" s="51">
        <f t="shared" si="4"/>
        <v>7050</v>
      </c>
      <c r="V100" s="51">
        <f t="shared" si="4"/>
        <v>5320</v>
      </c>
      <c r="W100" s="51">
        <f t="shared" si="4"/>
        <v>5350</v>
      </c>
      <c r="X100" s="51">
        <f t="shared" si="4"/>
        <v>6000</v>
      </c>
      <c r="Y100" s="51">
        <f t="shared" si="4"/>
        <v>600</v>
      </c>
      <c r="Z100" s="15">
        <f t="shared" ref="Z100" si="5">Z101*Z96</f>
        <v>12000</v>
      </c>
    </row>
    <row r="101" spans="1:26" ht="15" thickBot="1" x14ac:dyDescent="0.4">
      <c r="A101" s="166"/>
      <c r="B101" s="174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6"/>
      <c r="N101" s="41" t="s">
        <v>8</v>
      </c>
      <c r="O101" s="77">
        <v>1550</v>
      </c>
      <c r="P101" s="76">
        <v>6716</v>
      </c>
      <c r="Q101" s="76">
        <v>1300</v>
      </c>
      <c r="R101" s="76">
        <v>2300</v>
      </c>
      <c r="S101" s="76">
        <v>7500</v>
      </c>
      <c r="T101" s="76">
        <v>3500</v>
      </c>
      <c r="U101" s="76">
        <v>14100</v>
      </c>
      <c r="V101" s="76">
        <v>13300</v>
      </c>
      <c r="W101" s="76">
        <v>10700</v>
      </c>
      <c r="X101" s="76">
        <f>6000/5</f>
        <v>1200</v>
      </c>
      <c r="Y101" s="76">
        <f>6000/5</f>
        <v>1200</v>
      </c>
      <c r="Z101" s="80">
        <v>1000</v>
      </c>
    </row>
    <row r="102" spans="1:26" ht="15" thickBot="1" x14ac:dyDescent="0.4">
      <c r="A102" s="166"/>
      <c r="B102" s="159"/>
      <c r="C102" s="160"/>
      <c r="D102" s="160"/>
      <c r="E102" s="160"/>
      <c r="F102" s="160"/>
      <c r="G102" s="160"/>
      <c r="H102" s="160"/>
      <c r="I102" s="160"/>
      <c r="J102" s="160"/>
      <c r="K102" s="160"/>
      <c r="L102" s="160"/>
      <c r="M102" s="161"/>
      <c r="N102" s="41" t="s">
        <v>14</v>
      </c>
      <c r="O102" s="78">
        <v>4500</v>
      </c>
      <c r="P102" s="79">
        <v>7500</v>
      </c>
      <c r="Q102" s="79">
        <v>4500</v>
      </c>
      <c r="R102" s="79">
        <v>4500</v>
      </c>
      <c r="S102" s="79">
        <v>5500</v>
      </c>
      <c r="T102" s="79">
        <v>4500</v>
      </c>
      <c r="U102" s="79">
        <v>8500</v>
      </c>
      <c r="V102" s="79">
        <v>7500</v>
      </c>
      <c r="W102" s="79">
        <v>7500</v>
      </c>
      <c r="X102" s="79">
        <v>7500</v>
      </c>
      <c r="Y102" s="79">
        <v>4500</v>
      </c>
      <c r="Z102" s="81">
        <v>17500</v>
      </c>
    </row>
    <row r="103" spans="1:26" ht="15" thickBot="1" x14ac:dyDescent="0.4">
      <c r="A103" s="166"/>
      <c r="B103" s="42"/>
      <c r="C103" s="19"/>
      <c r="D103" s="23"/>
      <c r="E103" s="24"/>
      <c r="F103" s="24"/>
      <c r="G103" s="24"/>
      <c r="H103" s="24"/>
      <c r="I103" s="24"/>
      <c r="J103" s="24"/>
      <c r="K103" s="25"/>
      <c r="N103" s="3"/>
    </row>
    <row r="104" spans="1:26" ht="14.65" customHeight="1" thickBot="1" x14ac:dyDescent="0.4">
      <c r="A104" s="166"/>
      <c r="B104" s="156" t="s">
        <v>15</v>
      </c>
      <c r="C104" s="157"/>
      <c r="D104" s="157"/>
      <c r="E104" s="157"/>
      <c r="F104" s="157"/>
      <c r="G104" s="157"/>
      <c r="H104" s="157"/>
      <c r="I104" s="157"/>
      <c r="J104" s="157"/>
      <c r="K104" s="157"/>
      <c r="L104" s="157"/>
      <c r="M104" s="158"/>
      <c r="N104" s="41" t="s">
        <v>19</v>
      </c>
      <c r="O104" s="87">
        <f>O95*O100</f>
        <v>0</v>
      </c>
      <c r="P104" s="88">
        <f t="shared" ref="P104:S104" si="6">P95*P100</f>
        <v>0</v>
      </c>
      <c r="Q104" s="88">
        <f t="shared" si="6"/>
        <v>0</v>
      </c>
      <c r="R104" s="89">
        <f t="shared" si="6"/>
        <v>0</v>
      </c>
      <c r="S104" s="88">
        <f t="shared" si="6"/>
        <v>0</v>
      </c>
      <c r="T104" s="88">
        <f t="shared" ref="T104:Z104" si="7">T95*T100</f>
        <v>0</v>
      </c>
      <c r="U104" s="88">
        <f t="shared" si="7"/>
        <v>0</v>
      </c>
      <c r="V104" s="88">
        <f t="shared" si="7"/>
        <v>0</v>
      </c>
      <c r="W104" s="88">
        <f t="shared" si="7"/>
        <v>0</v>
      </c>
      <c r="X104" s="88">
        <f t="shared" si="7"/>
        <v>0</v>
      </c>
      <c r="Y104" s="88">
        <f t="shared" si="7"/>
        <v>0</v>
      </c>
      <c r="Z104" s="90">
        <f t="shared" si="7"/>
        <v>0</v>
      </c>
    </row>
    <row r="105" spans="1:26" ht="15" thickBot="1" x14ac:dyDescent="0.4">
      <c r="A105" s="166"/>
      <c r="B105" s="159"/>
      <c r="C105" s="160"/>
      <c r="D105" s="160"/>
      <c r="E105" s="160"/>
      <c r="F105" s="160"/>
      <c r="G105" s="160"/>
      <c r="H105" s="160"/>
      <c r="I105" s="160"/>
      <c r="J105" s="160"/>
      <c r="K105" s="160"/>
      <c r="L105" s="160"/>
      <c r="M105" s="161"/>
      <c r="N105" s="41" t="s">
        <v>16</v>
      </c>
      <c r="O105" s="153">
        <f>SUM(O104:Z104)</f>
        <v>0</v>
      </c>
      <c r="P105" s="154"/>
      <c r="Q105" s="154"/>
      <c r="R105" s="154"/>
      <c r="S105" s="154"/>
      <c r="T105" s="154"/>
      <c r="U105" s="154"/>
      <c r="V105" s="154"/>
      <c r="W105" s="154"/>
      <c r="X105" s="154"/>
      <c r="Y105" s="154"/>
      <c r="Z105" s="155"/>
    </row>
    <row r="106" spans="1:26" ht="15" thickBot="1" x14ac:dyDescent="0.4">
      <c r="A106" s="166"/>
      <c r="B106" s="156" t="s">
        <v>17</v>
      </c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  <c r="M106" s="158"/>
      <c r="N106" s="41" t="s">
        <v>19</v>
      </c>
      <c r="O106" s="50">
        <f t="shared" ref="O106:Z106" si="8">O102*O95</f>
        <v>0</v>
      </c>
      <c r="P106" s="48">
        <f t="shared" si="8"/>
        <v>0</v>
      </c>
      <c r="Q106" s="48">
        <f t="shared" si="8"/>
        <v>0</v>
      </c>
      <c r="R106" s="48">
        <f t="shared" si="8"/>
        <v>0</v>
      </c>
      <c r="S106" s="48">
        <f t="shared" si="8"/>
        <v>0</v>
      </c>
      <c r="T106" s="48">
        <f t="shared" si="8"/>
        <v>0</v>
      </c>
      <c r="U106" s="48">
        <f t="shared" si="8"/>
        <v>0</v>
      </c>
      <c r="V106" s="48">
        <f t="shared" si="8"/>
        <v>0</v>
      </c>
      <c r="W106" s="48">
        <f t="shared" si="8"/>
        <v>0</v>
      </c>
      <c r="X106" s="48">
        <f t="shared" si="8"/>
        <v>0</v>
      </c>
      <c r="Y106" s="48">
        <f t="shared" si="8"/>
        <v>0</v>
      </c>
      <c r="Z106" s="91">
        <f t="shared" si="8"/>
        <v>0</v>
      </c>
    </row>
    <row r="107" spans="1:26" ht="15" thickBot="1" x14ac:dyDescent="0.4">
      <c r="A107" s="166"/>
      <c r="B107" s="159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1"/>
      <c r="N107" s="41" t="s">
        <v>16</v>
      </c>
      <c r="O107" s="153">
        <f>SUM(O106:Z106)</f>
        <v>0</v>
      </c>
      <c r="P107" s="154"/>
      <c r="Q107" s="154"/>
      <c r="R107" s="154"/>
      <c r="S107" s="154"/>
      <c r="T107" s="154"/>
      <c r="U107" s="154"/>
      <c r="V107" s="154"/>
      <c r="W107" s="154"/>
      <c r="X107" s="154"/>
      <c r="Y107" s="154"/>
      <c r="Z107" s="155"/>
    </row>
    <row r="108" spans="1:26" ht="14.65" customHeight="1" thickBot="1" x14ac:dyDescent="0.4">
      <c r="A108" s="166"/>
      <c r="B108" s="156" t="s">
        <v>18</v>
      </c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  <c r="M108" s="158"/>
      <c r="N108" s="41" t="s">
        <v>19</v>
      </c>
      <c r="O108" s="50">
        <f>O106-O104</f>
        <v>0</v>
      </c>
      <c r="P108" s="48">
        <f t="shared" ref="P108:Y108" si="9">P106-P104</f>
        <v>0</v>
      </c>
      <c r="Q108" s="48">
        <f t="shared" si="9"/>
        <v>0</v>
      </c>
      <c r="R108" s="48">
        <f t="shared" si="9"/>
        <v>0</v>
      </c>
      <c r="S108" s="48">
        <f t="shared" si="9"/>
        <v>0</v>
      </c>
      <c r="T108" s="48">
        <f t="shared" si="9"/>
        <v>0</v>
      </c>
      <c r="U108" s="48">
        <f t="shared" si="9"/>
        <v>0</v>
      </c>
      <c r="V108" s="48">
        <f t="shared" si="9"/>
        <v>0</v>
      </c>
      <c r="W108" s="48">
        <f t="shared" si="9"/>
        <v>0</v>
      </c>
      <c r="X108" s="48">
        <f t="shared" si="9"/>
        <v>0</v>
      </c>
      <c r="Y108" s="48">
        <f t="shared" si="9"/>
        <v>0</v>
      </c>
      <c r="Z108" s="91">
        <f>Z106-Z104</f>
        <v>0</v>
      </c>
    </row>
    <row r="109" spans="1:26" ht="29.65" customHeight="1" thickBot="1" x14ac:dyDescent="0.4">
      <c r="A109" s="166"/>
      <c r="B109" s="159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1"/>
      <c r="N109" s="41" t="s">
        <v>29</v>
      </c>
      <c r="O109" s="150">
        <f>O107-O105</f>
        <v>0</v>
      </c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2"/>
    </row>
    <row r="110" spans="1:26" ht="15" thickBot="1" x14ac:dyDescent="0.4">
      <c r="A110" s="166"/>
    </row>
    <row r="111" spans="1:26" ht="14.65" customHeight="1" thickBot="1" x14ac:dyDescent="0.4">
      <c r="A111" s="166"/>
      <c r="B111" s="177" t="s">
        <v>25</v>
      </c>
      <c r="C111" s="178"/>
      <c r="D111" s="178"/>
      <c r="E111" s="178"/>
      <c r="F111" s="178"/>
      <c r="G111" s="178"/>
      <c r="H111" s="178"/>
      <c r="I111" s="178"/>
      <c r="J111" s="178"/>
      <c r="K111" s="178"/>
      <c r="L111" s="178"/>
      <c r="M111" s="178"/>
      <c r="N111" s="179"/>
      <c r="O111" s="168" t="s">
        <v>26</v>
      </c>
      <c r="P111" s="169"/>
      <c r="Q111" s="170"/>
      <c r="R111" s="29" t="s">
        <v>27</v>
      </c>
      <c r="S111" s="5"/>
      <c r="T111" s="5"/>
      <c r="U111" s="5"/>
      <c r="V111" s="5"/>
      <c r="W111" s="5"/>
      <c r="X111" s="5"/>
      <c r="Y111" s="5"/>
      <c r="Z111" s="5"/>
    </row>
    <row r="112" spans="1:26" ht="15" customHeight="1" x14ac:dyDescent="0.35">
      <c r="A112" s="166"/>
      <c r="B112" s="180"/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  <c r="N112" s="182"/>
      <c r="O112" s="192"/>
      <c r="P112" s="193"/>
      <c r="Q112" s="194"/>
      <c r="R112" s="33"/>
      <c r="S112" s="6"/>
      <c r="T112" s="6"/>
      <c r="U112" s="6"/>
      <c r="V112" s="6"/>
      <c r="W112" s="6"/>
      <c r="X112" s="6"/>
      <c r="Y112" s="6"/>
      <c r="Z112" s="6"/>
    </row>
    <row r="113" spans="1:26" ht="15" customHeight="1" x14ac:dyDescent="0.35">
      <c r="A113" s="166"/>
      <c r="B113" s="180"/>
      <c r="C113" s="181"/>
      <c r="D113" s="181"/>
      <c r="E113" s="181"/>
      <c r="F113" s="181"/>
      <c r="G113" s="181"/>
      <c r="H113" s="181"/>
      <c r="I113" s="181"/>
      <c r="J113" s="181"/>
      <c r="K113" s="181"/>
      <c r="L113" s="181"/>
      <c r="M113" s="181"/>
      <c r="N113" s="182"/>
      <c r="O113" s="189"/>
      <c r="P113" s="190"/>
      <c r="Q113" s="191"/>
      <c r="R113" s="34"/>
      <c r="S113" s="6"/>
      <c r="T113" s="6"/>
      <c r="U113" s="6"/>
      <c r="V113" s="6"/>
      <c r="W113" s="6"/>
      <c r="X113" s="6"/>
      <c r="Y113" s="6"/>
      <c r="Z113" s="6"/>
    </row>
    <row r="114" spans="1:26" ht="15" customHeight="1" x14ac:dyDescent="0.35">
      <c r="A114" s="166"/>
      <c r="B114" s="180"/>
      <c r="C114" s="181"/>
      <c r="D114" s="181"/>
      <c r="E114" s="181"/>
      <c r="F114" s="181"/>
      <c r="G114" s="181"/>
      <c r="H114" s="181"/>
      <c r="I114" s="181"/>
      <c r="J114" s="181"/>
      <c r="K114" s="181"/>
      <c r="L114" s="181"/>
      <c r="M114" s="181"/>
      <c r="N114" s="182"/>
      <c r="O114" s="189"/>
      <c r="P114" s="190"/>
      <c r="Q114" s="191"/>
      <c r="R114" s="34"/>
      <c r="S114" s="6"/>
      <c r="T114" s="6"/>
      <c r="U114" s="6"/>
      <c r="V114" s="6"/>
      <c r="W114" s="6"/>
      <c r="X114" s="6"/>
      <c r="Y114" s="6"/>
      <c r="Z114" s="6"/>
    </row>
    <row r="115" spans="1:26" ht="15" customHeight="1" x14ac:dyDescent="0.35">
      <c r="A115" s="166"/>
      <c r="B115" s="180"/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2"/>
      <c r="O115" s="189"/>
      <c r="P115" s="190"/>
      <c r="Q115" s="191"/>
      <c r="R115" s="34"/>
      <c r="S115" s="6"/>
      <c r="T115" s="6"/>
      <c r="U115" s="6"/>
      <c r="V115" s="6"/>
      <c r="W115" s="6"/>
      <c r="X115" s="6"/>
      <c r="Y115" s="6"/>
      <c r="Z115" s="6"/>
    </row>
    <row r="116" spans="1:26" ht="15" customHeight="1" x14ac:dyDescent="0.35">
      <c r="A116" s="166"/>
      <c r="B116" s="180"/>
      <c r="C116" s="181"/>
      <c r="D116" s="181"/>
      <c r="E116" s="181"/>
      <c r="F116" s="181"/>
      <c r="G116" s="181"/>
      <c r="H116" s="181"/>
      <c r="I116" s="181"/>
      <c r="J116" s="181"/>
      <c r="K116" s="181"/>
      <c r="L116" s="181"/>
      <c r="M116" s="181"/>
      <c r="N116" s="182"/>
      <c r="O116" s="189"/>
      <c r="P116" s="190"/>
      <c r="Q116" s="191"/>
      <c r="R116" s="34"/>
      <c r="S116" s="6"/>
      <c r="T116" s="6"/>
      <c r="U116" s="6"/>
      <c r="V116" s="6"/>
      <c r="W116" s="6"/>
      <c r="X116" s="6"/>
      <c r="Y116" s="6"/>
      <c r="Z116" s="6"/>
    </row>
    <row r="117" spans="1:26" ht="15" customHeight="1" x14ac:dyDescent="0.35">
      <c r="A117" s="166"/>
      <c r="B117" s="180"/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2"/>
      <c r="O117" s="189"/>
      <c r="P117" s="190"/>
      <c r="Q117" s="191"/>
      <c r="R117" s="34"/>
      <c r="S117" s="6"/>
      <c r="T117" s="6"/>
      <c r="U117" s="6"/>
      <c r="V117" s="6"/>
      <c r="W117" s="6"/>
      <c r="X117" s="6"/>
      <c r="Y117" s="6"/>
      <c r="Z117" s="6"/>
    </row>
    <row r="118" spans="1:26" ht="15" customHeight="1" thickBot="1" x14ac:dyDescent="0.4">
      <c r="A118" s="166"/>
      <c r="B118" s="180"/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2"/>
      <c r="O118" s="195"/>
      <c r="P118" s="196"/>
      <c r="Q118" s="197"/>
      <c r="R118" s="34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 thickBot="1" x14ac:dyDescent="0.4">
      <c r="A119" s="166"/>
      <c r="B119" s="183"/>
      <c r="C119" s="184"/>
      <c r="D119" s="184"/>
      <c r="E119" s="184"/>
      <c r="F119" s="184"/>
      <c r="G119" s="184"/>
      <c r="H119" s="184"/>
      <c r="I119" s="184"/>
      <c r="J119" s="184"/>
      <c r="K119" s="184"/>
      <c r="L119" s="184"/>
      <c r="M119" s="184"/>
      <c r="N119" s="185"/>
      <c r="O119" s="186" t="s">
        <v>16</v>
      </c>
      <c r="P119" s="187"/>
      <c r="Q119" s="188"/>
      <c r="R119" s="35">
        <f>SUM(R112:R118)</f>
        <v>0</v>
      </c>
      <c r="S119" s="6"/>
      <c r="T119" s="6"/>
      <c r="U119" s="6"/>
      <c r="V119" s="6"/>
      <c r="W119" s="6"/>
      <c r="X119" s="6"/>
      <c r="Y119" s="6"/>
      <c r="Z119" s="6"/>
    </row>
    <row r="120" spans="1:26" ht="15" thickBot="1" x14ac:dyDescent="0.4">
      <c r="A120" s="166"/>
    </row>
    <row r="121" spans="1:26" ht="51.75" customHeight="1" thickBot="1" x14ac:dyDescent="0.4">
      <c r="A121" s="167"/>
      <c r="B121" s="168" t="s">
        <v>18</v>
      </c>
      <c r="C121" s="169"/>
      <c r="D121" s="169"/>
      <c r="E121" s="169"/>
      <c r="F121" s="169"/>
      <c r="G121" s="169"/>
      <c r="H121" s="169"/>
      <c r="I121" s="169"/>
      <c r="J121" s="169"/>
      <c r="K121" s="169"/>
      <c r="L121" s="170"/>
      <c r="M121" s="64"/>
      <c r="N121" s="40" t="s">
        <v>16</v>
      </c>
      <c r="O121" s="171">
        <f>O109-SUM(R112:R118)</f>
        <v>0</v>
      </c>
      <c r="P121" s="172"/>
      <c r="Q121" s="172"/>
      <c r="R121" s="172"/>
      <c r="S121" s="173"/>
      <c r="T121" s="72"/>
      <c r="U121" s="72"/>
      <c r="V121" s="72"/>
      <c r="W121" s="72"/>
      <c r="X121" s="72"/>
      <c r="Y121" s="72"/>
      <c r="Z121" s="72"/>
    </row>
    <row r="122" spans="1:26" ht="15.75" customHeight="1" x14ac:dyDescent="0.35">
      <c r="A122" s="30"/>
      <c r="P122" s="28"/>
      <c r="Q122" s="28"/>
      <c r="R122" s="28"/>
      <c r="S122" s="43"/>
      <c r="T122" s="69"/>
      <c r="U122" s="69"/>
      <c r="V122" s="69"/>
      <c r="W122" s="69"/>
      <c r="X122" s="85"/>
      <c r="Y122" s="92"/>
      <c r="Z122" s="102"/>
    </row>
    <row r="123" spans="1:26" ht="15" customHeight="1" x14ac:dyDescent="0.35">
      <c r="A123" s="30"/>
      <c r="P123" s="28"/>
      <c r="Q123" s="28"/>
      <c r="R123" s="28"/>
      <c r="S123" s="7"/>
      <c r="T123" s="7"/>
      <c r="U123" s="7"/>
      <c r="V123" s="7"/>
      <c r="W123" s="7"/>
      <c r="X123" s="7"/>
      <c r="Y123" s="7"/>
      <c r="Z123" s="7"/>
    </row>
    <row r="124" spans="1:26" ht="15" customHeight="1" x14ac:dyDescent="0.35">
      <c r="P124" s="28"/>
      <c r="Q124" s="28"/>
      <c r="R124" s="28"/>
      <c r="S124" s="7"/>
      <c r="T124" s="7"/>
      <c r="U124" s="7"/>
      <c r="V124" s="7"/>
      <c r="W124" s="7"/>
      <c r="X124" s="7"/>
      <c r="Y124" s="7"/>
      <c r="Z124" s="7"/>
    </row>
    <row r="125" spans="1:26" ht="15" customHeight="1" x14ac:dyDescent="0.35">
      <c r="P125" s="28"/>
      <c r="Q125" s="28"/>
      <c r="R125" s="28"/>
      <c r="S125" s="7"/>
      <c r="T125" s="7"/>
      <c r="U125" s="7"/>
      <c r="V125" s="7"/>
      <c r="W125" s="7"/>
      <c r="X125" s="7"/>
      <c r="Y125" s="7"/>
      <c r="Z125" s="7"/>
    </row>
    <row r="126" spans="1:26" ht="15" customHeight="1" x14ac:dyDescent="0.35">
      <c r="P126" s="28"/>
      <c r="Q126" s="28"/>
      <c r="R126" s="28"/>
      <c r="S126" s="7"/>
      <c r="T126" s="7"/>
      <c r="U126" s="7"/>
      <c r="V126" s="7"/>
      <c r="W126" s="7"/>
      <c r="X126" s="7"/>
      <c r="Y126" s="7"/>
      <c r="Z126" s="7"/>
    </row>
    <row r="127" spans="1:26" ht="15" customHeight="1" x14ac:dyDescent="0.35">
      <c r="P127" s="28"/>
      <c r="Q127" s="28"/>
      <c r="R127" s="28"/>
      <c r="S127" s="7"/>
      <c r="T127" s="7"/>
      <c r="U127" s="7"/>
      <c r="V127" s="7"/>
      <c r="W127" s="7"/>
      <c r="X127" s="7"/>
      <c r="Y127" s="7"/>
      <c r="Z127" s="7"/>
    </row>
    <row r="128" spans="1:26" ht="15" customHeight="1" x14ac:dyDescent="0.35">
      <c r="P128" s="28"/>
      <c r="Q128" s="28"/>
      <c r="R128" s="28"/>
      <c r="S128" s="7"/>
      <c r="T128" s="7"/>
      <c r="U128" s="7"/>
      <c r="V128" s="7"/>
      <c r="W128" s="7"/>
      <c r="X128" s="7"/>
      <c r="Y128" s="7"/>
      <c r="Z128" s="7"/>
    </row>
    <row r="129" spans="16:26" ht="15" customHeight="1" x14ac:dyDescent="0.35">
      <c r="P129" s="28"/>
      <c r="Q129" s="28"/>
      <c r="R129" s="28"/>
      <c r="S129" s="7"/>
      <c r="T129" s="7"/>
      <c r="U129" s="7"/>
      <c r="V129" s="7"/>
      <c r="W129" s="7"/>
      <c r="X129" s="7"/>
      <c r="Y129" s="7"/>
      <c r="Z129" s="7"/>
    </row>
    <row r="130" spans="16:26" ht="15.75" customHeight="1" x14ac:dyDescent="0.35">
      <c r="P130" s="28"/>
      <c r="Q130" s="28"/>
      <c r="R130" s="28"/>
      <c r="S130" s="7"/>
      <c r="T130" s="7"/>
      <c r="U130" s="7"/>
      <c r="V130" s="7"/>
      <c r="W130" s="7"/>
      <c r="X130" s="7"/>
      <c r="Y130" s="7"/>
      <c r="Z130" s="7"/>
    </row>
  </sheetData>
  <mergeCells count="24">
    <mergeCell ref="O119:Q119"/>
    <mergeCell ref="O116:Q116"/>
    <mergeCell ref="O117:Q117"/>
    <mergeCell ref="O112:Q112"/>
    <mergeCell ref="O113:Q113"/>
    <mergeCell ref="O114:Q114"/>
    <mergeCell ref="O115:Q115"/>
    <mergeCell ref="O118:Q118"/>
    <mergeCell ref="A5:A92"/>
    <mergeCell ref="O2:Z2"/>
    <mergeCell ref="O109:Z109"/>
    <mergeCell ref="O107:Z107"/>
    <mergeCell ref="O105:Z105"/>
    <mergeCell ref="B104:M105"/>
    <mergeCell ref="B106:M107"/>
    <mergeCell ref="B2:N2"/>
    <mergeCell ref="A95:A121"/>
    <mergeCell ref="B121:L121"/>
    <mergeCell ref="O121:S121"/>
    <mergeCell ref="B95:M98"/>
    <mergeCell ref="B100:M102"/>
    <mergeCell ref="B108:M109"/>
    <mergeCell ref="B111:N119"/>
    <mergeCell ref="O111:Q111"/>
  </mergeCells>
  <conditionalFormatting sqref="AA5:AA92">
    <cfRule type="cellIs" dxfId="475" priority="1" operator="lessThan">
      <formula>20</formula>
    </cfRule>
    <cfRule type="cellIs" dxfId="474" priority="2" operator="between">
      <formula>20</formula>
      <formula>29</formula>
    </cfRule>
    <cfRule type="cellIs" dxfId="47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554ED-B254-4225-9B15-1507C052317D}">
  <sheetPr codeName="Hoja2">
    <pageSetUpPr autoPageBreaks="0"/>
  </sheetPr>
  <dimension ref="A1:AC72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7" width="15.453125" customWidth="1"/>
    <col min="29" max="29" width="71.453125" style="39" customWidth="1"/>
  </cols>
  <sheetData>
    <row r="1" spans="1:29" ht="15" thickBot="1" x14ac:dyDescent="0.4"/>
    <row r="2" spans="1:29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8" t="s">
        <v>11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9"/>
    </row>
    <row r="3" spans="1:29" s="1" customFormat="1" ht="15" thickBot="1" x14ac:dyDescent="0.4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70</v>
      </c>
      <c r="T3" s="17" t="s">
        <v>33</v>
      </c>
      <c r="U3" s="17" t="s">
        <v>21</v>
      </c>
      <c r="V3" s="75" t="s">
        <v>77</v>
      </c>
      <c r="W3" s="75" t="s">
        <v>78</v>
      </c>
      <c r="X3" s="75" t="s">
        <v>79</v>
      </c>
      <c r="Y3" s="75" t="s">
        <v>80</v>
      </c>
      <c r="Z3" s="93" t="s">
        <v>112</v>
      </c>
      <c r="AA3" s="86" t="s">
        <v>171</v>
      </c>
      <c r="AC3" s="39"/>
    </row>
    <row r="4" spans="1:29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70</v>
      </c>
      <c r="T4" s="68" t="s">
        <v>33</v>
      </c>
      <c r="U4" s="68" t="s">
        <v>21</v>
      </c>
      <c r="V4" s="74" t="s">
        <v>243</v>
      </c>
      <c r="W4" s="74" t="s">
        <v>78</v>
      </c>
      <c r="X4" s="74" t="s">
        <v>79</v>
      </c>
      <c r="Y4" s="74" t="s">
        <v>80</v>
      </c>
      <c r="Z4" s="74" t="s">
        <v>112</v>
      </c>
      <c r="AA4" s="74" t="s">
        <v>171</v>
      </c>
      <c r="AB4" s="22" t="s">
        <v>16</v>
      </c>
      <c r="AC4" s="44" t="s">
        <v>36</v>
      </c>
    </row>
    <row r="5" spans="1:29" outlineLevel="1" x14ac:dyDescent="0.35">
      <c r="A5" s="198"/>
      <c r="B5" s="87" t="s">
        <v>131</v>
      </c>
      <c r="C5" s="88" t="s">
        <v>132</v>
      </c>
      <c r="D5" s="114" t="s">
        <v>133</v>
      </c>
      <c r="E5" s="114" t="s">
        <v>46</v>
      </c>
      <c r="F5" s="114" t="s">
        <v>44</v>
      </c>
      <c r="G5" s="114" t="s">
        <v>88</v>
      </c>
      <c r="H5" s="114" t="s">
        <v>41</v>
      </c>
      <c r="I5" s="115">
        <v>56994792301</v>
      </c>
      <c r="J5" s="26" t="s">
        <v>134</v>
      </c>
      <c r="K5" s="26" t="s">
        <v>54</v>
      </c>
      <c r="L5" s="49" t="s">
        <v>205</v>
      </c>
      <c r="M5" s="49" t="s">
        <v>206</v>
      </c>
      <c r="N5" s="116">
        <f>SUMPRODUCT(Tabla5232[[#This Row],[Naranjas]:[Arandanos]],O$44:AA$44)</f>
        <v>24000</v>
      </c>
      <c r="O5" s="49">
        <v>0</v>
      </c>
      <c r="P5" s="49">
        <v>0</v>
      </c>
      <c r="Q5" s="49">
        <v>1</v>
      </c>
      <c r="R5" s="49">
        <v>1</v>
      </c>
      <c r="S5" s="49">
        <v>1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1</v>
      </c>
      <c r="AA5" s="49">
        <v>0</v>
      </c>
      <c r="AB5" s="49">
        <f>SUM(Tabla5232[[#This Row],[Naranjas]:[Arandanos]])</f>
        <v>4</v>
      </c>
      <c r="AC5" s="57"/>
    </row>
    <row r="6" spans="1:29" outlineLevel="1" x14ac:dyDescent="0.35">
      <c r="A6" s="199"/>
      <c r="B6" s="56" t="s">
        <v>85</v>
      </c>
      <c r="C6" s="47" t="s">
        <v>83</v>
      </c>
      <c r="D6" s="47" t="s">
        <v>84</v>
      </c>
      <c r="E6" s="47" t="s">
        <v>40</v>
      </c>
      <c r="F6" s="47" t="s">
        <v>49</v>
      </c>
      <c r="G6" s="47" t="s">
        <v>76</v>
      </c>
      <c r="H6" s="47" t="s">
        <v>41</v>
      </c>
      <c r="I6" s="53">
        <v>56982328251</v>
      </c>
      <c r="J6" s="27" t="s">
        <v>86</v>
      </c>
      <c r="K6" s="27" t="s">
        <v>54</v>
      </c>
      <c r="L6" s="52" t="s">
        <v>205</v>
      </c>
      <c r="M6" s="52" t="s">
        <v>206</v>
      </c>
      <c r="N6" s="47">
        <f>SUMPRODUCT(Tabla5232[[#This Row],[Naranjas]:[Arandanos]],O$44:AA$44)</f>
        <v>45500</v>
      </c>
      <c r="O6" s="52">
        <v>0</v>
      </c>
      <c r="P6" s="52">
        <v>0</v>
      </c>
      <c r="Q6" s="52">
        <v>1</v>
      </c>
      <c r="R6" s="52">
        <v>0</v>
      </c>
      <c r="S6" s="52">
        <v>2</v>
      </c>
      <c r="T6" s="52">
        <v>0</v>
      </c>
      <c r="U6" s="52">
        <v>0</v>
      </c>
      <c r="V6" s="52">
        <v>0</v>
      </c>
      <c r="W6" s="52">
        <v>2</v>
      </c>
      <c r="X6" s="52">
        <v>0</v>
      </c>
      <c r="Y6" s="52">
        <v>0</v>
      </c>
      <c r="Z6" s="52">
        <v>2</v>
      </c>
      <c r="AA6" s="52">
        <v>0</v>
      </c>
      <c r="AB6" s="52">
        <f>SUM(Tabla5232[[#This Row],[Naranjas]:[Arandanos]])</f>
        <v>7</v>
      </c>
      <c r="AC6" s="58"/>
    </row>
    <row r="7" spans="1:29" outlineLevel="1" x14ac:dyDescent="0.35">
      <c r="A7" s="199"/>
      <c r="B7" s="56" t="s">
        <v>66</v>
      </c>
      <c r="C7" s="47" t="s">
        <v>67</v>
      </c>
      <c r="D7" s="47" t="s">
        <v>68</v>
      </c>
      <c r="E7" s="47" t="s">
        <v>46</v>
      </c>
      <c r="F7" s="47" t="s">
        <v>44</v>
      </c>
      <c r="G7" s="47" t="s">
        <v>53</v>
      </c>
      <c r="H7" s="47" t="s">
        <v>41</v>
      </c>
      <c r="I7" s="53">
        <v>56967289638</v>
      </c>
      <c r="J7" s="27" t="s">
        <v>69</v>
      </c>
      <c r="K7" s="27" t="s">
        <v>54</v>
      </c>
      <c r="L7" s="52" t="s">
        <v>205</v>
      </c>
      <c r="M7" s="52" t="s">
        <v>206</v>
      </c>
      <c r="N7" s="47">
        <f>SUMPRODUCT(Tabla5232[[#This Row],[Naranjas]:[Arandanos]],O$44:AA$44)</f>
        <v>158500</v>
      </c>
      <c r="O7" s="52">
        <v>0</v>
      </c>
      <c r="P7" s="52">
        <v>0</v>
      </c>
      <c r="Q7" s="52">
        <v>3</v>
      </c>
      <c r="R7" s="52">
        <v>1</v>
      </c>
      <c r="S7" s="52">
        <v>0</v>
      </c>
      <c r="T7" s="52">
        <v>1</v>
      </c>
      <c r="U7" s="52">
        <v>3</v>
      </c>
      <c r="V7" s="52">
        <v>4</v>
      </c>
      <c r="W7" s="52">
        <v>4</v>
      </c>
      <c r="X7" s="52">
        <v>3</v>
      </c>
      <c r="Y7" s="52">
        <v>2</v>
      </c>
      <c r="Z7" s="52">
        <v>3</v>
      </c>
      <c r="AA7" s="52">
        <v>1</v>
      </c>
      <c r="AB7" s="52">
        <f>SUM(Tabla5232[[#This Row],[Naranjas]:[Arandanos]])</f>
        <v>25</v>
      </c>
      <c r="AC7" s="58"/>
    </row>
    <row r="8" spans="1:29" outlineLevel="1" x14ac:dyDescent="0.35">
      <c r="A8" s="199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 t="s">
        <v>205</v>
      </c>
      <c r="M8" s="52" t="s">
        <v>206</v>
      </c>
      <c r="N8" s="47">
        <f>SUMPRODUCT(Tabla5232[[#This Row],[Naranjas]:[Arandanos]],O$44:AA$44)</f>
        <v>157500</v>
      </c>
      <c r="O8" s="52">
        <v>0</v>
      </c>
      <c r="P8" s="52">
        <v>0</v>
      </c>
      <c r="Q8" s="52">
        <v>0</v>
      </c>
      <c r="R8" s="52">
        <v>0</v>
      </c>
      <c r="S8" s="52">
        <v>35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v>0</v>
      </c>
      <c r="AB8" s="52">
        <f>SUM(Tabla5232[[#This Row],[Naranjas]:[Arandanos]])</f>
        <v>35</v>
      </c>
      <c r="AC8" s="58"/>
    </row>
    <row r="9" spans="1:29" outlineLevel="1" x14ac:dyDescent="0.35">
      <c r="A9" s="199"/>
      <c r="B9" s="50" t="s">
        <v>136</v>
      </c>
      <c r="C9" s="48" t="s">
        <v>137</v>
      </c>
      <c r="D9" s="59" t="s">
        <v>172</v>
      </c>
      <c r="E9" s="59" t="s">
        <v>40</v>
      </c>
      <c r="F9" s="59" t="s">
        <v>75</v>
      </c>
      <c r="G9" s="59" t="s">
        <v>113</v>
      </c>
      <c r="H9" s="59" t="s">
        <v>41</v>
      </c>
      <c r="I9" s="60">
        <v>56992704205</v>
      </c>
      <c r="J9" s="27" t="s">
        <v>173</v>
      </c>
      <c r="K9" s="27" t="s">
        <v>54</v>
      </c>
      <c r="L9" s="52" t="s">
        <v>205</v>
      </c>
      <c r="M9" s="52" t="s">
        <v>206</v>
      </c>
      <c r="N9" s="70">
        <f>SUMPRODUCT(Tabla5232[[#This Row],[Naranjas]:[Arandanos]],O$44:AA$44)</f>
        <v>49500</v>
      </c>
      <c r="O9" s="52">
        <v>0</v>
      </c>
      <c r="P9" s="52">
        <v>0</v>
      </c>
      <c r="Q9" s="52">
        <v>0</v>
      </c>
      <c r="R9" s="52">
        <v>2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4</v>
      </c>
      <c r="AA9" s="52">
        <v>0</v>
      </c>
      <c r="AB9" s="52">
        <f>SUM(Tabla5232[[#This Row],[Naranjas]:[Arandanos]])</f>
        <v>7</v>
      </c>
      <c r="AC9" s="58"/>
    </row>
    <row r="10" spans="1:29" outlineLevel="1" x14ac:dyDescent="0.35">
      <c r="A10" s="199"/>
      <c r="B10" s="50" t="s">
        <v>98</v>
      </c>
      <c r="C10" s="48" t="s">
        <v>99</v>
      </c>
      <c r="D10" s="59" t="s">
        <v>100</v>
      </c>
      <c r="E10" s="59" t="s">
        <v>40</v>
      </c>
      <c r="F10" s="59" t="s">
        <v>49</v>
      </c>
      <c r="G10" s="59" t="s">
        <v>76</v>
      </c>
      <c r="H10" s="59" t="s">
        <v>41</v>
      </c>
      <c r="I10" s="60">
        <v>56974397201</v>
      </c>
      <c r="J10" s="27" t="s">
        <v>101</v>
      </c>
      <c r="K10" s="27" t="s">
        <v>54</v>
      </c>
      <c r="L10" s="52" t="s">
        <v>205</v>
      </c>
      <c r="M10" s="52" t="s">
        <v>206</v>
      </c>
      <c r="N10" s="47">
        <f>SUMPRODUCT(Tabla5232[[#This Row],[Naranjas]:[Arandanos]],O$44:AA$44)</f>
        <v>24000</v>
      </c>
      <c r="O10" s="52">
        <v>0</v>
      </c>
      <c r="P10" s="52">
        <v>0</v>
      </c>
      <c r="Q10" s="52">
        <v>1</v>
      </c>
      <c r="R10" s="52">
        <v>0</v>
      </c>
      <c r="S10" s="52">
        <v>0</v>
      </c>
      <c r="T10" s="52">
        <v>0</v>
      </c>
      <c r="U10" s="52">
        <v>0</v>
      </c>
      <c r="V10" s="52">
        <v>1</v>
      </c>
      <c r="W10" s="52">
        <v>0</v>
      </c>
      <c r="X10" s="52">
        <v>0</v>
      </c>
      <c r="Y10" s="52">
        <v>1</v>
      </c>
      <c r="Z10" s="52">
        <v>1</v>
      </c>
      <c r="AA10" s="52">
        <v>0</v>
      </c>
      <c r="AB10" s="52">
        <f>SUM(Tabla5232[[#This Row],[Naranjas]:[Arandanos]])</f>
        <v>4</v>
      </c>
      <c r="AC10" s="58"/>
    </row>
    <row r="11" spans="1:29" outlineLevel="1" x14ac:dyDescent="0.35">
      <c r="A11" s="199"/>
      <c r="B11" s="50" t="s">
        <v>139</v>
      </c>
      <c r="C11" s="48" t="s">
        <v>140</v>
      </c>
      <c r="D11" s="59" t="s">
        <v>141</v>
      </c>
      <c r="E11" s="59" t="s">
        <v>40</v>
      </c>
      <c r="F11" s="59" t="s">
        <v>75</v>
      </c>
      <c r="G11" s="59" t="s">
        <v>93</v>
      </c>
      <c r="H11" s="59" t="s">
        <v>41</v>
      </c>
      <c r="I11" s="60">
        <v>56991592586</v>
      </c>
      <c r="J11" s="27" t="s">
        <v>142</v>
      </c>
      <c r="K11" s="27" t="s">
        <v>42</v>
      </c>
      <c r="L11" s="52" t="s">
        <v>205</v>
      </c>
      <c r="M11" s="52" t="s">
        <v>206</v>
      </c>
      <c r="N11" s="70">
        <f>SUMPRODUCT(Tabla5232[[#This Row],[Naranjas]:[Arandanos]],O$44:AA$44)</f>
        <v>21000</v>
      </c>
      <c r="O11" s="52">
        <v>0</v>
      </c>
      <c r="P11" s="52">
        <v>0</v>
      </c>
      <c r="Q11" s="52">
        <v>1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1</v>
      </c>
      <c r="AA11" s="52">
        <v>1</v>
      </c>
      <c r="AB11" s="52">
        <f>SUM(Tabla5232[[#This Row],[Naranjas]:[Arandanos]])</f>
        <v>4</v>
      </c>
      <c r="AC11" s="58"/>
    </row>
    <row r="12" spans="1:29" outlineLevel="1" x14ac:dyDescent="0.35">
      <c r="A12" s="199"/>
      <c r="B12" s="56" t="s">
        <v>146</v>
      </c>
      <c r="C12" s="47" t="s">
        <v>147</v>
      </c>
      <c r="D12" s="47" t="s">
        <v>148</v>
      </c>
      <c r="E12" s="47" t="s">
        <v>46</v>
      </c>
      <c r="F12" s="47" t="s">
        <v>144</v>
      </c>
      <c r="G12" s="47" t="s">
        <v>110</v>
      </c>
      <c r="H12" s="47" t="s">
        <v>41</v>
      </c>
      <c r="I12" s="53">
        <v>56997267212</v>
      </c>
      <c r="J12" s="27" t="s">
        <v>149</v>
      </c>
      <c r="K12" s="27" t="s">
        <v>48</v>
      </c>
      <c r="L12" s="52" t="s">
        <v>205</v>
      </c>
      <c r="M12" s="52" t="s">
        <v>206</v>
      </c>
      <c r="N12" s="47">
        <f>SUMPRODUCT(Tabla5232[[#This Row],[Naranjas]:[Arandanos]],O$44:AA$44)</f>
        <v>54000</v>
      </c>
      <c r="O12" s="52">
        <v>0</v>
      </c>
      <c r="P12" s="52">
        <v>0</v>
      </c>
      <c r="Q12" s="52">
        <v>3</v>
      </c>
      <c r="R12" s="52">
        <v>1</v>
      </c>
      <c r="S12" s="52">
        <v>2</v>
      </c>
      <c r="T12" s="52">
        <v>1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2</v>
      </c>
      <c r="AA12" s="52">
        <v>1</v>
      </c>
      <c r="AB12" s="52">
        <f>SUM(Tabla5232[[#This Row],[Naranjas]:[Arandanos]])</f>
        <v>10</v>
      </c>
      <c r="AC12" s="58"/>
    </row>
    <row r="13" spans="1:29" outlineLevel="1" x14ac:dyDescent="0.35">
      <c r="A13" s="199"/>
      <c r="B13" s="56" t="s">
        <v>59</v>
      </c>
      <c r="C13" s="47" t="s">
        <v>52</v>
      </c>
      <c r="D13" s="47" t="s">
        <v>60</v>
      </c>
      <c r="E13" s="47" t="s">
        <v>40</v>
      </c>
      <c r="F13" s="47" t="s">
        <v>49</v>
      </c>
      <c r="G13" s="47" t="s">
        <v>45</v>
      </c>
      <c r="H13" s="47" t="s">
        <v>41</v>
      </c>
      <c r="I13" s="53">
        <v>56986194003</v>
      </c>
      <c r="J13" s="27" t="s">
        <v>61</v>
      </c>
      <c r="K13" s="27" t="s">
        <v>48</v>
      </c>
      <c r="L13" s="52" t="s">
        <v>205</v>
      </c>
      <c r="M13" s="52" t="s">
        <v>206</v>
      </c>
      <c r="N13" s="47">
        <f>SUMPRODUCT(Tabla5232[[#This Row],[Naranjas]:[Arandanos]],O$44:AA$44)</f>
        <v>54000</v>
      </c>
      <c r="O13" s="52">
        <v>0</v>
      </c>
      <c r="P13" s="52">
        <v>0</v>
      </c>
      <c r="Q13" s="52">
        <v>12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0</v>
      </c>
      <c r="AB13" s="52">
        <f>SUM(Tabla5232[[#This Row],[Naranjas]:[Arandanos]])</f>
        <v>12</v>
      </c>
      <c r="AC13" s="58"/>
    </row>
    <row r="14" spans="1:29" outlineLevel="1" x14ac:dyDescent="0.35">
      <c r="A14" s="199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49</v>
      </c>
      <c r="G14" s="47" t="s">
        <v>113</v>
      </c>
      <c r="H14" s="47" t="s">
        <v>41</v>
      </c>
      <c r="I14" s="53">
        <v>56979891544</v>
      </c>
      <c r="J14" s="27" t="s">
        <v>118</v>
      </c>
      <c r="K14" s="27" t="s">
        <v>48</v>
      </c>
      <c r="L14" s="52" t="s">
        <v>205</v>
      </c>
      <c r="M14" s="52" t="s">
        <v>206</v>
      </c>
      <c r="N14" s="47">
        <f>SUMPRODUCT(Tabla5232[[#This Row],[Naranjas]:[Arandanos]],O$44:AA$44)</f>
        <v>40500</v>
      </c>
      <c r="O14" s="52">
        <v>0</v>
      </c>
      <c r="P14" s="52">
        <v>0</v>
      </c>
      <c r="Q14" s="52">
        <v>1</v>
      </c>
      <c r="R14" s="52">
        <v>0</v>
      </c>
      <c r="S14" s="52">
        <v>2</v>
      </c>
      <c r="T14" s="52">
        <v>1</v>
      </c>
      <c r="U14" s="52">
        <v>0</v>
      </c>
      <c r="V14" s="52">
        <v>0</v>
      </c>
      <c r="W14" s="52">
        <v>0</v>
      </c>
      <c r="X14" s="52">
        <v>1</v>
      </c>
      <c r="Y14" s="52">
        <v>0</v>
      </c>
      <c r="Z14" s="52">
        <v>2</v>
      </c>
      <c r="AA14" s="52">
        <v>0</v>
      </c>
      <c r="AB14" s="52">
        <f>SUM(Tabla5232[[#This Row],[Naranjas]:[Arandanos]])</f>
        <v>7</v>
      </c>
      <c r="AC14" s="58"/>
    </row>
    <row r="15" spans="1:29" outlineLevel="1" x14ac:dyDescent="0.35">
      <c r="A15" s="199"/>
      <c r="B15" s="56" t="s">
        <v>59</v>
      </c>
      <c r="C15" s="47" t="s">
        <v>72</v>
      </c>
      <c r="D15" s="47" t="s">
        <v>73</v>
      </c>
      <c r="E15" s="47" t="s">
        <v>40</v>
      </c>
      <c r="F15" s="47" t="s">
        <v>49</v>
      </c>
      <c r="G15" s="47" t="s">
        <v>53</v>
      </c>
      <c r="H15" s="47" t="s">
        <v>41</v>
      </c>
      <c r="I15" s="53">
        <v>56975684552</v>
      </c>
      <c r="J15" s="27" t="s">
        <v>74</v>
      </c>
      <c r="K15" s="27" t="s">
        <v>48</v>
      </c>
      <c r="L15" s="52" t="s">
        <v>205</v>
      </c>
      <c r="M15" s="52" t="s">
        <v>206</v>
      </c>
      <c r="N15" s="47">
        <f>SUMPRODUCT(Tabla5232[[#This Row],[Naranjas]:[Arandanos]],O$44:AA$44)</f>
        <v>102000</v>
      </c>
      <c r="O15" s="52">
        <v>0</v>
      </c>
      <c r="P15" s="52">
        <v>0</v>
      </c>
      <c r="Q15" s="52">
        <v>6</v>
      </c>
      <c r="R15" s="52">
        <v>0</v>
      </c>
      <c r="S15" s="52">
        <v>10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4</v>
      </c>
      <c r="AA15" s="52">
        <v>0</v>
      </c>
      <c r="AB15" s="52">
        <f>SUM(Tabla5232[[#This Row],[Naranjas]:[Arandanos]])</f>
        <v>20</v>
      </c>
      <c r="AC15" s="58"/>
    </row>
    <row r="16" spans="1:29" outlineLevel="1" x14ac:dyDescent="0.35">
      <c r="A16" s="199"/>
      <c r="B16" s="56" t="s">
        <v>62</v>
      </c>
      <c r="C16" s="47" t="s">
        <v>63</v>
      </c>
      <c r="D16" s="47" t="s">
        <v>64</v>
      </c>
      <c r="E16" s="47" t="s">
        <v>40</v>
      </c>
      <c r="F16" s="47" t="s">
        <v>49</v>
      </c>
      <c r="G16" s="47" t="s">
        <v>51</v>
      </c>
      <c r="H16" s="47" t="s">
        <v>41</v>
      </c>
      <c r="I16" s="53">
        <v>56952304675</v>
      </c>
      <c r="J16" s="27" t="s">
        <v>65</v>
      </c>
      <c r="K16" s="27" t="s">
        <v>48</v>
      </c>
      <c r="L16" s="52" t="s">
        <v>205</v>
      </c>
      <c r="M16" s="52" t="s">
        <v>206</v>
      </c>
      <c r="N16" s="47">
        <f>SUMPRODUCT(Tabla5232[[#This Row],[Naranjas]:[Arandanos]],O$44:AA$44)</f>
        <v>350500</v>
      </c>
      <c r="O16" s="103">
        <v>0</v>
      </c>
      <c r="P16" s="103">
        <v>0</v>
      </c>
      <c r="Q16" s="52">
        <v>1</v>
      </c>
      <c r="R16" s="52">
        <v>3</v>
      </c>
      <c r="S16" s="52">
        <v>2</v>
      </c>
      <c r="T16" s="52">
        <v>1</v>
      </c>
      <c r="U16" s="52">
        <v>1</v>
      </c>
      <c r="V16" s="103">
        <v>0</v>
      </c>
      <c r="W16" s="103">
        <v>0</v>
      </c>
      <c r="X16" s="103">
        <v>0</v>
      </c>
      <c r="Y16" s="103">
        <v>0</v>
      </c>
      <c r="Z16" s="52">
        <v>40</v>
      </c>
      <c r="AA16" s="52">
        <v>1</v>
      </c>
      <c r="AB16" s="52">
        <f>SUM(Tabla5232[[#This Row],[Naranjas]:[Arandanos]])</f>
        <v>49</v>
      </c>
      <c r="AC16" s="58"/>
    </row>
    <row r="17" spans="1:29" outlineLevel="1" x14ac:dyDescent="0.35">
      <c r="A17" s="199"/>
      <c r="B17" s="56" t="s">
        <v>155</v>
      </c>
      <c r="C17" s="47" t="s">
        <v>156</v>
      </c>
      <c r="D17" s="47" t="s">
        <v>157</v>
      </c>
      <c r="E17" s="47" t="s">
        <v>40</v>
      </c>
      <c r="F17" s="47" t="s">
        <v>49</v>
      </c>
      <c r="G17" s="47" t="s">
        <v>53</v>
      </c>
      <c r="H17" s="47" t="s">
        <v>41</v>
      </c>
      <c r="I17" s="53">
        <v>56987143347</v>
      </c>
      <c r="J17" s="27" t="s">
        <v>158</v>
      </c>
      <c r="K17" s="27" t="s">
        <v>48</v>
      </c>
      <c r="L17" s="52" t="s">
        <v>205</v>
      </c>
      <c r="M17" s="52" t="s">
        <v>206</v>
      </c>
      <c r="N17" s="47">
        <f>SUMPRODUCT(Tabla5232[[#This Row],[Naranjas]:[Arandanos]],O$44:AA$44)</f>
        <v>45000</v>
      </c>
      <c r="O17" s="52">
        <v>0</v>
      </c>
      <c r="P17" s="52">
        <v>0</v>
      </c>
      <c r="Q17" s="52">
        <v>5</v>
      </c>
      <c r="R17" s="52">
        <v>0</v>
      </c>
      <c r="S17" s="52">
        <v>5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f>SUM(Tabla5232[[#This Row],[Naranjas]:[Arandanos]])</f>
        <v>10</v>
      </c>
      <c r="AC17" s="58"/>
    </row>
    <row r="18" spans="1:29" outlineLevel="1" x14ac:dyDescent="0.35">
      <c r="A18" s="199"/>
      <c r="B18" s="56" t="s">
        <v>127</v>
      </c>
      <c r="C18" s="47" t="s">
        <v>128</v>
      </c>
      <c r="D18" s="47" t="s">
        <v>129</v>
      </c>
      <c r="E18" s="47" t="s">
        <v>43</v>
      </c>
      <c r="F18" s="47" t="s">
        <v>47</v>
      </c>
      <c r="G18" s="47" t="s">
        <v>110</v>
      </c>
      <c r="H18" s="47" t="s">
        <v>41</v>
      </c>
      <c r="I18" s="53">
        <v>56956481962</v>
      </c>
      <c r="J18" s="27" t="s">
        <v>130</v>
      </c>
      <c r="K18" s="27" t="s">
        <v>48</v>
      </c>
      <c r="L18" s="52" t="s">
        <v>205</v>
      </c>
      <c r="M18" s="52" t="s">
        <v>206</v>
      </c>
      <c r="N18" s="47">
        <f>SUMPRODUCT(Tabla5232[[#This Row],[Naranjas]:[Arandanos]],O$44:AA$44)</f>
        <v>16500</v>
      </c>
      <c r="O18" s="52">
        <v>0</v>
      </c>
      <c r="P18" s="52">
        <v>0</v>
      </c>
      <c r="Q18" s="52">
        <v>2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1</v>
      </c>
      <c r="AA18" s="52">
        <v>0</v>
      </c>
      <c r="AB18" s="52">
        <f>SUM(Tabla5232[[#This Row],[Naranjas]:[Arandanos]])</f>
        <v>3</v>
      </c>
      <c r="AC18" s="58"/>
    </row>
    <row r="19" spans="1:29" outlineLevel="1" x14ac:dyDescent="0.35">
      <c r="A19" s="199"/>
      <c r="B19" s="50" t="s">
        <v>159</v>
      </c>
      <c r="C19" s="48" t="s">
        <v>162</v>
      </c>
      <c r="D19" s="59" t="s">
        <v>163</v>
      </c>
      <c r="E19" s="59" t="s">
        <v>135</v>
      </c>
      <c r="F19" s="59" t="s">
        <v>151</v>
      </c>
      <c r="G19" s="59" t="s">
        <v>45</v>
      </c>
      <c r="H19" s="59" t="s">
        <v>41</v>
      </c>
      <c r="I19" s="60">
        <v>56979312762</v>
      </c>
      <c r="J19" s="27" t="s">
        <v>164</v>
      </c>
      <c r="K19" s="27" t="s">
        <v>48</v>
      </c>
      <c r="L19" s="52" t="s">
        <v>205</v>
      </c>
      <c r="M19" s="52" t="s">
        <v>206</v>
      </c>
      <c r="N19" s="70">
        <f>SUMPRODUCT(Tabla5232[[#This Row],[Naranjas]:[Arandanos]],O$44:AA$44)</f>
        <v>223500</v>
      </c>
      <c r="O19" s="52">
        <v>0</v>
      </c>
      <c r="P19" s="52">
        <v>0</v>
      </c>
      <c r="Q19" s="52">
        <v>2</v>
      </c>
      <c r="R19" s="52">
        <v>0</v>
      </c>
      <c r="S19" s="52">
        <v>1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28</v>
      </c>
      <c r="AA19" s="52">
        <v>0</v>
      </c>
      <c r="AB19" s="52">
        <f>SUM(Tabla5232[[#This Row],[Naranjas]:[Arandanos]])</f>
        <v>31</v>
      </c>
      <c r="AC19" s="58"/>
    </row>
    <row r="20" spans="1:29" outlineLevel="1" x14ac:dyDescent="0.35">
      <c r="A20" s="199"/>
      <c r="B20" s="50" t="s">
        <v>122</v>
      </c>
      <c r="C20" s="48" t="s">
        <v>143</v>
      </c>
      <c r="D20" s="59" t="s">
        <v>160</v>
      </c>
      <c r="E20" s="59" t="s">
        <v>40</v>
      </c>
      <c r="F20" s="59" t="s">
        <v>49</v>
      </c>
      <c r="G20" s="59" t="s">
        <v>45</v>
      </c>
      <c r="H20" s="59" t="s">
        <v>41</v>
      </c>
      <c r="I20" s="60">
        <v>56997594184</v>
      </c>
      <c r="J20" s="27" t="s">
        <v>161</v>
      </c>
      <c r="K20" s="27" t="s">
        <v>48</v>
      </c>
      <c r="L20" s="52" t="s">
        <v>205</v>
      </c>
      <c r="M20" s="52" t="s">
        <v>206</v>
      </c>
      <c r="N20" s="70">
        <f>SUMPRODUCT(Tabla5232[[#This Row],[Naranjas]:[Arandanos]],O$44:AA$44)</f>
        <v>28500</v>
      </c>
      <c r="O20" s="52">
        <v>0</v>
      </c>
      <c r="P20" s="52">
        <v>0</v>
      </c>
      <c r="Q20" s="52">
        <v>2</v>
      </c>
      <c r="R20" s="52">
        <v>0</v>
      </c>
      <c r="S20" s="52">
        <v>1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2</v>
      </c>
      <c r="AA20" s="52">
        <v>0</v>
      </c>
      <c r="AB20" s="52">
        <f>SUM(Tabla5232[[#This Row],[Naranjas]:[Arandanos]])</f>
        <v>5</v>
      </c>
      <c r="AC20" s="58"/>
    </row>
    <row r="21" spans="1:29" outlineLevel="1" x14ac:dyDescent="0.35">
      <c r="A21" s="199"/>
      <c r="B21" s="50" t="s">
        <v>180</v>
      </c>
      <c r="C21" s="48" t="s">
        <v>181</v>
      </c>
      <c r="D21" s="59" t="s">
        <v>182</v>
      </c>
      <c r="E21" s="59" t="s">
        <v>40</v>
      </c>
      <c r="F21" s="59" t="s">
        <v>49</v>
      </c>
      <c r="G21" s="59" t="s">
        <v>183</v>
      </c>
      <c r="H21" s="59" t="s">
        <v>41</v>
      </c>
      <c r="I21" s="60">
        <v>56964829508</v>
      </c>
      <c r="J21" s="27" t="s">
        <v>184</v>
      </c>
      <c r="K21" s="27" t="s">
        <v>48</v>
      </c>
      <c r="L21" s="52" t="s">
        <v>205</v>
      </c>
      <c r="M21" s="52" t="s">
        <v>206</v>
      </c>
      <c r="N21" s="47">
        <f>SUMPRODUCT(Tabla5232[[#This Row],[Naranjas]:[Arandanos]],O$44:AA$44)</f>
        <v>39000</v>
      </c>
      <c r="O21" s="52">
        <v>0</v>
      </c>
      <c r="P21" s="52">
        <v>0</v>
      </c>
      <c r="Q21" s="52">
        <v>2</v>
      </c>
      <c r="R21" s="52">
        <v>1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1</v>
      </c>
      <c r="Z21" s="52">
        <v>2</v>
      </c>
      <c r="AA21" s="52">
        <v>0</v>
      </c>
      <c r="AB21" s="52">
        <f>SUM(Tabla5232[[#This Row],[Naranjas]:[Arandanos]])</f>
        <v>6</v>
      </c>
      <c r="AC21" s="58"/>
    </row>
    <row r="22" spans="1:29" outlineLevel="1" x14ac:dyDescent="0.35">
      <c r="A22" s="199"/>
      <c r="B22" s="50" t="s">
        <v>186</v>
      </c>
      <c r="C22" s="48" t="s">
        <v>128</v>
      </c>
      <c r="D22" s="59" t="s">
        <v>187</v>
      </c>
      <c r="E22" s="59" t="s">
        <v>46</v>
      </c>
      <c r="F22" s="59" t="s">
        <v>87</v>
      </c>
      <c r="G22" s="59"/>
      <c r="H22" s="59" t="s">
        <v>41</v>
      </c>
      <c r="I22" s="60">
        <v>0</v>
      </c>
      <c r="J22" s="27" t="s">
        <v>138</v>
      </c>
      <c r="K22" s="27"/>
      <c r="L22" s="52" t="s">
        <v>205</v>
      </c>
      <c r="M22" s="52" t="s">
        <v>206</v>
      </c>
      <c r="N22" s="70">
        <f>SUMPRODUCT(Tabla5232[[#This Row],[Naranjas]:[Arandanos]],O$44:AA$44)</f>
        <v>139000</v>
      </c>
      <c r="O22" s="52">
        <v>0</v>
      </c>
      <c r="P22" s="52">
        <v>0</v>
      </c>
      <c r="Q22" s="52">
        <v>6</v>
      </c>
      <c r="R22" s="52">
        <v>1</v>
      </c>
      <c r="S22" s="52">
        <v>5</v>
      </c>
      <c r="T22" s="52">
        <v>2</v>
      </c>
      <c r="U22" s="52">
        <v>0</v>
      </c>
      <c r="V22" s="52">
        <v>1</v>
      </c>
      <c r="W22" s="52">
        <v>1</v>
      </c>
      <c r="X22" s="52">
        <v>2</v>
      </c>
      <c r="Y22" s="52">
        <v>1</v>
      </c>
      <c r="Z22" s="52">
        <v>5</v>
      </c>
      <c r="AA22" s="52">
        <v>0</v>
      </c>
      <c r="AB22" s="52">
        <f>SUM(Tabla5232[[#This Row],[Naranjas]:[Arandanos]])</f>
        <v>24</v>
      </c>
      <c r="AC22" s="58"/>
    </row>
    <row r="23" spans="1:29" outlineLevel="1" x14ac:dyDescent="0.35">
      <c r="A23" s="199"/>
      <c r="B23" s="56" t="s">
        <v>55</v>
      </c>
      <c r="C23" s="47" t="s">
        <v>56</v>
      </c>
      <c r="D23" s="47" t="s">
        <v>57</v>
      </c>
      <c r="E23" s="47" t="s">
        <v>40</v>
      </c>
      <c r="F23" s="47" t="s">
        <v>49</v>
      </c>
      <c r="G23" s="47" t="s">
        <v>45</v>
      </c>
      <c r="H23" s="47" t="s">
        <v>41</v>
      </c>
      <c r="I23" s="53">
        <v>56967898535</v>
      </c>
      <c r="J23" s="27" t="s">
        <v>58</v>
      </c>
      <c r="K23" s="27" t="s">
        <v>54</v>
      </c>
      <c r="L23" s="52" t="s">
        <v>205</v>
      </c>
      <c r="M23" s="52" t="s">
        <v>205</v>
      </c>
      <c r="N23" s="47">
        <f>SUMPRODUCT(Tabla5232[[#This Row],[Naranjas]:[Arandanos]],O$44:AA$44)</f>
        <v>162000</v>
      </c>
      <c r="O23" s="52">
        <v>0</v>
      </c>
      <c r="P23" s="52">
        <v>0</v>
      </c>
      <c r="Q23" s="52">
        <v>8</v>
      </c>
      <c r="R23" s="52">
        <v>0</v>
      </c>
      <c r="S23" s="52">
        <v>4</v>
      </c>
      <c r="T23" s="52">
        <v>2</v>
      </c>
      <c r="U23" s="52">
        <v>0</v>
      </c>
      <c r="V23" s="52">
        <v>0</v>
      </c>
      <c r="W23" s="52">
        <v>0</v>
      </c>
      <c r="X23" s="52">
        <v>1</v>
      </c>
      <c r="Y23" s="52">
        <v>1</v>
      </c>
      <c r="Z23" s="52">
        <v>10</v>
      </c>
      <c r="AA23" s="52">
        <v>2</v>
      </c>
      <c r="AB23" s="52">
        <f>SUM(Tabla5232[[#This Row],[Naranjas]:[Arandanos]])</f>
        <v>28</v>
      </c>
      <c r="AC23" s="58"/>
    </row>
    <row r="24" spans="1:29" outlineLevel="1" x14ac:dyDescent="0.35">
      <c r="A24" s="199"/>
      <c r="B24" s="50" t="s">
        <v>150</v>
      </c>
      <c r="C24" s="48" t="s">
        <v>165</v>
      </c>
      <c r="D24" s="59" t="s">
        <v>166</v>
      </c>
      <c r="E24" s="59" t="s">
        <v>43</v>
      </c>
      <c r="F24" s="59" t="s">
        <v>47</v>
      </c>
      <c r="G24" s="59" t="s">
        <v>167</v>
      </c>
      <c r="H24" s="59" t="s">
        <v>41</v>
      </c>
      <c r="I24" s="60">
        <v>56999194650</v>
      </c>
      <c r="J24" s="27" t="s">
        <v>168</v>
      </c>
      <c r="K24" s="27" t="s">
        <v>42</v>
      </c>
      <c r="L24" s="52" t="s">
        <v>205</v>
      </c>
      <c r="M24" s="52" t="s">
        <v>205</v>
      </c>
      <c r="N24" s="70">
        <f>SUMPRODUCT(Tabla5232[[#This Row],[Naranjas]:[Arandanos]],O$44:AA$44)</f>
        <v>224000</v>
      </c>
      <c r="O24" s="52">
        <v>0</v>
      </c>
      <c r="P24" s="52">
        <v>0</v>
      </c>
      <c r="Q24" s="52">
        <v>8</v>
      </c>
      <c r="R24" s="52">
        <v>4</v>
      </c>
      <c r="S24" s="52">
        <v>7</v>
      </c>
      <c r="T24" s="52">
        <v>1</v>
      </c>
      <c r="U24" s="52">
        <v>0</v>
      </c>
      <c r="V24" s="52">
        <v>3</v>
      </c>
      <c r="W24" s="52">
        <v>2</v>
      </c>
      <c r="X24" s="52">
        <v>2</v>
      </c>
      <c r="Y24" s="52">
        <v>1</v>
      </c>
      <c r="Z24" s="52">
        <v>8</v>
      </c>
      <c r="AA24" s="52">
        <v>2</v>
      </c>
      <c r="AB24" s="52">
        <f>SUM(Tabla5232[[#This Row],[Naranjas]:[Arandanos]])</f>
        <v>38</v>
      </c>
      <c r="AC24" s="58"/>
    </row>
    <row r="25" spans="1:29" outlineLevel="1" x14ac:dyDescent="0.35">
      <c r="A25" s="199"/>
      <c r="B25" s="50" t="s">
        <v>107</v>
      </c>
      <c r="C25" s="48" t="s">
        <v>108</v>
      </c>
      <c r="D25" s="59" t="s">
        <v>109</v>
      </c>
      <c r="E25" s="59" t="s">
        <v>43</v>
      </c>
      <c r="F25" s="59" t="s">
        <v>47</v>
      </c>
      <c r="G25" s="59" t="s">
        <v>110</v>
      </c>
      <c r="H25" s="59" t="s">
        <v>41</v>
      </c>
      <c r="I25" s="60">
        <v>56975580528</v>
      </c>
      <c r="J25" s="27" t="s">
        <v>111</v>
      </c>
      <c r="K25" s="27" t="s">
        <v>42</v>
      </c>
      <c r="L25" s="52" t="s">
        <v>205</v>
      </c>
      <c r="M25" s="52" t="s">
        <v>205</v>
      </c>
      <c r="N25" s="70">
        <f>SUMPRODUCT(Tabla5232[[#This Row],[Naranjas]:[Arandanos]],O$44:AA$44)</f>
        <v>118500</v>
      </c>
      <c r="O25" s="52">
        <v>0</v>
      </c>
      <c r="P25" s="52">
        <v>0</v>
      </c>
      <c r="Q25" s="52">
        <v>2</v>
      </c>
      <c r="R25" s="52">
        <v>0</v>
      </c>
      <c r="S25" s="52">
        <v>5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11</v>
      </c>
      <c r="AA25" s="52">
        <v>1</v>
      </c>
      <c r="AB25" s="52">
        <f>SUM(Tabla5232[[#This Row],[Naranjas]:[Arandanos]])</f>
        <v>19</v>
      </c>
      <c r="AC25" s="58"/>
    </row>
    <row r="26" spans="1:29" outlineLevel="1" x14ac:dyDescent="0.35">
      <c r="A26" s="199"/>
      <c r="B26" s="56" t="s">
        <v>176</v>
      </c>
      <c r="C26" s="47" t="s">
        <v>177</v>
      </c>
      <c r="D26" s="47" t="s">
        <v>178</v>
      </c>
      <c r="E26" s="47" t="s">
        <v>46</v>
      </c>
      <c r="F26" s="47" t="s">
        <v>87</v>
      </c>
      <c r="G26" s="47" t="s">
        <v>45</v>
      </c>
      <c r="H26" s="47" t="s">
        <v>41</v>
      </c>
      <c r="I26" s="53">
        <v>56963061299</v>
      </c>
      <c r="J26" s="27" t="s">
        <v>179</v>
      </c>
      <c r="K26" s="27" t="s">
        <v>42</v>
      </c>
      <c r="L26" s="52" t="s">
        <v>205</v>
      </c>
      <c r="M26" s="52" t="s">
        <v>205</v>
      </c>
      <c r="N26" s="47">
        <f>SUMPRODUCT(Tabla5232[[#This Row],[Naranjas]:[Arandanos]],O$44:AA$44)</f>
        <v>100500</v>
      </c>
      <c r="O26" s="52">
        <v>0</v>
      </c>
      <c r="P26" s="52">
        <v>0</v>
      </c>
      <c r="Q26" s="52">
        <v>2</v>
      </c>
      <c r="R26" s="52">
        <v>2</v>
      </c>
      <c r="S26" s="52">
        <v>4</v>
      </c>
      <c r="T26" s="52">
        <v>1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6</v>
      </c>
      <c r="AA26" s="52">
        <v>2</v>
      </c>
      <c r="AB26" s="52">
        <f>SUM(Tabla5232[[#This Row],[Naranjas]:[Arandanos]])</f>
        <v>17</v>
      </c>
      <c r="AC26" s="58"/>
    </row>
    <row r="27" spans="1:29" outlineLevel="1" x14ac:dyDescent="0.35">
      <c r="A27" s="199"/>
      <c r="B27" s="56" t="s">
        <v>81</v>
      </c>
      <c r="C27" s="47" t="s">
        <v>97</v>
      </c>
      <c r="D27" s="47" t="s">
        <v>82</v>
      </c>
      <c r="E27" s="47" t="s">
        <v>40</v>
      </c>
      <c r="F27" s="47" t="s">
        <v>49</v>
      </c>
      <c r="G27" s="47" t="s">
        <v>45</v>
      </c>
      <c r="H27" s="47" t="s">
        <v>41</v>
      </c>
      <c r="I27" s="53">
        <v>56963033603</v>
      </c>
      <c r="J27" s="27" t="s">
        <v>102</v>
      </c>
      <c r="K27" s="27" t="s">
        <v>42</v>
      </c>
      <c r="L27" s="52" t="s">
        <v>205</v>
      </c>
      <c r="M27" s="52" t="s">
        <v>205</v>
      </c>
      <c r="N27" s="47">
        <f>SUMPRODUCT(Tabla5232[[#This Row],[Naranjas]:[Arandanos]],O$44:AA$44)</f>
        <v>61500</v>
      </c>
      <c r="O27" s="52">
        <v>0</v>
      </c>
      <c r="P27" s="52">
        <v>0</v>
      </c>
      <c r="Q27" s="52">
        <v>3</v>
      </c>
      <c r="R27" s="52">
        <v>2</v>
      </c>
      <c r="S27" s="52">
        <v>2</v>
      </c>
      <c r="T27" s="52">
        <v>2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2</v>
      </c>
      <c r="AA27" s="52">
        <v>0</v>
      </c>
      <c r="AB27" s="52">
        <f>SUM(Tabla5232[[#This Row],[Naranjas]:[Arandanos]])</f>
        <v>11</v>
      </c>
      <c r="AC27" s="58"/>
    </row>
    <row r="28" spans="1:29" outlineLevel="1" x14ac:dyDescent="0.35">
      <c r="A28" s="199"/>
      <c r="B28" s="56" t="s">
        <v>145</v>
      </c>
      <c r="C28" s="47" t="s">
        <v>152</v>
      </c>
      <c r="D28" s="47" t="s">
        <v>153</v>
      </c>
      <c r="E28" s="47" t="s">
        <v>46</v>
      </c>
      <c r="F28" s="47" t="s">
        <v>89</v>
      </c>
      <c r="G28" s="47">
        <v>0</v>
      </c>
      <c r="H28" s="47" t="s">
        <v>41</v>
      </c>
      <c r="I28" s="53">
        <v>56954243532</v>
      </c>
      <c r="J28" s="27" t="s">
        <v>154</v>
      </c>
      <c r="K28" s="27" t="s">
        <v>42</v>
      </c>
      <c r="L28" s="52" t="s">
        <v>205</v>
      </c>
      <c r="M28" s="52" t="s">
        <v>205</v>
      </c>
      <c r="N28" s="47">
        <f>SUMPRODUCT(Tabla5232[[#This Row],[Naranjas]:[Arandanos]],O$44:AA$44)</f>
        <v>13500</v>
      </c>
      <c r="O28" s="52">
        <v>0</v>
      </c>
      <c r="P28" s="52">
        <v>0</v>
      </c>
      <c r="Q28" s="52">
        <v>3</v>
      </c>
      <c r="R28" s="52">
        <v>0</v>
      </c>
      <c r="S28" s="52">
        <v>0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0</v>
      </c>
      <c r="AA28" s="52">
        <v>0</v>
      </c>
      <c r="AB28" s="52">
        <f>SUM(Tabla5232[[#This Row],[Naranjas]:[Arandanos]])</f>
        <v>3</v>
      </c>
      <c r="AC28" s="58"/>
    </row>
    <row r="29" spans="1:29" outlineLevel="1" x14ac:dyDescent="0.35">
      <c r="A29" s="199"/>
      <c r="B29" s="50" t="s">
        <v>169</v>
      </c>
      <c r="C29" s="48" t="s">
        <v>170</v>
      </c>
      <c r="D29" s="59" t="s">
        <v>174</v>
      </c>
      <c r="E29" s="59" t="s">
        <v>46</v>
      </c>
      <c r="F29" s="59" t="s">
        <v>87</v>
      </c>
      <c r="G29" s="59" t="s">
        <v>45</v>
      </c>
      <c r="H29" s="59" t="s">
        <v>41</v>
      </c>
      <c r="I29" s="60">
        <v>56966685970</v>
      </c>
      <c r="J29" s="27" t="s">
        <v>175</v>
      </c>
      <c r="K29" s="27" t="s">
        <v>42</v>
      </c>
      <c r="L29" s="52" t="s">
        <v>205</v>
      </c>
      <c r="M29" s="52" t="s">
        <v>205</v>
      </c>
      <c r="N29" s="70">
        <f>SUMPRODUCT(Tabla5232[[#This Row],[Naranjas]:[Arandanos]],O$44:AA$44)</f>
        <v>171500</v>
      </c>
      <c r="O29" s="52">
        <v>0</v>
      </c>
      <c r="P29" s="52">
        <v>0</v>
      </c>
      <c r="Q29" s="52">
        <v>1</v>
      </c>
      <c r="R29" s="52">
        <v>1</v>
      </c>
      <c r="S29" s="52">
        <v>3</v>
      </c>
      <c r="T29" s="52">
        <v>1</v>
      </c>
      <c r="U29" s="52">
        <v>0</v>
      </c>
      <c r="V29" s="52">
        <v>1</v>
      </c>
      <c r="W29" s="52">
        <v>2</v>
      </c>
      <c r="X29" s="52">
        <v>1</v>
      </c>
      <c r="Y29" s="52">
        <v>0</v>
      </c>
      <c r="Z29" s="52">
        <v>12</v>
      </c>
      <c r="AA29" s="52">
        <v>5</v>
      </c>
      <c r="AB29" s="52">
        <f>SUM(Tabla5232[[#This Row],[Naranjas]:[Arandanos]])</f>
        <v>27</v>
      </c>
      <c r="AC29" s="58"/>
    </row>
    <row r="30" spans="1:29" outlineLevel="1" x14ac:dyDescent="0.35">
      <c r="A30" s="199"/>
      <c r="B30" s="56" t="s">
        <v>114</v>
      </c>
      <c r="C30" s="47" t="s">
        <v>119</v>
      </c>
      <c r="D30" s="47" t="s">
        <v>120</v>
      </c>
      <c r="E30" s="47" t="s">
        <v>40</v>
      </c>
      <c r="F30" s="47" t="s">
        <v>75</v>
      </c>
      <c r="G30" s="47" t="s">
        <v>113</v>
      </c>
      <c r="H30" s="47" t="s">
        <v>41</v>
      </c>
      <c r="I30" s="53">
        <v>56988587944</v>
      </c>
      <c r="J30" s="27" t="s">
        <v>121</v>
      </c>
      <c r="K30" s="27" t="s">
        <v>48</v>
      </c>
      <c r="L30" s="52" t="s">
        <v>205</v>
      </c>
      <c r="M30" s="52" t="s">
        <v>205</v>
      </c>
      <c r="N30" s="47">
        <f>SUMPRODUCT(Tabla5232[[#This Row],[Naranjas]:[Arandanos]],O$44:AA$44)</f>
        <v>25500</v>
      </c>
      <c r="O30" s="52">
        <v>0</v>
      </c>
      <c r="P30" s="52">
        <v>0</v>
      </c>
      <c r="Q30" s="52">
        <v>2</v>
      </c>
      <c r="R30" s="52">
        <v>0</v>
      </c>
      <c r="S30" s="52">
        <v>2</v>
      </c>
      <c r="T30" s="52">
        <v>0</v>
      </c>
      <c r="U30" s="52">
        <v>0</v>
      </c>
      <c r="V30" s="52">
        <v>0</v>
      </c>
      <c r="W30" s="52">
        <v>0</v>
      </c>
      <c r="X30" s="52">
        <v>0</v>
      </c>
      <c r="Y30" s="52">
        <v>0</v>
      </c>
      <c r="Z30" s="52">
        <v>1</v>
      </c>
      <c r="AA30" s="52">
        <v>0</v>
      </c>
      <c r="AB30" s="52">
        <f>SUM(Tabla5232[[#This Row],[Naranjas]:[Arandanos]])</f>
        <v>5</v>
      </c>
      <c r="AC30" s="58"/>
    </row>
    <row r="31" spans="1:29" outlineLevel="1" x14ac:dyDescent="0.35">
      <c r="A31" s="199"/>
      <c r="B31" s="50" t="s">
        <v>103</v>
      </c>
      <c r="C31" s="48" t="s">
        <v>104</v>
      </c>
      <c r="D31" s="59" t="s">
        <v>106</v>
      </c>
      <c r="E31" s="59" t="s">
        <v>46</v>
      </c>
      <c r="F31" s="59" t="s">
        <v>87</v>
      </c>
      <c r="G31" s="59" t="s">
        <v>45</v>
      </c>
      <c r="H31" s="59" t="s">
        <v>41</v>
      </c>
      <c r="I31" s="60">
        <v>56997792386</v>
      </c>
      <c r="J31" s="27" t="s">
        <v>105</v>
      </c>
      <c r="K31" s="27" t="s">
        <v>48</v>
      </c>
      <c r="L31" s="52" t="s">
        <v>205</v>
      </c>
      <c r="M31" s="52" t="s">
        <v>205</v>
      </c>
      <c r="N31" s="70">
        <f>SUMPRODUCT(Tabla5232[[#This Row],[Naranjas]:[Arandanos]],O$44:AA$44)</f>
        <v>92500</v>
      </c>
      <c r="O31" s="52">
        <v>0</v>
      </c>
      <c r="P31" s="52">
        <v>0</v>
      </c>
      <c r="Q31" s="52">
        <v>2</v>
      </c>
      <c r="R31" s="52">
        <v>0</v>
      </c>
      <c r="S31" s="52">
        <v>4</v>
      </c>
      <c r="T31" s="52">
        <v>1</v>
      </c>
      <c r="U31" s="52">
        <v>0</v>
      </c>
      <c r="V31" s="52">
        <v>0</v>
      </c>
      <c r="W31" s="52">
        <v>1</v>
      </c>
      <c r="X31" s="52">
        <v>1</v>
      </c>
      <c r="Y31" s="52">
        <v>1</v>
      </c>
      <c r="Z31" s="52">
        <v>5</v>
      </c>
      <c r="AA31" s="52">
        <v>0</v>
      </c>
      <c r="AB31" s="52">
        <f>SUM(Tabla5232[[#This Row],[Naranjas]:[Arandanos]])</f>
        <v>15</v>
      </c>
      <c r="AC31" s="58"/>
    </row>
    <row r="32" spans="1:29" outlineLevel="1" x14ac:dyDescent="0.35">
      <c r="A32" s="199"/>
      <c r="B32" s="50" t="s">
        <v>114</v>
      </c>
      <c r="C32" s="48" t="s">
        <v>185</v>
      </c>
      <c r="D32" s="59">
        <v>0</v>
      </c>
      <c r="E32" s="59">
        <v>0</v>
      </c>
      <c r="F32" s="59">
        <v>0</v>
      </c>
      <c r="G32" s="59">
        <v>0</v>
      </c>
      <c r="H32" s="59">
        <v>0</v>
      </c>
      <c r="I32" s="60">
        <v>0</v>
      </c>
      <c r="J32" s="27" t="s">
        <v>211</v>
      </c>
      <c r="K32" s="27" t="s">
        <v>48</v>
      </c>
      <c r="L32" s="52" t="s">
        <v>205</v>
      </c>
      <c r="M32" s="52" t="s">
        <v>205</v>
      </c>
      <c r="N32" s="70">
        <f>SUMPRODUCT(Tabla5232[[#This Row],[Naranjas]:[Arandanos]],O$44:AA$44)</f>
        <v>27000</v>
      </c>
      <c r="O32" s="52">
        <v>0</v>
      </c>
      <c r="P32" s="52">
        <v>0</v>
      </c>
      <c r="Q32" s="52">
        <v>0</v>
      </c>
      <c r="R32" s="52">
        <v>0</v>
      </c>
      <c r="S32" s="52">
        <v>0</v>
      </c>
      <c r="T32" s="52">
        <v>1</v>
      </c>
      <c r="U32" s="52">
        <v>0</v>
      </c>
      <c r="V32" s="52">
        <v>0</v>
      </c>
      <c r="W32" s="52">
        <v>0</v>
      </c>
      <c r="X32" s="52">
        <v>0</v>
      </c>
      <c r="Y32" s="52">
        <v>0</v>
      </c>
      <c r="Z32" s="52">
        <v>3</v>
      </c>
      <c r="AA32" s="52">
        <v>0</v>
      </c>
      <c r="AB32" s="52">
        <f>SUM(Tabla5232[[#This Row],[Naranjas]:[Arandanos]])</f>
        <v>4</v>
      </c>
      <c r="AC32" s="58"/>
    </row>
    <row r="33" spans="1:29" outlineLevel="1" x14ac:dyDescent="0.35">
      <c r="A33" s="199"/>
      <c r="B33" s="56" t="s">
        <v>90</v>
      </c>
      <c r="C33" s="47" t="s">
        <v>52</v>
      </c>
      <c r="D33" s="47" t="s">
        <v>91</v>
      </c>
      <c r="E33" s="47" t="s">
        <v>43</v>
      </c>
      <c r="F33" s="47" t="s">
        <v>47</v>
      </c>
      <c r="G33" s="47" t="s">
        <v>88</v>
      </c>
      <c r="H33" s="47" t="s">
        <v>41</v>
      </c>
      <c r="I33" s="53">
        <v>56982978895</v>
      </c>
      <c r="J33" s="27" t="s">
        <v>92</v>
      </c>
      <c r="K33" s="27" t="s">
        <v>48</v>
      </c>
      <c r="L33" s="52" t="s">
        <v>205</v>
      </c>
      <c r="M33" s="52" t="s">
        <v>205</v>
      </c>
      <c r="N33" s="47">
        <f>SUMPRODUCT(Tabla5232[[#This Row],[Naranjas]:[Arandanos]],O$44:AA$44)</f>
        <v>36000</v>
      </c>
      <c r="O33" s="52">
        <v>0</v>
      </c>
      <c r="P33" s="52">
        <v>0</v>
      </c>
      <c r="Q33" s="52">
        <v>4</v>
      </c>
      <c r="R33" s="52">
        <v>0</v>
      </c>
      <c r="S33" s="52">
        <v>1</v>
      </c>
      <c r="T33" s="52">
        <v>1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  <c r="Z33" s="52">
        <v>0</v>
      </c>
      <c r="AA33" s="52">
        <v>2</v>
      </c>
      <c r="AB33" s="52">
        <f>SUM(Tabla5232[[#This Row],[Naranjas]:[Arandanos]])</f>
        <v>8</v>
      </c>
      <c r="AC33" s="58"/>
    </row>
    <row r="34" spans="1:29" ht="15" outlineLevel="1" thickBot="1" x14ac:dyDescent="0.4">
      <c r="A34" s="200"/>
      <c r="B34" s="13" t="s">
        <v>94</v>
      </c>
      <c r="C34" s="14" t="s">
        <v>50</v>
      </c>
      <c r="D34" s="65" t="s">
        <v>95</v>
      </c>
      <c r="E34" s="65" t="s">
        <v>40</v>
      </c>
      <c r="F34" s="65" t="s">
        <v>49</v>
      </c>
      <c r="G34" s="65" t="s">
        <v>51</v>
      </c>
      <c r="H34" s="65" t="s">
        <v>41</v>
      </c>
      <c r="I34" s="66">
        <v>56966640363</v>
      </c>
      <c r="J34" s="46" t="s">
        <v>96</v>
      </c>
      <c r="K34" s="46" t="s">
        <v>48</v>
      </c>
      <c r="L34" s="16" t="s">
        <v>205</v>
      </c>
      <c r="M34" s="16" t="s">
        <v>205</v>
      </c>
      <c r="N34" s="71">
        <f>SUMPRODUCT(Tabla5232[[#This Row],[Naranjas]:[Arandanos]],O$44:AA$44)</f>
        <v>114500</v>
      </c>
      <c r="O34" s="16">
        <v>0</v>
      </c>
      <c r="P34" s="16">
        <v>0</v>
      </c>
      <c r="Q34" s="16">
        <v>1</v>
      </c>
      <c r="R34" s="16">
        <v>1</v>
      </c>
      <c r="S34" s="16">
        <v>2</v>
      </c>
      <c r="T34" s="16">
        <v>0</v>
      </c>
      <c r="U34" s="16">
        <v>2</v>
      </c>
      <c r="V34" s="16">
        <v>0</v>
      </c>
      <c r="W34" s="16">
        <v>0</v>
      </c>
      <c r="X34" s="16">
        <v>0</v>
      </c>
      <c r="Y34" s="16">
        <v>0</v>
      </c>
      <c r="Z34" s="16">
        <v>11</v>
      </c>
      <c r="AA34" s="16">
        <v>0</v>
      </c>
      <c r="AB34" s="16">
        <f>SUM(Tabla5232[[#This Row],[Naranjas]:[Arandanos]])</f>
        <v>17</v>
      </c>
      <c r="AC34" s="45"/>
    </row>
    <row r="35" spans="1:29" outlineLevel="1" x14ac:dyDescent="0.35">
      <c r="A35" s="18"/>
      <c r="B35" s="19"/>
      <c r="C35" s="19"/>
      <c r="D35" s="19"/>
      <c r="E35" s="19"/>
      <c r="F35" s="19"/>
      <c r="G35" s="19"/>
      <c r="H35" s="19"/>
      <c r="I35" s="32"/>
      <c r="J35" s="31"/>
      <c r="K35" s="31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9" ht="15" thickBot="1" x14ac:dyDescent="0.4"/>
    <row r="37" spans="1:29" ht="14.65" customHeight="1" thickBot="1" x14ac:dyDescent="0.4">
      <c r="A37" s="165" t="s">
        <v>20</v>
      </c>
      <c r="B37" s="156" t="s">
        <v>7</v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8"/>
      <c r="N37" s="95" t="s">
        <v>9</v>
      </c>
      <c r="O37" s="8">
        <f>SUM(Tabla5232[Naranjas])</f>
        <v>0</v>
      </c>
      <c r="P37" s="49">
        <f>SUM(Tabla5232[Mandarinas])</f>
        <v>0</v>
      </c>
      <c r="Q37" s="49">
        <f>SUM(Tabla5232[Paltas])</f>
        <v>85</v>
      </c>
      <c r="R37" s="49">
        <f>SUM(Tabla5232[Quesos])</f>
        <v>20</v>
      </c>
      <c r="S37" s="49">
        <f>SUM(Tabla5232[Frutillas])</f>
        <v>102</v>
      </c>
      <c r="T37" s="49">
        <f>SUM(Tabla5232[Tomate Cherry])</f>
        <v>16</v>
      </c>
      <c r="U37" s="49">
        <f>SUM(Tabla5232[Nueces])</f>
        <v>6</v>
      </c>
      <c r="V37" s="49">
        <f>SUM(Tabla5232[Mani Sal])</f>
        <v>10</v>
      </c>
      <c r="W37" s="49">
        <f>SUM(Tabla5232[Pistachos])</f>
        <v>12</v>
      </c>
      <c r="X37" s="49">
        <f>SUM(Tabla5232[Caju])</f>
        <v>11</v>
      </c>
      <c r="Y37" s="49">
        <f>SUM(Tabla5232[Almendras])</f>
        <v>8</v>
      </c>
      <c r="Z37" s="49">
        <f>SUM(Tabla5232[Cerezas])</f>
        <v>167</v>
      </c>
      <c r="AA37" s="4">
        <f>SUM(Tabla5232[Arandanos])</f>
        <v>18</v>
      </c>
    </row>
    <row r="38" spans="1:29" ht="14.65" customHeight="1" thickBot="1" x14ac:dyDescent="0.4">
      <c r="A38" s="166"/>
      <c r="B38" s="174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6"/>
      <c r="N38" s="95" t="s">
        <v>28</v>
      </c>
      <c r="O38" s="9">
        <v>5</v>
      </c>
      <c r="P38" s="52">
        <v>4</v>
      </c>
      <c r="Q38" s="52">
        <v>2</v>
      </c>
      <c r="R38" s="37">
        <v>1</v>
      </c>
      <c r="S38" s="37">
        <v>2</v>
      </c>
      <c r="T38" s="52">
        <v>1</v>
      </c>
      <c r="U38" s="73">
        <v>0.5</v>
      </c>
      <c r="V38" s="73">
        <v>1</v>
      </c>
      <c r="W38" s="73">
        <v>0.5</v>
      </c>
      <c r="X38" s="73">
        <v>0.4</v>
      </c>
      <c r="Y38" s="73">
        <v>0.5</v>
      </c>
      <c r="Z38" s="73">
        <v>5</v>
      </c>
      <c r="AA38" s="38">
        <v>0.5</v>
      </c>
    </row>
    <row r="39" spans="1:29" ht="14.65" customHeight="1" thickBot="1" x14ac:dyDescent="0.4">
      <c r="A39" s="166"/>
      <c r="B39" s="174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6"/>
      <c r="N39" s="95" t="s">
        <v>8</v>
      </c>
      <c r="O39" s="9">
        <f>O38*O37</f>
        <v>0</v>
      </c>
      <c r="P39" s="52">
        <f t="shared" ref="P39:AA39" si="0">P38*P37</f>
        <v>0</v>
      </c>
      <c r="Q39" s="52">
        <f t="shared" si="0"/>
        <v>170</v>
      </c>
      <c r="R39" s="52">
        <f t="shared" si="0"/>
        <v>20</v>
      </c>
      <c r="S39" s="52">
        <f>S38*S37</f>
        <v>204</v>
      </c>
      <c r="T39" s="52">
        <f t="shared" si="0"/>
        <v>16</v>
      </c>
      <c r="U39" s="52">
        <f t="shared" si="0"/>
        <v>3</v>
      </c>
      <c r="V39" s="52">
        <f t="shared" si="0"/>
        <v>10</v>
      </c>
      <c r="W39" s="52">
        <f t="shared" si="0"/>
        <v>6</v>
      </c>
      <c r="X39" s="52">
        <f t="shared" si="0"/>
        <v>4.4000000000000004</v>
      </c>
      <c r="Y39" s="52">
        <f t="shared" si="0"/>
        <v>4</v>
      </c>
      <c r="Z39" s="52">
        <f t="shared" si="0"/>
        <v>835</v>
      </c>
      <c r="AA39" s="11">
        <f t="shared" si="0"/>
        <v>9</v>
      </c>
    </row>
    <row r="40" spans="1:29" ht="15" thickBot="1" x14ac:dyDescent="0.4">
      <c r="A40" s="166"/>
      <c r="B40" s="159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1"/>
      <c r="N40" s="95" t="s">
        <v>10</v>
      </c>
      <c r="O40" s="10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2"/>
    </row>
    <row r="41" spans="1:29" ht="15" thickBot="1" x14ac:dyDescent="0.4">
      <c r="A41" s="166"/>
      <c r="B41" s="96"/>
      <c r="C41" s="19"/>
      <c r="D41" s="23"/>
      <c r="E41" s="24"/>
      <c r="F41" s="24"/>
      <c r="G41" s="24"/>
      <c r="H41" s="24"/>
      <c r="I41" s="24"/>
      <c r="J41" s="24"/>
      <c r="K41" s="25"/>
      <c r="N41" s="3"/>
    </row>
    <row r="42" spans="1:29" ht="15" thickBot="1" x14ac:dyDescent="0.4">
      <c r="A42" s="166"/>
      <c r="B42" s="156" t="s">
        <v>12</v>
      </c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8"/>
      <c r="N42" s="95" t="s">
        <v>13</v>
      </c>
      <c r="O42" s="54">
        <f>O43*O38</f>
        <v>2750</v>
      </c>
      <c r="P42" s="51">
        <f t="shared" ref="P42:AA42" si="1">P43*P38</f>
        <v>2200</v>
      </c>
      <c r="Q42" s="51">
        <f t="shared" si="1"/>
        <v>3100</v>
      </c>
      <c r="R42" s="51">
        <f t="shared" si="1"/>
        <v>6716</v>
      </c>
      <c r="S42" s="51">
        <f>S43*S38</f>
        <v>2600</v>
      </c>
      <c r="T42" s="51">
        <f t="shared" si="1"/>
        <v>2300</v>
      </c>
      <c r="U42" s="51">
        <f t="shared" si="1"/>
        <v>3750</v>
      </c>
      <c r="V42" s="51">
        <f t="shared" si="1"/>
        <v>3500</v>
      </c>
      <c r="W42" s="51">
        <f t="shared" si="1"/>
        <v>7050</v>
      </c>
      <c r="X42" s="51">
        <f t="shared" si="1"/>
        <v>5320</v>
      </c>
      <c r="Y42" s="51">
        <f t="shared" si="1"/>
        <v>5350</v>
      </c>
      <c r="Z42" s="51">
        <f t="shared" si="1"/>
        <v>6000</v>
      </c>
      <c r="AA42" s="15">
        <f t="shared" si="1"/>
        <v>600</v>
      </c>
    </row>
    <row r="43" spans="1:29" ht="15" thickBot="1" x14ac:dyDescent="0.4">
      <c r="A43" s="166"/>
      <c r="B43" s="174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6"/>
      <c r="N43" s="95" t="s">
        <v>8</v>
      </c>
      <c r="O43" s="77">
        <v>550</v>
      </c>
      <c r="P43" s="76">
        <v>550</v>
      </c>
      <c r="Q43" s="76">
        <v>1550</v>
      </c>
      <c r="R43" s="76">
        <v>6716</v>
      </c>
      <c r="S43" s="76">
        <v>1300</v>
      </c>
      <c r="T43" s="76">
        <v>2300</v>
      </c>
      <c r="U43" s="76">
        <v>7500</v>
      </c>
      <c r="V43" s="76">
        <v>3500</v>
      </c>
      <c r="W43" s="76">
        <v>14100</v>
      </c>
      <c r="X43" s="76">
        <v>13300</v>
      </c>
      <c r="Y43" s="76">
        <v>10700</v>
      </c>
      <c r="Z43" s="76">
        <f>6000/5</f>
        <v>1200</v>
      </c>
      <c r="AA43" s="80">
        <f>6000/5</f>
        <v>1200</v>
      </c>
    </row>
    <row r="44" spans="1:29" ht="15" thickBot="1" x14ac:dyDescent="0.4">
      <c r="A44" s="166"/>
      <c r="B44" s="159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1"/>
      <c r="N44" s="95" t="s">
        <v>14</v>
      </c>
      <c r="O44" s="78">
        <v>3500</v>
      </c>
      <c r="P44" s="79">
        <v>4500</v>
      </c>
      <c r="Q44" s="79">
        <v>4500</v>
      </c>
      <c r="R44" s="79">
        <v>7500</v>
      </c>
      <c r="S44" s="79">
        <v>4500</v>
      </c>
      <c r="T44" s="79">
        <v>4500</v>
      </c>
      <c r="U44" s="79">
        <v>5500</v>
      </c>
      <c r="V44" s="79">
        <v>4500</v>
      </c>
      <c r="W44" s="79">
        <v>8500</v>
      </c>
      <c r="X44" s="79">
        <v>7500</v>
      </c>
      <c r="Y44" s="79">
        <v>7500</v>
      </c>
      <c r="Z44" s="79">
        <v>7500</v>
      </c>
      <c r="AA44" s="81">
        <v>4500</v>
      </c>
    </row>
    <row r="45" spans="1:29" ht="15" thickBot="1" x14ac:dyDescent="0.4">
      <c r="A45" s="166"/>
      <c r="B45" s="96"/>
      <c r="C45" s="19"/>
      <c r="D45" s="23"/>
      <c r="E45" s="24"/>
      <c r="F45" s="24"/>
      <c r="G45" s="24"/>
      <c r="H45" s="24"/>
      <c r="I45" s="24"/>
      <c r="J45" s="24"/>
      <c r="K45" s="25"/>
      <c r="N45" s="3"/>
    </row>
    <row r="46" spans="1:29" ht="14.65" customHeight="1" thickBot="1" x14ac:dyDescent="0.4">
      <c r="A46" s="166"/>
      <c r="B46" s="156" t="s">
        <v>15</v>
      </c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8"/>
      <c r="N46" s="95" t="s">
        <v>19</v>
      </c>
      <c r="O46" s="87">
        <f>O37*O42</f>
        <v>0</v>
      </c>
      <c r="P46" s="88">
        <f t="shared" ref="P46:AA46" si="2">P37*P42</f>
        <v>0</v>
      </c>
      <c r="Q46" s="88">
        <f t="shared" si="2"/>
        <v>263500</v>
      </c>
      <c r="R46" s="89">
        <f t="shared" si="2"/>
        <v>134320</v>
      </c>
      <c r="S46" s="89">
        <f t="shared" si="2"/>
        <v>265200</v>
      </c>
      <c r="T46" s="88">
        <f>T37*T42</f>
        <v>36800</v>
      </c>
      <c r="U46" s="88">
        <f t="shared" si="2"/>
        <v>22500</v>
      </c>
      <c r="V46" s="88">
        <f t="shared" si="2"/>
        <v>35000</v>
      </c>
      <c r="W46" s="88">
        <f t="shared" si="2"/>
        <v>84600</v>
      </c>
      <c r="X46" s="88">
        <f t="shared" si="2"/>
        <v>58520</v>
      </c>
      <c r="Y46" s="88">
        <f t="shared" si="2"/>
        <v>42800</v>
      </c>
      <c r="Z46" s="88">
        <f t="shared" si="2"/>
        <v>1002000</v>
      </c>
      <c r="AA46" s="90">
        <f t="shared" si="2"/>
        <v>10800</v>
      </c>
    </row>
    <row r="47" spans="1:29" ht="15" thickBot="1" x14ac:dyDescent="0.4">
      <c r="A47" s="166"/>
      <c r="B47" s="159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1"/>
      <c r="N47" s="95" t="s">
        <v>16</v>
      </c>
      <c r="O47" s="153">
        <f>SUM(O46:AA46)</f>
        <v>1956040</v>
      </c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5"/>
    </row>
    <row r="48" spans="1:29" ht="15" thickBot="1" x14ac:dyDescent="0.4">
      <c r="A48" s="166"/>
      <c r="B48" s="156" t="s">
        <v>17</v>
      </c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8"/>
      <c r="N48" s="95" t="s">
        <v>19</v>
      </c>
      <c r="O48" s="50">
        <f t="shared" ref="O48:AA48" si="3">O44*O37</f>
        <v>0</v>
      </c>
      <c r="P48" s="48">
        <f t="shared" si="3"/>
        <v>0</v>
      </c>
      <c r="Q48" s="48">
        <f t="shared" si="3"/>
        <v>382500</v>
      </c>
      <c r="R48" s="48">
        <f t="shared" si="3"/>
        <v>150000</v>
      </c>
      <c r="S48" s="48">
        <f t="shared" si="3"/>
        <v>459000</v>
      </c>
      <c r="T48" s="48">
        <f t="shared" si="3"/>
        <v>72000</v>
      </c>
      <c r="U48" s="48">
        <f t="shared" si="3"/>
        <v>33000</v>
      </c>
      <c r="V48" s="48">
        <f t="shared" si="3"/>
        <v>45000</v>
      </c>
      <c r="W48" s="48">
        <f t="shared" si="3"/>
        <v>102000</v>
      </c>
      <c r="X48" s="48">
        <f t="shared" si="3"/>
        <v>82500</v>
      </c>
      <c r="Y48" s="48">
        <f t="shared" si="3"/>
        <v>60000</v>
      </c>
      <c r="Z48" s="48">
        <f t="shared" si="3"/>
        <v>1252500</v>
      </c>
      <c r="AA48" s="91">
        <f t="shared" si="3"/>
        <v>81000</v>
      </c>
    </row>
    <row r="49" spans="1:27" ht="15" thickBot="1" x14ac:dyDescent="0.4">
      <c r="A49" s="166"/>
      <c r="B49" s="159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1"/>
      <c r="N49" s="95" t="s">
        <v>16</v>
      </c>
      <c r="O49" s="153">
        <f>SUM(O48:AA48)</f>
        <v>2719500</v>
      </c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5"/>
    </row>
    <row r="50" spans="1:27" ht="14.65" customHeight="1" thickBot="1" x14ac:dyDescent="0.4">
      <c r="A50" s="166"/>
      <c r="B50" s="156" t="s">
        <v>18</v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8"/>
      <c r="N50" s="95" t="s">
        <v>19</v>
      </c>
      <c r="O50" s="50">
        <f>O48-O46</f>
        <v>0</v>
      </c>
      <c r="P50" s="48">
        <f t="shared" ref="P50:AA50" si="4">P48-P46</f>
        <v>0</v>
      </c>
      <c r="Q50" s="48">
        <f t="shared" si="4"/>
        <v>119000</v>
      </c>
      <c r="R50" s="48">
        <f t="shared" si="4"/>
        <v>15680</v>
      </c>
      <c r="S50" s="48">
        <f t="shared" si="4"/>
        <v>193800</v>
      </c>
      <c r="T50" s="48">
        <f t="shared" si="4"/>
        <v>35200</v>
      </c>
      <c r="U50" s="48">
        <f t="shared" si="4"/>
        <v>10500</v>
      </c>
      <c r="V50" s="48">
        <f t="shared" si="4"/>
        <v>10000</v>
      </c>
      <c r="W50" s="48">
        <f t="shared" si="4"/>
        <v>17400</v>
      </c>
      <c r="X50" s="48">
        <f t="shared" si="4"/>
        <v>23980</v>
      </c>
      <c r="Y50" s="48">
        <f t="shared" si="4"/>
        <v>17200</v>
      </c>
      <c r="Z50" s="48">
        <f t="shared" si="4"/>
        <v>250500</v>
      </c>
      <c r="AA50" s="91">
        <f t="shared" si="4"/>
        <v>70200</v>
      </c>
    </row>
    <row r="51" spans="1:27" ht="29.65" customHeight="1" thickBot="1" x14ac:dyDescent="0.4">
      <c r="A51" s="166"/>
      <c r="B51" s="159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1"/>
      <c r="N51" s="95" t="s">
        <v>29</v>
      </c>
      <c r="O51" s="150">
        <f>O49-O47</f>
        <v>763460</v>
      </c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2"/>
    </row>
    <row r="52" spans="1:27" ht="15" thickBot="1" x14ac:dyDescent="0.4">
      <c r="A52" s="166"/>
    </row>
    <row r="53" spans="1:27" ht="14.65" customHeight="1" thickBot="1" x14ac:dyDescent="0.4">
      <c r="A53" s="166"/>
      <c r="B53" s="177" t="s">
        <v>25</v>
      </c>
      <c r="C53" s="178"/>
      <c r="D53" s="178"/>
      <c r="E53" s="178"/>
      <c r="F53" s="178"/>
      <c r="G53" s="178"/>
      <c r="H53" s="178"/>
      <c r="I53" s="178"/>
      <c r="J53" s="178"/>
      <c r="K53" s="178"/>
      <c r="L53" s="178"/>
      <c r="M53" s="178"/>
      <c r="N53" s="179"/>
      <c r="O53" s="168" t="s">
        <v>26</v>
      </c>
      <c r="P53" s="169"/>
      <c r="Q53" s="170"/>
      <c r="R53" s="29" t="s">
        <v>27</v>
      </c>
      <c r="S53" s="61"/>
      <c r="T53" s="5"/>
      <c r="U53" s="5"/>
      <c r="V53" s="5"/>
      <c r="W53" s="5"/>
      <c r="X53" s="5"/>
      <c r="Y53" s="5"/>
      <c r="Z53" s="5"/>
      <c r="AA53" s="5"/>
    </row>
    <row r="54" spans="1:27" ht="15" customHeight="1" x14ac:dyDescent="0.35">
      <c r="A54" s="166"/>
      <c r="B54" s="180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2"/>
      <c r="O54" s="192"/>
      <c r="P54" s="193"/>
      <c r="Q54" s="194"/>
      <c r="R54" s="33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x14ac:dyDescent="0.35">
      <c r="A55" s="166"/>
      <c r="B55" s="180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2"/>
      <c r="O55" s="189"/>
      <c r="P55" s="190"/>
      <c r="Q55" s="191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" customHeight="1" x14ac:dyDescent="0.35">
      <c r="A56" s="166"/>
      <c r="B56" s="180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2"/>
      <c r="O56" s="189"/>
      <c r="P56" s="190"/>
      <c r="Q56" s="191"/>
      <c r="R56" s="34"/>
      <c r="S56" s="62"/>
      <c r="T56" s="6"/>
      <c r="U56" s="6"/>
      <c r="V56" s="6"/>
      <c r="W56" s="6"/>
      <c r="X56" s="6"/>
      <c r="Y56" s="6"/>
      <c r="Z56" s="6"/>
      <c r="AA56" s="6"/>
    </row>
    <row r="57" spans="1:27" ht="15" customHeight="1" x14ac:dyDescent="0.35">
      <c r="A57" s="166"/>
      <c r="B57" s="180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2"/>
      <c r="O57" s="189"/>
      <c r="P57" s="190"/>
      <c r="Q57" s="191"/>
      <c r="R57" s="34"/>
      <c r="S57" s="62"/>
      <c r="T57" s="6"/>
      <c r="U57" s="6"/>
      <c r="V57" s="6"/>
      <c r="W57" s="6"/>
      <c r="X57" s="6"/>
      <c r="Y57" s="6"/>
      <c r="Z57" s="6"/>
      <c r="AA57" s="6"/>
    </row>
    <row r="58" spans="1:27" ht="15" customHeight="1" x14ac:dyDescent="0.35">
      <c r="A58" s="166"/>
      <c r="B58" s="180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2"/>
      <c r="O58" s="189"/>
      <c r="P58" s="190"/>
      <c r="Q58" s="191"/>
      <c r="R58" s="34"/>
      <c r="S58" s="62"/>
      <c r="T58" s="6"/>
      <c r="U58" s="6"/>
      <c r="V58" s="6"/>
      <c r="W58" s="6"/>
      <c r="X58" s="6"/>
      <c r="Y58" s="6"/>
      <c r="Z58" s="6"/>
      <c r="AA58" s="6"/>
    </row>
    <row r="59" spans="1:27" ht="15" customHeight="1" x14ac:dyDescent="0.35">
      <c r="A59" s="166"/>
      <c r="B59" s="180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2"/>
      <c r="O59" s="189"/>
      <c r="P59" s="190"/>
      <c r="Q59" s="191"/>
      <c r="R59" s="34"/>
      <c r="S59" s="62"/>
      <c r="T59" s="6"/>
      <c r="U59" s="6"/>
      <c r="V59" s="6"/>
      <c r="W59" s="6"/>
      <c r="X59" s="6"/>
      <c r="Y59" s="6"/>
      <c r="Z59" s="6"/>
      <c r="AA59" s="6"/>
    </row>
    <row r="60" spans="1:27" ht="15" customHeight="1" thickBot="1" x14ac:dyDescent="0.4">
      <c r="A60" s="166"/>
      <c r="B60" s="180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2"/>
      <c r="O60" s="195"/>
      <c r="P60" s="196"/>
      <c r="Q60" s="197"/>
      <c r="R60" s="34"/>
      <c r="S60" s="62"/>
      <c r="T60" s="6"/>
      <c r="U60" s="6"/>
      <c r="V60" s="6"/>
      <c r="W60" s="6"/>
      <c r="X60" s="6"/>
      <c r="Y60" s="6"/>
      <c r="Z60" s="6"/>
      <c r="AA60" s="6"/>
    </row>
    <row r="61" spans="1:27" ht="15.75" customHeight="1" thickBot="1" x14ac:dyDescent="0.4">
      <c r="A61" s="166"/>
      <c r="B61" s="183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5"/>
      <c r="O61" s="186" t="s">
        <v>16</v>
      </c>
      <c r="P61" s="187"/>
      <c r="Q61" s="188"/>
      <c r="R61" s="35">
        <f>SUM(R54:R60)</f>
        <v>0</v>
      </c>
      <c r="S61" s="63"/>
      <c r="T61" s="6"/>
      <c r="U61" s="6"/>
      <c r="V61" s="6"/>
      <c r="W61" s="6"/>
      <c r="X61" s="6"/>
      <c r="Y61" s="6"/>
      <c r="Z61" s="6"/>
      <c r="AA61" s="6"/>
    </row>
    <row r="62" spans="1:27" ht="15" thickBot="1" x14ac:dyDescent="0.4">
      <c r="A62" s="166"/>
    </row>
    <row r="63" spans="1:27" ht="51.75" customHeight="1" thickBot="1" x14ac:dyDescent="0.4">
      <c r="A63" s="167"/>
      <c r="B63" s="168" t="s">
        <v>18</v>
      </c>
      <c r="C63" s="169"/>
      <c r="D63" s="169"/>
      <c r="E63" s="169"/>
      <c r="F63" s="169"/>
      <c r="G63" s="169"/>
      <c r="H63" s="169"/>
      <c r="I63" s="169"/>
      <c r="J63" s="169"/>
      <c r="K63" s="169"/>
      <c r="L63" s="170"/>
      <c r="M63" s="95"/>
      <c r="N63" s="94" t="s">
        <v>16</v>
      </c>
      <c r="O63" s="171">
        <f>O51-SUM(R54:R60)</f>
        <v>763460</v>
      </c>
      <c r="P63" s="172"/>
      <c r="Q63" s="172"/>
      <c r="R63" s="172"/>
      <c r="S63" s="172"/>
      <c r="T63" s="172"/>
      <c r="U63" s="173"/>
      <c r="V63" s="72"/>
      <c r="W63" s="72"/>
      <c r="X63" s="72"/>
      <c r="Y63" s="72"/>
      <c r="Z63" s="72"/>
      <c r="AA63" s="72"/>
    </row>
    <row r="64" spans="1:27" ht="15.75" customHeight="1" x14ac:dyDescent="0.35">
      <c r="A64" s="30"/>
      <c r="P64" s="28"/>
      <c r="Q64" s="28"/>
      <c r="R64" s="28"/>
      <c r="S64" s="28"/>
      <c r="U64" s="97"/>
      <c r="V64" s="97"/>
      <c r="W64" s="97"/>
      <c r="X64" s="97"/>
      <c r="Y64" s="97"/>
      <c r="Z64" s="97"/>
      <c r="AA64" s="97"/>
    </row>
    <row r="65" spans="1:27" ht="15" customHeight="1" x14ac:dyDescent="0.35">
      <c r="A65" s="30"/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:27" ht="15" customHeight="1" x14ac:dyDescent="0.3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:27" ht="15" customHeight="1" x14ac:dyDescent="0.3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  <row r="68" spans="1:27" ht="15" customHeight="1" x14ac:dyDescent="0.35">
      <c r="P68" s="28"/>
      <c r="Q68" s="28"/>
      <c r="R68" s="28"/>
      <c r="S68" s="28"/>
      <c r="U68" s="7"/>
      <c r="V68" s="7"/>
      <c r="W68" s="7"/>
      <c r="X68" s="7"/>
      <c r="Y68" s="7"/>
      <c r="Z68" s="7"/>
      <c r="AA68" s="7"/>
    </row>
    <row r="69" spans="1:27" ht="15" customHeight="1" x14ac:dyDescent="0.35">
      <c r="P69" s="28"/>
      <c r="Q69" s="28"/>
      <c r="R69" s="28"/>
      <c r="S69" s="28"/>
      <c r="U69" s="7"/>
      <c r="V69" s="7"/>
      <c r="W69" s="7"/>
      <c r="X69" s="7"/>
      <c r="Y69" s="7"/>
      <c r="Z69" s="7"/>
      <c r="AA69" s="7"/>
    </row>
    <row r="70" spans="1:27" ht="15" customHeight="1" x14ac:dyDescent="0.35">
      <c r="P70" s="28"/>
      <c r="Q70" s="28"/>
      <c r="R70" s="28"/>
      <c r="S70" s="28"/>
      <c r="U70" s="7"/>
      <c r="V70" s="7"/>
      <c r="W70" s="7"/>
      <c r="X70" s="7"/>
      <c r="Y70" s="7"/>
      <c r="Z70" s="7"/>
      <c r="AA70" s="7"/>
    </row>
    <row r="71" spans="1:27" ht="15" customHeight="1" x14ac:dyDescent="0.35">
      <c r="P71" s="28"/>
      <c r="Q71" s="28"/>
      <c r="R71" s="28"/>
      <c r="S71" s="28"/>
      <c r="U71" s="7"/>
      <c r="V71" s="7"/>
      <c r="W71" s="7"/>
      <c r="X71" s="7"/>
      <c r="Y71" s="7"/>
      <c r="Z71" s="7"/>
      <c r="AA71" s="7"/>
    </row>
    <row r="72" spans="1:27" ht="15.75" customHeight="1" x14ac:dyDescent="0.35">
      <c r="P72" s="28"/>
      <c r="Q72" s="28"/>
      <c r="R72" s="28"/>
      <c r="S72" s="28"/>
      <c r="U72" s="7"/>
      <c r="V72" s="7"/>
      <c r="W72" s="7"/>
      <c r="X72" s="7"/>
      <c r="Y72" s="7"/>
      <c r="Z72" s="7"/>
      <c r="AA72" s="7"/>
    </row>
  </sheetData>
  <mergeCells count="24">
    <mergeCell ref="B53:N61"/>
    <mergeCell ref="O53:Q53"/>
    <mergeCell ref="O54:Q54"/>
    <mergeCell ref="O55:Q55"/>
    <mergeCell ref="O56:Q56"/>
    <mergeCell ref="O57:Q57"/>
    <mergeCell ref="O58:Q58"/>
    <mergeCell ref="O59:Q59"/>
    <mergeCell ref="B2:N2"/>
    <mergeCell ref="O2:AA2"/>
    <mergeCell ref="A37:A63"/>
    <mergeCell ref="B37:M40"/>
    <mergeCell ref="B42:M44"/>
    <mergeCell ref="B46:M47"/>
    <mergeCell ref="O47:AA47"/>
    <mergeCell ref="B48:M49"/>
    <mergeCell ref="O49:AA49"/>
    <mergeCell ref="A5:A34"/>
    <mergeCell ref="O60:Q60"/>
    <mergeCell ref="O61:Q61"/>
    <mergeCell ref="B63:L63"/>
    <mergeCell ref="O63:U63"/>
    <mergeCell ref="B50:M51"/>
    <mergeCell ref="O51:AA51"/>
  </mergeCells>
  <conditionalFormatting sqref="AB5:AB34">
    <cfRule type="cellIs" dxfId="416" priority="1" operator="lessThan">
      <formula>20</formula>
    </cfRule>
    <cfRule type="cellIs" dxfId="415" priority="2" operator="between">
      <formula>20</formula>
      <formula>29</formula>
    </cfRule>
    <cfRule type="cellIs" dxfId="414" priority="3" operator="greaterThan">
      <formula>29</formula>
    </cfRule>
  </conditionalFormatting>
  <hyperlinks>
    <hyperlink ref="J32" r:id="rId1" xr:uid="{9E5AB1B0-9C1A-4ABA-B6C2-4C8624C24696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6E12-CCA4-475A-9BEF-0E4597D0DB76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243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35">
      <c r="A5" s="199"/>
      <c r="B5" s="50" t="s">
        <v>186</v>
      </c>
      <c r="C5" s="48" t="s">
        <v>128</v>
      </c>
      <c r="D5" s="59" t="s">
        <v>187</v>
      </c>
      <c r="E5" s="59" t="s">
        <v>46</v>
      </c>
      <c r="F5" s="59" t="s">
        <v>87</v>
      </c>
      <c r="G5" s="59">
        <v>0</v>
      </c>
      <c r="H5" s="59" t="s">
        <v>41</v>
      </c>
      <c r="I5" s="60">
        <v>0</v>
      </c>
      <c r="J5" s="27" t="s">
        <v>138</v>
      </c>
      <c r="K5" s="27">
        <v>0</v>
      </c>
      <c r="L5" s="52" t="s">
        <v>205</v>
      </c>
      <c r="M5" s="52" t="s">
        <v>206</v>
      </c>
      <c r="N5" s="70">
        <f>SUMPRODUCT(Tabla5234[[#This Row],[Paltas]:[Empanadas]],O$32:Z$32)</f>
        <v>320500</v>
      </c>
      <c r="O5" s="52">
        <v>2</v>
      </c>
      <c r="P5" s="52">
        <v>2</v>
      </c>
      <c r="Q5" s="52">
        <f>2+1</f>
        <v>3</v>
      </c>
      <c r="R5" s="52">
        <v>0</v>
      </c>
      <c r="S5" s="52">
        <v>0</v>
      </c>
      <c r="T5" s="52">
        <v>1</v>
      </c>
      <c r="U5" s="52">
        <v>0</v>
      </c>
      <c r="V5" s="52">
        <v>0</v>
      </c>
      <c r="W5" s="52">
        <v>0</v>
      </c>
      <c r="X5" s="52">
        <v>5</v>
      </c>
      <c r="Y5" s="52">
        <f>2+1</f>
        <v>3</v>
      </c>
      <c r="Z5" s="52">
        <v>13</v>
      </c>
      <c r="AA5" s="52">
        <f>SUM(Tabla5234[[#This Row],[Paltas]:[Empanadas]])</f>
        <v>29</v>
      </c>
      <c r="AB5" s="58"/>
    </row>
    <row r="6" spans="1:28" outlineLevel="1" x14ac:dyDescent="0.35">
      <c r="A6" s="199"/>
      <c r="B6" s="50" t="s">
        <v>136</v>
      </c>
      <c r="C6" s="48" t="s">
        <v>137</v>
      </c>
      <c r="D6" s="59" t="s">
        <v>172</v>
      </c>
      <c r="E6" s="59" t="s">
        <v>40</v>
      </c>
      <c r="F6" s="59" t="s">
        <v>75</v>
      </c>
      <c r="G6" s="59" t="s">
        <v>113</v>
      </c>
      <c r="H6" s="59" t="s">
        <v>41</v>
      </c>
      <c r="I6" s="60">
        <v>56992704205</v>
      </c>
      <c r="J6" s="27" t="s">
        <v>173</v>
      </c>
      <c r="K6" s="27" t="s">
        <v>54</v>
      </c>
      <c r="L6" s="52" t="s">
        <v>205</v>
      </c>
      <c r="M6" s="52" t="s">
        <v>206</v>
      </c>
      <c r="N6" s="70">
        <f>SUMPRODUCT(Tabla5234[[#This Row],[Paltas]:[Empanadas]],O$32:Z$32)</f>
        <v>225000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30</v>
      </c>
      <c r="Y6" s="52">
        <v>0</v>
      </c>
      <c r="Z6" s="52">
        <v>0</v>
      </c>
      <c r="AA6" s="52">
        <f>SUM(Tabla5234[[#This Row],[Paltas]:[Empanadas]])</f>
        <v>30</v>
      </c>
      <c r="AB6" s="58"/>
    </row>
    <row r="7" spans="1:28" outlineLevel="1" x14ac:dyDescent="0.35">
      <c r="A7" s="199"/>
      <c r="B7" s="50" t="s">
        <v>169</v>
      </c>
      <c r="C7" s="48" t="s">
        <v>170</v>
      </c>
      <c r="D7" s="59" t="s">
        <v>174</v>
      </c>
      <c r="E7" s="59" t="s">
        <v>46</v>
      </c>
      <c r="F7" s="59" t="s">
        <v>87</v>
      </c>
      <c r="G7" s="59" t="s">
        <v>45</v>
      </c>
      <c r="H7" s="59" t="s">
        <v>41</v>
      </c>
      <c r="I7" s="60">
        <v>56966685970</v>
      </c>
      <c r="J7" s="27" t="s">
        <v>175</v>
      </c>
      <c r="K7" s="27" t="s">
        <v>42</v>
      </c>
      <c r="L7" s="52" t="s">
        <v>205</v>
      </c>
      <c r="M7" s="52" t="s">
        <v>206</v>
      </c>
      <c r="N7" s="70">
        <f>SUMPRODUCT(Tabla5234[[#This Row],[Paltas]:[Empanadas]],O$32:Z$32)</f>
        <v>46000</v>
      </c>
      <c r="O7" s="52">
        <v>0</v>
      </c>
      <c r="P7" s="52">
        <v>1</v>
      </c>
      <c r="Q7" s="52">
        <f>0+2</f>
        <v>2</v>
      </c>
      <c r="R7" s="52">
        <v>0</v>
      </c>
      <c r="S7" s="52">
        <v>1</v>
      </c>
      <c r="T7" s="52">
        <v>1</v>
      </c>
      <c r="U7" s="52">
        <v>0</v>
      </c>
      <c r="V7" s="52">
        <v>0</v>
      </c>
      <c r="W7" s="52">
        <v>0</v>
      </c>
      <c r="X7" s="52">
        <f>1+1</f>
        <v>2</v>
      </c>
      <c r="Y7" s="52">
        <v>1</v>
      </c>
      <c r="Z7" s="52">
        <v>0</v>
      </c>
      <c r="AA7" s="52">
        <f>SUM(Tabla5234[[#This Row],[Paltas]:[Empanadas]])</f>
        <v>8</v>
      </c>
      <c r="AB7" s="58"/>
    </row>
    <row r="8" spans="1:28" outlineLevel="1" x14ac:dyDescent="0.35">
      <c r="A8" s="199"/>
      <c r="B8" s="50" t="s">
        <v>150</v>
      </c>
      <c r="C8" s="48" t="s">
        <v>165</v>
      </c>
      <c r="D8" s="59" t="s">
        <v>200</v>
      </c>
      <c r="E8" s="59" t="s">
        <v>43</v>
      </c>
      <c r="F8" s="59" t="s">
        <v>47</v>
      </c>
      <c r="G8" s="59" t="s">
        <v>167</v>
      </c>
      <c r="H8" s="59" t="s">
        <v>41</v>
      </c>
      <c r="I8" s="60">
        <v>56999194650</v>
      </c>
      <c r="J8" s="27" t="s">
        <v>168</v>
      </c>
      <c r="K8" s="27" t="s">
        <v>42</v>
      </c>
      <c r="L8" s="52" t="s">
        <v>205</v>
      </c>
      <c r="M8" s="52" t="s">
        <v>206</v>
      </c>
      <c r="N8" s="70">
        <f>SUMPRODUCT(Tabla5234[[#This Row],[Paltas]:[Empanadas]],O$32:Z$32)</f>
        <v>190500</v>
      </c>
      <c r="O8" s="52">
        <v>2</v>
      </c>
      <c r="P8" s="52">
        <v>1</v>
      </c>
      <c r="Q8" s="52">
        <v>1</v>
      </c>
      <c r="R8" s="52">
        <v>1</v>
      </c>
      <c r="S8" s="52">
        <v>0</v>
      </c>
      <c r="T8" s="52">
        <v>0</v>
      </c>
      <c r="U8" s="52">
        <v>0</v>
      </c>
      <c r="V8" s="52">
        <v>0</v>
      </c>
      <c r="W8" s="52">
        <v>1</v>
      </c>
      <c r="X8" s="52">
        <v>0</v>
      </c>
      <c r="Y8" s="52">
        <v>0</v>
      </c>
      <c r="Z8" s="52">
        <v>9</v>
      </c>
      <c r="AA8" s="52">
        <f>SUM(Tabla5234[[#This Row],[Paltas]:[Empanadas]])</f>
        <v>15</v>
      </c>
      <c r="AB8" s="58"/>
    </row>
    <row r="9" spans="1:28" outlineLevel="1" x14ac:dyDescent="0.35">
      <c r="A9" s="199"/>
      <c r="B9" s="56" t="s">
        <v>155</v>
      </c>
      <c r="C9" s="47" t="s">
        <v>156</v>
      </c>
      <c r="D9" s="47" t="s">
        <v>157</v>
      </c>
      <c r="E9" s="47" t="s">
        <v>40</v>
      </c>
      <c r="F9" s="47" t="s">
        <v>49</v>
      </c>
      <c r="G9" s="47" t="s">
        <v>53</v>
      </c>
      <c r="H9" s="47" t="s">
        <v>41</v>
      </c>
      <c r="I9" s="53">
        <v>56987143347</v>
      </c>
      <c r="J9" s="27" t="s">
        <v>158</v>
      </c>
      <c r="K9" s="27" t="s">
        <v>48</v>
      </c>
      <c r="L9" s="52" t="s">
        <v>205</v>
      </c>
      <c r="M9" s="52" t="s">
        <v>206</v>
      </c>
      <c r="N9" s="47">
        <f>SUMPRODUCT(Tabla5234[[#This Row],[Paltas]:[Empanadas]],O$32:Z$32)</f>
        <v>13500</v>
      </c>
      <c r="O9" s="52">
        <v>1</v>
      </c>
      <c r="P9" s="52">
        <v>0</v>
      </c>
      <c r="Q9" s="52">
        <v>1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SUM(Tabla5234[[#This Row],[Paltas]:[Empanadas]])</f>
        <v>3</v>
      </c>
      <c r="AB9" s="58"/>
    </row>
    <row r="10" spans="1:28" outlineLevel="1" x14ac:dyDescent="0.35">
      <c r="A10" s="199"/>
      <c r="B10" s="56" t="s">
        <v>190</v>
      </c>
      <c r="C10" s="47" t="s">
        <v>191</v>
      </c>
      <c r="D10" s="47" t="s">
        <v>192</v>
      </c>
      <c r="E10" s="47" t="s">
        <v>46</v>
      </c>
      <c r="F10" s="47" t="s">
        <v>193</v>
      </c>
      <c r="G10" s="47" t="s">
        <v>53</v>
      </c>
      <c r="H10" s="47" t="s">
        <v>41</v>
      </c>
      <c r="I10" s="53">
        <v>56955324629</v>
      </c>
      <c r="J10" s="27" t="s">
        <v>194</v>
      </c>
      <c r="K10" s="27" t="s">
        <v>48</v>
      </c>
      <c r="L10" s="52" t="s">
        <v>205</v>
      </c>
      <c r="M10" s="52" t="s">
        <v>206</v>
      </c>
      <c r="N10" s="47">
        <f>SUMPRODUCT(Tabla5234[[#This Row],[Paltas]:[Empanadas]],O$32:Z$32)</f>
        <v>15000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2</v>
      </c>
      <c r="Y10" s="52">
        <v>0</v>
      </c>
      <c r="Z10" s="52">
        <v>0</v>
      </c>
      <c r="AA10" s="52">
        <f>SUM(Tabla5234[[#This Row],[Paltas]:[Empanadas]])</f>
        <v>2</v>
      </c>
      <c r="AB10" s="58"/>
    </row>
    <row r="11" spans="1:28" outlineLevel="1" x14ac:dyDescent="0.35">
      <c r="A11" s="199"/>
      <c r="B11" s="50" t="s">
        <v>59</v>
      </c>
      <c r="C11" s="48" t="s">
        <v>72</v>
      </c>
      <c r="D11" s="59" t="s">
        <v>73</v>
      </c>
      <c r="E11" s="59" t="s">
        <v>40</v>
      </c>
      <c r="F11" s="59" t="s">
        <v>49</v>
      </c>
      <c r="G11" s="59" t="s">
        <v>53</v>
      </c>
      <c r="H11" s="59" t="s">
        <v>41</v>
      </c>
      <c r="I11" s="60">
        <v>56975684552</v>
      </c>
      <c r="J11" s="27" t="s">
        <v>74</v>
      </c>
      <c r="K11" s="27" t="s">
        <v>48</v>
      </c>
      <c r="L11" s="52" t="s">
        <v>205</v>
      </c>
      <c r="M11" s="52" t="s">
        <v>206</v>
      </c>
      <c r="N11" s="70">
        <f>SUMPRODUCT(Tabla5234[[#This Row],[Paltas]:[Empanadas]],O$32:Z$32)</f>
        <v>31500</v>
      </c>
      <c r="O11" s="52">
        <v>1</v>
      </c>
      <c r="P11" s="52">
        <v>0</v>
      </c>
      <c r="Q11" s="52">
        <v>6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SUM(Tabla5234[[#This Row],[Paltas]:[Empanadas]])</f>
        <v>7</v>
      </c>
      <c r="AB11" s="58"/>
    </row>
    <row r="12" spans="1:28" outlineLevel="1" x14ac:dyDescent="0.35">
      <c r="A12" s="199"/>
      <c r="B12" s="50" t="s">
        <v>122</v>
      </c>
      <c r="C12" s="48" t="s">
        <v>143</v>
      </c>
      <c r="D12" s="59" t="s">
        <v>160</v>
      </c>
      <c r="E12" s="59" t="s">
        <v>40</v>
      </c>
      <c r="F12" s="59" t="s">
        <v>49</v>
      </c>
      <c r="G12" s="59" t="s">
        <v>45</v>
      </c>
      <c r="H12" s="59" t="s">
        <v>41</v>
      </c>
      <c r="I12" s="60">
        <v>56997594184</v>
      </c>
      <c r="J12" s="27" t="s">
        <v>161</v>
      </c>
      <c r="K12" s="27" t="s">
        <v>48</v>
      </c>
      <c r="L12" s="52" t="s">
        <v>205</v>
      </c>
      <c r="M12" s="52" t="s">
        <v>206</v>
      </c>
      <c r="N12" s="70">
        <f>SUMPRODUCT(Tabla5234[[#This Row],[Paltas]:[Empanadas]],O$32:Z$32)</f>
        <v>153000</v>
      </c>
      <c r="O12" s="52">
        <v>17</v>
      </c>
      <c r="P12" s="52">
        <v>0</v>
      </c>
      <c r="Q12" s="52">
        <v>17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f>SUM(Tabla5234[[#This Row],[Paltas]:[Empanadas]])</f>
        <v>34</v>
      </c>
      <c r="AB12" s="58"/>
    </row>
    <row r="13" spans="1:28" outlineLevel="1" x14ac:dyDescent="0.35">
      <c r="A13" s="199"/>
      <c r="B13" s="50" t="s">
        <v>150</v>
      </c>
      <c r="C13" s="48" t="s">
        <v>201</v>
      </c>
      <c r="D13" s="59" t="s">
        <v>202</v>
      </c>
      <c r="E13" s="59" t="s">
        <v>40</v>
      </c>
      <c r="F13" s="59" t="s">
        <v>49</v>
      </c>
      <c r="G13" s="59" t="s">
        <v>113</v>
      </c>
      <c r="H13" s="59" t="s">
        <v>41</v>
      </c>
      <c r="I13" s="60">
        <v>56976994719</v>
      </c>
      <c r="J13" s="27" t="s">
        <v>203</v>
      </c>
      <c r="K13" s="27" t="s">
        <v>48</v>
      </c>
      <c r="L13" s="52" t="s">
        <v>205</v>
      </c>
      <c r="M13" s="52" t="s">
        <v>206</v>
      </c>
      <c r="N13" s="70">
        <f>SUMPRODUCT(Tabla5234[[#This Row],[Paltas]:[Empanadas]],O$32:Z$32)</f>
        <v>179500</v>
      </c>
      <c r="O13" s="52">
        <f>5+4</f>
        <v>9</v>
      </c>
      <c r="P13" s="52">
        <v>2</v>
      </c>
      <c r="Q13" s="52">
        <v>4</v>
      </c>
      <c r="R13" s="52">
        <v>3</v>
      </c>
      <c r="S13" s="52">
        <v>0</v>
      </c>
      <c r="T13" s="52">
        <v>0</v>
      </c>
      <c r="U13" s="52">
        <v>1</v>
      </c>
      <c r="V13" s="52">
        <v>1</v>
      </c>
      <c r="W13" s="52">
        <v>1</v>
      </c>
      <c r="X13" s="52">
        <f>6+2</f>
        <v>8</v>
      </c>
      <c r="Y13" s="52">
        <v>2</v>
      </c>
      <c r="Z13" s="52">
        <v>0</v>
      </c>
      <c r="AA13" s="52">
        <f>SUM(Tabla5234[[#This Row],[Paltas]:[Empanadas]])</f>
        <v>31</v>
      </c>
      <c r="AB13" s="58"/>
    </row>
    <row r="14" spans="1:28" outlineLevel="1" x14ac:dyDescent="0.35">
      <c r="A14" s="199"/>
      <c r="B14" s="50" t="s">
        <v>62</v>
      </c>
      <c r="C14" s="48" t="s">
        <v>63</v>
      </c>
      <c r="D14" s="59" t="s">
        <v>64</v>
      </c>
      <c r="E14" s="59" t="s">
        <v>40</v>
      </c>
      <c r="F14" s="59" t="s">
        <v>49</v>
      </c>
      <c r="G14" s="59" t="s">
        <v>51</v>
      </c>
      <c r="H14" s="59" t="s">
        <v>41</v>
      </c>
      <c r="I14" s="60">
        <v>56952304675</v>
      </c>
      <c r="J14" s="27" t="s">
        <v>65</v>
      </c>
      <c r="K14" s="27" t="s">
        <v>48</v>
      </c>
      <c r="L14" s="52" t="s">
        <v>205</v>
      </c>
      <c r="M14" s="52" t="s">
        <v>206</v>
      </c>
      <c r="N14" s="70">
        <f>SUMPRODUCT(Tabla5234[[#This Row],[Paltas]:[Empanadas]],O$32:Z$32)</f>
        <v>75000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10</v>
      </c>
      <c r="Y14" s="52">
        <v>0</v>
      </c>
      <c r="Z14" s="52">
        <v>0</v>
      </c>
      <c r="AA14" s="52">
        <f>SUM(Tabla5234[[#This Row],[Paltas]:[Empanadas]])</f>
        <v>10</v>
      </c>
      <c r="AB14" s="58"/>
    </row>
    <row r="15" spans="1:28" outlineLevel="1" x14ac:dyDescent="0.35">
      <c r="A15" s="199"/>
      <c r="B15" s="56" t="s">
        <v>122</v>
      </c>
      <c r="C15" s="47" t="s">
        <v>123</v>
      </c>
      <c r="D15" s="47" t="s">
        <v>124</v>
      </c>
      <c r="E15" s="47" t="s">
        <v>40</v>
      </c>
      <c r="F15" s="47" t="s">
        <v>49</v>
      </c>
      <c r="G15" s="47" t="s">
        <v>125</v>
      </c>
      <c r="H15" s="47" t="s">
        <v>41</v>
      </c>
      <c r="I15" s="53">
        <v>56968320616</v>
      </c>
      <c r="J15" s="27" t="s">
        <v>126</v>
      </c>
      <c r="K15" s="27" t="s">
        <v>54</v>
      </c>
      <c r="L15" s="52" t="s">
        <v>205</v>
      </c>
      <c r="M15" s="52" t="s">
        <v>205</v>
      </c>
      <c r="N15" s="47">
        <f>SUMPRODUCT(Tabla5234[[#This Row],[Paltas]:[Empanadas]],O$32:Z$32)</f>
        <v>18000</v>
      </c>
      <c r="O15" s="52">
        <v>0</v>
      </c>
      <c r="P15" s="52">
        <v>0</v>
      </c>
      <c r="Q15" s="52">
        <v>3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1</v>
      </c>
      <c r="Z15" s="52">
        <v>0</v>
      </c>
      <c r="AA15" s="52">
        <f>SUM(Tabla5234[[#This Row],[Paltas]:[Empanadas]])</f>
        <v>4</v>
      </c>
      <c r="AB15" s="58"/>
    </row>
    <row r="16" spans="1:28" outlineLevel="1" x14ac:dyDescent="0.35">
      <c r="A16" s="199"/>
      <c r="B16" s="56" t="s">
        <v>55</v>
      </c>
      <c r="C16" s="47" t="s">
        <v>56</v>
      </c>
      <c r="D16" s="47" t="s">
        <v>57</v>
      </c>
      <c r="E16" s="47" t="s">
        <v>40</v>
      </c>
      <c r="F16" s="47" t="s">
        <v>49</v>
      </c>
      <c r="G16" s="47" t="s">
        <v>45</v>
      </c>
      <c r="H16" s="47" t="s">
        <v>41</v>
      </c>
      <c r="I16" s="53">
        <v>56967898535</v>
      </c>
      <c r="J16" s="27" t="s">
        <v>58</v>
      </c>
      <c r="K16" s="27" t="s">
        <v>54</v>
      </c>
      <c r="L16" s="52" t="s">
        <v>205</v>
      </c>
      <c r="M16" s="52" t="s">
        <v>205</v>
      </c>
      <c r="N16" s="47">
        <f>SUMPRODUCT(Tabla5234[[#This Row],[Paltas]:[Empanadas]],O$32:Z$32)</f>
        <v>55500</v>
      </c>
      <c r="O16" s="52">
        <v>3</v>
      </c>
      <c r="P16" s="52">
        <v>0</v>
      </c>
      <c r="Q16" s="52">
        <v>1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f>4+1</f>
        <v>5</v>
      </c>
      <c r="Y16" s="52">
        <v>0</v>
      </c>
      <c r="Z16" s="52">
        <v>0</v>
      </c>
      <c r="AA16" s="52">
        <f>SUM(Tabla5234[[#This Row],[Paltas]:[Empanadas]])</f>
        <v>9</v>
      </c>
      <c r="AB16" s="58"/>
    </row>
    <row r="17" spans="1:28" outlineLevel="1" x14ac:dyDescent="0.35">
      <c r="A17" s="199"/>
      <c r="B17" s="50" t="s">
        <v>81</v>
      </c>
      <c r="C17" s="48" t="s">
        <v>97</v>
      </c>
      <c r="D17" s="59" t="s">
        <v>82</v>
      </c>
      <c r="E17" s="59" t="s">
        <v>40</v>
      </c>
      <c r="F17" s="59" t="s">
        <v>49</v>
      </c>
      <c r="G17" s="59" t="s">
        <v>45</v>
      </c>
      <c r="H17" s="59" t="s">
        <v>41</v>
      </c>
      <c r="I17" s="60">
        <v>56963033603</v>
      </c>
      <c r="J17" s="27" t="s">
        <v>102</v>
      </c>
      <c r="K17" s="27" t="s">
        <v>42</v>
      </c>
      <c r="L17" s="52" t="s">
        <v>205</v>
      </c>
      <c r="M17" s="52" t="s">
        <v>205</v>
      </c>
      <c r="N17" s="70">
        <f>SUMPRODUCT(Tabla5234[[#This Row],[Paltas]:[Empanadas]],O$32:Z$32)</f>
        <v>70000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4</v>
      </c>
      <c r="AA17" s="52">
        <f>SUM(Tabla5234[[#This Row],[Paltas]:[Empanadas]])</f>
        <v>4</v>
      </c>
      <c r="AB17" s="58"/>
    </row>
    <row r="18" spans="1:28" outlineLevel="1" x14ac:dyDescent="0.35">
      <c r="A18" s="199"/>
      <c r="B18" s="56" t="s">
        <v>195</v>
      </c>
      <c r="C18" s="47" t="s">
        <v>196</v>
      </c>
      <c r="D18" s="47" t="s">
        <v>197</v>
      </c>
      <c r="E18" s="47" t="s">
        <v>135</v>
      </c>
      <c r="F18" s="47" t="s">
        <v>189</v>
      </c>
      <c r="G18" s="47" t="s">
        <v>198</v>
      </c>
      <c r="H18" s="47" t="s">
        <v>41</v>
      </c>
      <c r="I18" s="53">
        <v>56979987750</v>
      </c>
      <c r="J18" s="27" t="s">
        <v>199</v>
      </c>
      <c r="K18" s="27" t="s">
        <v>48</v>
      </c>
      <c r="L18" s="52" t="s">
        <v>205</v>
      </c>
      <c r="M18" s="52" t="s">
        <v>205</v>
      </c>
      <c r="N18" s="47">
        <f>SUMPRODUCT(Tabla5234[[#This Row],[Paltas]:[Empanadas]],O$32:Z$32)</f>
        <v>225000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30</v>
      </c>
      <c r="Y18" s="52">
        <v>0</v>
      </c>
      <c r="Z18" s="52">
        <v>0</v>
      </c>
      <c r="AA18" s="52">
        <f>SUM(Tabla5234[[#This Row],[Paltas]:[Empanadas]])</f>
        <v>30</v>
      </c>
      <c r="AB18" s="58"/>
    </row>
    <row r="19" spans="1:28" outlineLevel="1" x14ac:dyDescent="0.35">
      <c r="A19" s="199"/>
      <c r="B19" s="50" t="s">
        <v>103</v>
      </c>
      <c r="C19" s="48" t="s">
        <v>104</v>
      </c>
      <c r="D19" s="59" t="s">
        <v>106</v>
      </c>
      <c r="E19" s="59" t="s">
        <v>46</v>
      </c>
      <c r="F19" s="59" t="s">
        <v>87</v>
      </c>
      <c r="G19" s="59" t="s">
        <v>45</v>
      </c>
      <c r="H19" s="59" t="s">
        <v>41</v>
      </c>
      <c r="I19" s="60">
        <v>56997792386</v>
      </c>
      <c r="J19" s="27" t="s">
        <v>105</v>
      </c>
      <c r="K19" s="27" t="s">
        <v>48</v>
      </c>
      <c r="L19" s="52" t="s">
        <v>205</v>
      </c>
      <c r="M19" s="52" t="s">
        <v>205</v>
      </c>
      <c r="N19" s="70">
        <f>SUMPRODUCT(Tabla5234[[#This Row],[Paltas]:[Empanadas]],O$32:Z$32)</f>
        <v>147500</v>
      </c>
      <c r="O19" s="52">
        <v>2</v>
      </c>
      <c r="P19" s="52">
        <v>0</v>
      </c>
      <c r="Q19" s="52">
        <v>2</v>
      </c>
      <c r="R19" s="52">
        <v>2</v>
      </c>
      <c r="S19" s="52">
        <v>0</v>
      </c>
      <c r="T19" s="52">
        <v>1</v>
      </c>
      <c r="U19" s="52">
        <v>2</v>
      </c>
      <c r="V19" s="52">
        <v>2</v>
      </c>
      <c r="W19" s="52">
        <v>1</v>
      </c>
      <c r="X19" s="52">
        <f>7+2</f>
        <v>9</v>
      </c>
      <c r="Y19" s="52">
        <v>2</v>
      </c>
      <c r="Z19" s="52">
        <v>0</v>
      </c>
      <c r="AA19" s="52">
        <f>SUM(Tabla5234[[#This Row],[Paltas]:[Empanadas]])</f>
        <v>23</v>
      </c>
      <c r="AB19" s="58"/>
    </row>
    <row r="20" spans="1:28" outlineLevel="1" x14ac:dyDescent="0.35">
      <c r="A20" s="199"/>
      <c r="B20" s="109" t="s">
        <v>114</v>
      </c>
      <c r="C20" s="110" t="s">
        <v>185</v>
      </c>
      <c r="D20" s="111" t="s">
        <v>204</v>
      </c>
      <c r="E20" s="111" t="s">
        <v>46</v>
      </c>
      <c r="F20" s="111" t="s">
        <v>87</v>
      </c>
      <c r="G20" s="111" t="s">
        <v>110</v>
      </c>
      <c r="H20" s="111" t="s">
        <v>41</v>
      </c>
      <c r="I20" s="112">
        <v>0</v>
      </c>
      <c r="J20" s="82" t="s">
        <v>211</v>
      </c>
      <c r="K20" s="82" t="s">
        <v>48</v>
      </c>
      <c r="L20" s="83" t="s">
        <v>205</v>
      </c>
      <c r="M20" s="83" t="s">
        <v>205</v>
      </c>
      <c r="N20" s="113">
        <f>SUMPRODUCT(Tabla5234[[#This Row],[Paltas]:[Empanadas]],O$32:Z$32)</f>
        <v>428500</v>
      </c>
      <c r="O20" s="83">
        <v>1</v>
      </c>
      <c r="P20" s="83">
        <v>0</v>
      </c>
      <c r="Q20" s="83">
        <v>2</v>
      </c>
      <c r="R20" s="83">
        <v>2</v>
      </c>
      <c r="S20" s="83">
        <v>0</v>
      </c>
      <c r="T20" s="83">
        <v>0</v>
      </c>
      <c r="U20" s="83">
        <v>1</v>
      </c>
      <c r="V20" s="83">
        <v>0</v>
      </c>
      <c r="W20" s="83">
        <v>0</v>
      </c>
      <c r="X20" s="83">
        <f>43+10</f>
        <v>53</v>
      </c>
      <c r="Y20" s="83">
        <v>0</v>
      </c>
      <c r="Z20" s="83">
        <v>0</v>
      </c>
      <c r="AA20" s="83">
        <f>SUM(Tabla5234[[#This Row],[Paltas]:[Empanadas]])</f>
        <v>59</v>
      </c>
      <c r="AB20" s="84"/>
    </row>
    <row r="21" spans="1:28" ht="15" outlineLevel="1" thickBot="1" x14ac:dyDescent="0.4">
      <c r="A21" s="200"/>
      <c r="B21" s="109" t="s">
        <v>94</v>
      </c>
      <c r="C21" s="110" t="s">
        <v>50</v>
      </c>
      <c r="D21" s="111" t="s">
        <v>95</v>
      </c>
      <c r="E21" s="111" t="s">
        <v>40</v>
      </c>
      <c r="F21" s="111" t="s">
        <v>49</v>
      </c>
      <c r="G21" s="111" t="s">
        <v>51</v>
      </c>
      <c r="H21" s="111" t="s">
        <v>41</v>
      </c>
      <c r="I21" s="112">
        <v>56966640363</v>
      </c>
      <c r="J21" s="82" t="s">
        <v>96</v>
      </c>
      <c r="K21" s="82" t="s">
        <v>48</v>
      </c>
      <c r="L21" s="83" t="s">
        <v>205</v>
      </c>
      <c r="M21" s="83" t="s">
        <v>205</v>
      </c>
      <c r="N21" s="113">
        <f>SUMPRODUCT(Tabla5234[[#This Row],[Paltas]:[Empanadas]],O$32:Z$32)</f>
        <v>24000</v>
      </c>
      <c r="O21" s="83">
        <v>0</v>
      </c>
      <c r="P21" s="83">
        <v>0</v>
      </c>
      <c r="Q21" s="83">
        <v>1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3">
        <v>1</v>
      </c>
      <c r="X21" s="83">
        <f>0+1</f>
        <v>1</v>
      </c>
      <c r="Y21" s="83">
        <v>1</v>
      </c>
      <c r="Z21" s="83">
        <v>0</v>
      </c>
      <c r="AA21" s="83">
        <f>SUM(Tabla5234[[#This Row],[Paltas]:[Empanadas]])</f>
        <v>4</v>
      </c>
      <c r="AB21" s="84"/>
    </row>
    <row r="22" spans="1:28" outlineLevel="1" x14ac:dyDescent="0.35">
      <c r="A22" s="18"/>
      <c r="B22" s="109" t="s">
        <v>159</v>
      </c>
      <c r="C22" s="110" t="s">
        <v>162</v>
      </c>
      <c r="D22" s="111" t="s">
        <v>163</v>
      </c>
      <c r="E22" s="111" t="s">
        <v>135</v>
      </c>
      <c r="F22" s="111" t="s">
        <v>151</v>
      </c>
      <c r="G22" s="111" t="s">
        <v>45</v>
      </c>
      <c r="H22" s="111" t="s">
        <v>41</v>
      </c>
      <c r="I22" s="112">
        <v>56979312762</v>
      </c>
      <c r="J22" s="82" t="s">
        <v>164</v>
      </c>
      <c r="K22" s="82" t="s">
        <v>48</v>
      </c>
      <c r="L22" s="83" t="s">
        <v>205</v>
      </c>
      <c r="M22" s="83" t="s">
        <v>205</v>
      </c>
      <c r="N22" s="113">
        <f>SUMPRODUCT(Tabla5234[[#This Row],[Paltas]:[Empanadas]],O$32:Z$32)</f>
        <v>283500</v>
      </c>
      <c r="O22" s="83">
        <v>1</v>
      </c>
      <c r="P22" s="83">
        <v>1</v>
      </c>
      <c r="Q22" s="83">
        <v>1</v>
      </c>
      <c r="R22" s="83">
        <v>1</v>
      </c>
      <c r="S22" s="83">
        <v>0</v>
      </c>
      <c r="T22" s="83">
        <v>0</v>
      </c>
      <c r="U22" s="83">
        <v>0</v>
      </c>
      <c r="V22" s="83">
        <v>0</v>
      </c>
      <c r="W22" s="83">
        <v>0</v>
      </c>
      <c r="X22" s="83">
        <f>38-10</f>
        <v>28</v>
      </c>
      <c r="Y22" s="83">
        <v>0</v>
      </c>
      <c r="Z22" s="83">
        <v>3</v>
      </c>
      <c r="AA22" s="83">
        <f>SUM(Tabla5234[[#This Row],[Paltas]:[Empanadas]])</f>
        <v>35</v>
      </c>
      <c r="AB22" s="84"/>
    </row>
    <row r="23" spans="1:28" outlineLevel="1" x14ac:dyDescent="0.3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" thickBot="1" x14ac:dyDescent="0.4"/>
    <row r="25" spans="1:28" ht="14.65" customHeight="1" thickBot="1" x14ac:dyDescent="0.4">
      <c r="A25" s="165" t="s">
        <v>20</v>
      </c>
      <c r="B25" s="156" t="s">
        <v>7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99" t="s">
        <v>9</v>
      </c>
      <c r="O25" s="49">
        <f>SUM(Tabla5234[Paltas])</f>
        <v>39</v>
      </c>
      <c r="P25" s="49">
        <f>SUM(Tabla5234[Quesos])</f>
        <v>7</v>
      </c>
      <c r="Q25" s="49">
        <f>SUM(Tabla5234[Frutillas])</f>
        <v>44</v>
      </c>
      <c r="R25" s="49">
        <f>SUM(Tabla5234[Tomate Cherry])</f>
        <v>10</v>
      </c>
      <c r="S25" s="49">
        <f>SUM(Tabla5234[Nueces])</f>
        <v>1</v>
      </c>
      <c r="T25" s="49">
        <f>SUM(Tabla5234[Mani Sal])</f>
        <v>3</v>
      </c>
      <c r="U25" s="49">
        <f>SUM(Tabla5234[Pistachos])</f>
        <v>4</v>
      </c>
      <c r="V25" s="49">
        <f>SUM(Tabla5234[Caju])</f>
        <v>3</v>
      </c>
      <c r="W25" s="49">
        <f>SUM(Tabla5234[Almendras])</f>
        <v>4</v>
      </c>
      <c r="X25" s="49">
        <f>SUM(Tabla5234[Cerezas])</f>
        <v>183</v>
      </c>
      <c r="Y25" s="49">
        <f>SUM(Tabla5234[Arandanos])</f>
        <v>10</v>
      </c>
      <c r="Z25" s="4">
        <f>SUM(Tabla5234[Empanadas])</f>
        <v>29</v>
      </c>
    </row>
    <row r="26" spans="1:28" ht="14.65" customHeight="1" thickBot="1" x14ac:dyDescent="0.4">
      <c r="A26" s="166"/>
      <c r="B26" s="174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6"/>
      <c r="N26" s="99" t="s">
        <v>28</v>
      </c>
      <c r="O26" s="52">
        <v>2</v>
      </c>
      <c r="P26" s="37">
        <v>1</v>
      </c>
      <c r="Q26" s="37">
        <v>2</v>
      </c>
      <c r="R26" s="52">
        <v>1</v>
      </c>
      <c r="S26" s="73">
        <v>0.5</v>
      </c>
      <c r="T26" s="73">
        <v>1</v>
      </c>
      <c r="U26" s="73">
        <v>0.5</v>
      </c>
      <c r="V26" s="73">
        <v>0.4</v>
      </c>
      <c r="W26" s="73">
        <v>0.5</v>
      </c>
      <c r="X26" s="73">
        <v>5</v>
      </c>
      <c r="Y26" s="73">
        <v>0.5</v>
      </c>
      <c r="Z26" s="38">
        <v>12</v>
      </c>
    </row>
    <row r="27" spans="1:28" ht="14.65" customHeight="1" thickBot="1" x14ac:dyDescent="0.4">
      <c r="A27" s="166"/>
      <c r="B27" s="174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6"/>
      <c r="N27" s="99" t="s">
        <v>8</v>
      </c>
      <c r="O27" s="52">
        <f t="shared" ref="O27:Z27" si="0">O26*O25</f>
        <v>78</v>
      </c>
      <c r="P27" s="52">
        <f t="shared" si="0"/>
        <v>7</v>
      </c>
      <c r="Q27" s="52">
        <f>Q26*Q25</f>
        <v>88</v>
      </c>
      <c r="R27" s="52">
        <f t="shared" si="0"/>
        <v>10</v>
      </c>
      <c r="S27" s="52">
        <f t="shared" si="0"/>
        <v>0.5</v>
      </c>
      <c r="T27" s="52">
        <f t="shared" si="0"/>
        <v>3</v>
      </c>
      <c r="U27" s="52">
        <f t="shared" si="0"/>
        <v>2</v>
      </c>
      <c r="V27" s="52">
        <f t="shared" si="0"/>
        <v>1.2000000000000002</v>
      </c>
      <c r="W27" s="52">
        <f t="shared" si="0"/>
        <v>2</v>
      </c>
      <c r="X27" s="52">
        <f t="shared" si="0"/>
        <v>915</v>
      </c>
      <c r="Y27" s="52">
        <f t="shared" si="0"/>
        <v>5</v>
      </c>
      <c r="Z27" s="11">
        <f t="shared" si="0"/>
        <v>348</v>
      </c>
    </row>
    <row r="28" spans="1:28" ht="15" thickBot="1" x14ac:dyDescent="0.4">
      <c r="A28" s="166"/>
      <c r="B28" s="159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1"/>
      <c r="N28" s="99" t="s">
        <v>10</v>
      </c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" thickBot="1" x14ac:dyDescent="0.4">
      <c r="A29" s="166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" thickBot="1" x14ac:dyDescent="0.4">
      <c r="A30" s="166"/>
      <c r="B30" s="156" t="s">
        <v>12</v>
      </c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8"/>
      <c r="N30" s="99" t="s">
        <v>13</v>
      </c>
      <c r="O30" s="51">
        <f t="shared" ref="O30:Z30" si="1">O31*O26</f>
        <v>3100</v>
      </c>
      <c r="P30" s="51">
        <f t="shared" si="1"/>
        <v>6716</v>
      </c>
      <c r="Q30" s="51">
        <f>Q31*Q26</f>
        <v>2600</v>
      </c>
      <c r="R30" s="51">
        <f t="shared" si="1"/>
        <v>2300</v>
      </c>
      <c r="S30" s="51">
        <f t="shared" si="1"/>
        <v>3750</v>
      </c>
      <c r="T30" s="51">
        <f t="shared" si="1"/>
        <v>3500</v>
      </c>
      <c r="U30" s="51">
        <f t="shared" si="1"/>
        <v>7050</v>
      </c>
      <c r="V30" s="51">
        <f t="shared" si="1"/>
        <v>5320</v>
      </c>
      <c r="W30" s="51">
        <f t="shared" si="1"/>
        <v>5350</v>
      </c>
      <c r="X30" s="51">
        <f t="shared" si="1"/>
        <v>6000</v>
      </c>
      <c r="Y30" s="51">
        <f t="shared" si="1"/>
        <v>600</v>
      </c>
      <c r="Z30" s="15">
        <f t="shared" si="1"/>
        <v>12000</v>
      </c>
    </row>
    <row r="31" spans="1:28" ht="15" thickBot="1" x14ac:dyDescent="0.4">
      <c r="A31" s="166"/>
      <c r="B31" s="174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6"/>
      <c r="N31" s="99" t="s">
        <v>8</v>
      </c>
      <c r="O31" s="76">
        <v>1550</v>
      </c>
      <c r="P31" s="76">
        <v>6716</v>
      </c>
      <c r="Q31" s="76">
        <v>1300</v>
      </c>
      <c r="R31" s="76">
        <v>2300</v>
      </c>
      <c r="S31" s="76">
        <v>7500</v>
      </c>
      <c r="T31" s="76">
        <v>3500</v>
      </c>
      <c r="U31" s="76">
        <v>14100</v>
      </c>
      <c r="V31" s="76">
        <v>13300</v>
      </c>
      <c r="W31" s="76">
        <v>10700</v>
      </c>
      <c r="X31" s="76">
        <f>6000/5</f>
        <v>1200</v>
      </c>
      <c r="Y31" s="76">
        <f>6000/5</f>
        <v>1200</v>
      </c>
      <c r="Z31" s="80">
        <v>1000</v>
      </c>
    </row>
    <row r="32" spans="1:28" ht="15" thickBot="1" x14ac:dyDescent="0.4">
      <c r="A32" s="166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99" t="s">
        <v>14</v>
      </c>
      <c r="O32" s="79">
        <v>4500</v>
      </c>
      <c r="P32" s="79">
        <v>7500</v>
      </c>
      <c r="Q32" s="79">
        <v>4500</v>
      </c>
      <c r="R32" s="79">
        <v>4500</v>
      </c>
      <c r="S32" s="79">
        <v>5500</v>
      </c>
      <c r="T32" s="79">
        <v>4500</v>
      </c>
      <c r="U32" s="79">
        <v>8500</v>
      </c>
      <c r="V32" s="79">
        <v>7500</v>
      </c>
      <c r="W32" s="79">
        <v>7500</v>
      </c>
      <c r="X32" s="79">
        <v>7500</v>
      </c>
      <c r="Y32" s="79">
        <v>4500</v>
      </c>
      <c r="Z32" s="81">
        <v>17500</v>
      </c>
    </row>
    <row r="33" spans="1:26" ht="15" thickBot="1" x14ac:dyDescent="0.4">
      <c r="A33" s="166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4">
      <c r="A34" s="166"/>
      <c r="B34" s="156" t="s">
        <v>15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8"/>
      <c r="N34" s="99" t="s">
        <v>19</v>
      </c>
      <c r="O34" s="88">
        <f t="shared" ref="O34:Z34" si="2">O25*O30</f>
        <v>120900</v>
      </c>
      <c r="P34" s="89">
        <f t="shared" si="2"/>
        <v>47012</v>
      </c>
      <c r="Q34" s="89">
        <f t="shared" si="2"/>
        <v>114400</v>
      </c>
      <c r="R34" s="88">
        <f>R25*R30</f>
        <v>23000</v>
      </c>
      <c r="S34" s="88">
        <f t="shared" si="2"/>
        <v>3750</v>
      </c>
      <c r="T34" s="88">
        <f t="shared" si="2"/>
        <v>10500</v>
      </c>
      <c r="U34" s="88">
        <f t="shared" si="2"/>
        <v>28200</v>
      </c>
      <c r="V34" s="88">
        <f t="shared" si="2"/>
        <v>15960</v>
      </c>
      <c r="W34" s="88">
        <f t="shared" si="2"/>
        <v>21400</v>
      </c>
      <c r="X34" s="88">
        <f t="shared" si="2"/>
        <v>1098000</v>
      </c>
      <c r="Y34" s="88">
        <f t="shared" si="2"/>
        <v>6000</v>
      </c>
      <c r="Z34" s="90">
        <f t="shared" si="2"/>
        <v>348000</v>
      </c>
    </row>
    <row r="35" spans="1:26" ht="15" thickBot="1" x14ac:dyDescent="0.4">
      <c r="A35" s="166"/>
      <c r="B35" s="159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1"/>
      <c r="N35" s="99" t="s">
        <v>16</v>
      </c>
      <c r="O35" s="201">
        <f>SUM(O34:Z34)</f>
        <v>1837122</v>
      </c>
      <c r="P35" s="202"/>
      <c r="Q35" s="202"/>
      <c r="R35" s="202"/>
      <c r="S35" s="202"/>
      <c r="T35" s="202"/>
      <c r="U35" s="202"/>
      <c r="V35" s="202"/>
      <c r="W35" s="202"/>
      <c r="X35" s="202"/>
      <c r="Y35" s="202"/>
      <c r="Z35" s="203"/>
    </row>
    <row r="36" spans="1:26" ht="15" thickBot="1" x14ac:dyDescent="0.4">
      <c r="A36" s="166"/>
      <c r="B36" s="156" t="s">
        <v>17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99" t="s">
        <v>19</v>
      </c>
      <c r="O36" s="48">
        <f t="shared" ref="O36:Z36" si="3">O32*O25</f>
        <v>175500</v>
      </c>
      <c r="P36" s="48">
        <f t="shared" si="3"/>
        <v>52500</v>
      </c>
      <c r="Q36" s="48">
        <f t="shared" si="3"/>
        <v>198000</v>
      </c>
      <c r="R36" s="48">
        <f t="shared" si="3"/>
        <v>45000</v>
      </c>
      <c r="S36" s="48">
        <f t="shared" si="3"/>
        <v>5500</v>
      </c>
      <c r="T36" s="48">
        <f t="shared" si="3"/>
        <v>13500</v>
      </c>
      <c r="U36" s="48">
        <f t="shared" si="3"/>
        <v>34000</v>
      </c>
      <c r="V36" s="48">
        <f t="shared" si="3"/>
        <v>22500</v>
      </c>
      <c r="W36" s="48">
        <f t="shared" si="3"/>
        <v>30000</v>
      </c>
      <c r="X36" s="48">
        <f t="shared" si="3"/>
        <v>1372500</v>
      </c>
      <c r="Y36" s="48">
        <f t="shared" si="3"/>
        <v>45000</v>
      </c>
      <c r="Z36" s="91">
        <f t="shared" si="3"/>
        <v>507500</v>
      </c>
    </row>
    <row r="37" spans="1:26" ht="15" thickBot="1" x14ac:dyDescent="0.4">
      <c r="A37" s="166"/>
      <c r="B37" s="159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1"/>
      <c r="N37" s="99" t="s">
        <v>16</v>
      </c>
      <c r="O37" s="201">
        <f>SUM(O36:Z36)</f>
        <v>2501500</v>
      </c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3"/>
    </row>
    <row r="38" spans="1:26" ht="14.65" customHeight="1" thickBot="1" x14ac:dyDescent="0.4">
      <c r="A38" s="166"/>
      <c r="B38" s="156" t="s">
        <v>18</v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8"/>
      <c r="N38" s="99" t="s">
        <v>19</v>
      </c>
      <c r="O38" s="48">
        <f t="shared" ref="O38:Y38" si="4">O36-O34</f>
        <v>54600</v>
      </c>
      <c r="P38" s="48">
        <f t="shared" si="4"/>
        <v>5488</v>
      </c>
      <c r="Q38" s="48">
        <f t="shared" si="4"/>
        <v>83600</v>
      </c>
      <c r="R38" s="48">
        <f t="shared" si="4"/>
        <v>22000</v>
      </c>
      <c r="S38" s="48">
        <f t="shared" si="4"/>
        <v>1750</v>
      </c>
      <c r="T38" s="48">
        <f t="shared" si="4"/>
        <v>3000</v>
      </c>
      <c r="U38" s="48">
        <f t="shared" si="4"/>
        <v>5800</v>
      </c>
      <c r="V38" s="48">
        <f t="shared" si="4"/>
        <v>6540</v>
      </c>
      <c r="W38" s="48">
        <f t="shared" si="4"/>
        <v>8600</v>
      </c>
      <c r="X38" s="48">
        <f t="shared" si="4"/>
        <v>274500</v>
      </c>
      <c r="Y38" s="48">
        <f t="shared" si="4"/>
        <v>39000</v>
      </c>
      <c r="Z38" s="91">
        <f>Z36-Z34</f>
        <v>159500</v>
      </c>
    </row>
    <row r="39" spans="1:26" ht="29.65" customHeight="1" thickBot="1" x14ac:dyDescent="0.4">
      <c r="A39" s="166"/>
      <c r="B39" s="159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1"/>
      <c r="N39" s="99" t="s">
        <v>29</v>
      </c>
      <c r="O39" s="151">
        <f>O37-O35</f>
        <v>664378</v>
      </c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2"/>
    </row>
    <row r="40" spans="1:26" ht="15" thickBot="1" x14ac:dyDescent="0.4">
      <c r="A40" s="166"/>
    </row>
    <row r="41" spans="1:26" ht="14.65" customHeight="1" thickBot="1" x14ac:dyDescent="0.4">
      <c r="A41" s="166"/>
      <c r="B41" s="177" t="s">
        <v>25</v>
      </c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9"/>
      <c r="O41" s="100" t="s">
        <v>26</v>
      </c>
      <c r="P41" s="29" t="s">
        <v>27</v>
      </c>
      <c r="Q41" s="61"/>
      <c r="R41" s="5"/>
      <c r="S41" s="5"/>
      <c r="T41" s="5"/>
      <c r="U41" s="5"/>
      <c r="V41" s="5"/>
      <c r="W41" s="5"/>
      <c r="X41" s="5"/>
      <c r="Y41" s="5"/>
      <c r="Z41" s="5"/>
    </row>
    <row r="42" spans="1:26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17"/>
      <c r="P42" s="33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35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18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x14ac:dyDescent="0.35">
      <c r="A44" s="166"/>
      <c r="B44" s="180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2"/>
      <c r="O44" s="118"/>
      <c r="P44" s="34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x14ac:dyDescent="0.35">
      <c r="A45" s="166"/>
      <c r="B45" s="180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2"/>
      <c r="O45" s="118"/>
      <c r="P45" s="34"/>
      <c r="Q45" s="62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 x14ac:dyDescent="0.35">
      <c r="A46" s="166"/>
      <c r="B46" s="180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2"/>
      <c r="O46" s="118"/>
      <c r="P46" s="34"/>
      <c r="Q46" s="62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 x14ac:dyDescent="0.35">
      <c r="A47" s="166"/>
      <c r="B47" s="180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2"/>
      <c r="O47" s="118"/>
      <c r="P47" s="34"/>
      <c r="Q47" s="62"/>
      <c r="R47" s="6"/>
      <c r="S47" s="6"/>
      <c r="T47" s="6"/>
      <c r="U47" s="6"/>
      <c r="V47" s="6"/>
      <c r="W47" s="6"/>
      <c r="X47" s="6"/>
      <c r="Y47" s="6"/>
      <c r="Z47" s="6"/>
    </row>
    <row r="48" spans="1:26" ht="15" customHeight="1" thickBot="1" x14ac:dyDescent="0.4">
      <c r="A48" s="166"/>
      <c r="B48" s="180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2"/>
      <c r="O48" s="119"/>
      <c r="P48" s="34"/>
      <c r="Q48" s="62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customHeight="1" thickBot="1" x14ac:dyDescent="0.4">
      <c r="A49" s="166"/>
      <c r="B49" s="183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5"/>
      <c r="O49" s="100"/>
      <c r="P49" s="35">
        <f>SUM(P42:P48)</f>
        <v>0</v>
      </c>
      <c r="Q49" s="63"/>
      <c r="R49" s="6"/>
      <c r="S49" s="6"/>
      <c r="T49" s="6"/>
      <c r="U49" s="6"/>
      <c r="V49" s="6"/>
      <c r="W49" s="6"/>
      <c r="X49" s="6"/>
      <c r="Y49" s="6"/>
      <c r="Z49" s="6"/>
    </row>
    <row r="50" spans="1:26" ht="15" thickBot="1" x14ac:dyDescent="0.4">
      <c r="A50" s="166"/>
    </row>
    <row r="51" spans="1:26" ht="51.75" customHeight="1" thickBot="1" x14ac:dyDescent="0.4">
      <c r="A51" s="167"/>
      <c r="B51" s="168" t="s">
        <v>18</v>
      </c>
      <c r="C51" s="169"/>
      <c r="D51" s="169"/>
      <c r="E51" s="169"/>
      <c r="F51" s="169"/>
      <c r="G51" s="169"/>
      <c r="H51" s="169"/>
      <c r="I51" s="169"/>
      <c r="J51" s="169"/>
      <c r="K51" s="169"/>
      <c r="L51" s="170"/>
      <c r="M51" s="99"/>
      <c r="N51" s="98" t="s">
        <v>16</v>
      </c>
      <c r="O51" s="172"/>
      <c r="P51" s="172"/>
      <c r="Q51" s="172"/>
      <c r="R51" s="172"/>
      <c r="S51" s="173"/>
      <c r="T51" s="72"/>
      <c r="U51" s="72"/>
      <c r="V51" s="72"/>
      <c r="W51" s="72"/>
      <c r="X51" s="72"/>
      <c r="Y51" s="72"/>
      <c r="Z51" s="72"/>
    </row>
    <row r="52" spans="1:26" ht="15.75" customHeight="1" x14ac:dyDescent="0.35">
      <c r="A52" s="30"/>
      <c r="O52" s="28"/>
      <c r="P52" s="28"/>
      <c r="Q52" s="28"/>
      <c r="S52" s="102"/>
      <c r="T52" s="102"/>
      <c r="U52" s="102"/>
      <c r="V52" s="102"/>
      <c r="W52" s="102"/>
      <c r="X52" s="102"/>
      <c r="Y52" s="102"/>
      <c r="Z52" s="102"/>
    </row>
    <row r="53" spans="1:26" ht="15" customHeight="1" x14ac:dyDescent="0.35">
      <c r="A53" s="30"/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3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3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3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35">
      <c r="O57" s="28"/>
      <c r="P57" s="28"/>
      <c r="Q57" s="28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35">
      <c r="O58" s="28"/>
      <c r="P58" s="28"/>
      <c r="Q58" s="28"/>
      <c r="S58" s="7"/>
      <c r="T58" s="7"/>
      <c r="U58" s="7"/>
      <c r="V58" s="7"/>
      <c r="W58" s="7"/>
      <c r="X58" s="7"/>
      <c r="Y58" s="7"/>
      <c r="Z58" s="7"/>
    </row>
    <row r="59" spans="1:26" ht="15" customHeight="1" x14ac:dyDescent="0.35">
      <c r="O59" s="28"/>
      <c r="P59" s="28"/>
      <c r="Q59" s="28"/>
      <c r="S59" s="7"/>
      <c r="T59" s="7"/>
      <c r="U59" s="7"/>
      <c r="V59" s="7"/>
      <c r="W59" s="7"/>
      <c r="X59" s="7"/>
      <c r="Y59" s="7"/>
      <c r="Z59" s="7"/>
    </row>
    <row r="60" spans="1:26" ht="15.75" customHeight="1" x14ac:dyDescent="0.35">
      <c r="O60" s="28"/>
      <c r="P60" s="28"/>
      <c r="Q60" s="28"/>
      <c r="S60" s="7"/>
      <c r="T60" s="7"/>
      <c r="U60" s="7"/>
      <c r="V60" s="7"/>
      <c r="W60" s="7"/>
      <c r="X60" s="7"/>
      <c r="Y60" s="7"/>
      <c r="Z60" s="7"/>
    </row>
  </sheetData>
  <mergeCells count="15"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B51:L51"/>
    <mergeCell ref="O51:S51"/>
    <mergeCell ref="A5:A21"/>
    <mergeCell ref="B38:M39"/>
    <mergeCell ref="O39:Z39"/>
    <mergeCell ref="B41:N49"/>
  </mergeCells>
  <conditionalFormatting sqref="AA5:AA22">
    <cfRule type="cellIs" dxfId="355" priority="1" operator="lessThan">
      <formula>20</formula>
    </cfRule>
    <cfRule type="cellIs" dxfId="354" priority="2" operator="between">
      <formula>20</formula>
      <formula>29</formula>
    </cfRule>
    <cfRule type="cellIs" dxfId="353" priority="3" operator="greaterThan">
      <formula>29</formula>
    </cfRule>
  </conditionalFormatting>
  <hyperlinks>
    <hyperlink ref="J20" r:id="rId1" xr:uid="{ECE68E8F-D922-42EA-80D1-9243922034F8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C89C-E8D9-40F7-B631-E9A84FE34402}">
  <sheetPr codeName="Hoja4">
    <pageSetUpPr autoPageBreaks="0"/>
  </sheetPr>
  <dimension ref="A1:AB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243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35">
      <c r="A5" s="198" t="s">
        <v>39</v>
      </c>
      <c r="B5" s="87" t="s">
        <v>186</v>
      </c>
      <c r="C5" s="88" t="s">
        <v>128</v>
      </c>
      <c r="D5" s="114" t="s">
        <v>187</v>
      </c>
      <c r="E5" s="114" t="s">
        <v>46</v>
      </c>
      <c r="F5" s="114" t="s">
        <v>87</v>
      </c>
      <c r="G5" s="114">
        <v>0</v>
      </c>
      <c r="H5" s="114" t="s">
        <v>41</v>
      </c>
      <c r="I5" s="115">
        <v>0</v>
      </c>
      <c r="J5" s="26" t="s">
        <v>138</v>
      </c>
      <c r="K5" s="26">
        <v>0</v>
      </c>
      <c r="L5" s="49" t="s">
        <v>205</v>
      </c>
      <c r="M5" s="49" t="s">
        <v>206</v>
      </c>
      <c r="N5" s="116">
        <f>SUMPRODUCT(Tabla5235[[#This Row],[Paltas]:[Empanadas]],O$27:Z$27)</f>
        <v>28500</v>
      </c>
      <c r="O5" s="49">
        <v>3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2</v>
      </c>
      <c r="Y5" s="49">
        <v>0</v>
      </c>
      <c r="Z5" s="49">
        <v>0</v>
      </c>
      <c r="AA5" s="49">
        <f>SUM(Tabla5235[[#This Row],[Paltas]:[Empanadas]])</f>
        <v>5</v>
      </c>
      <c r="AB5" s="57"/>
    </row>
    <row r="6" spans="1:28" outlineLevel="1" x14ac:dyDescent="0.35">
      <c r="A6" s="199"/>
      <c r="B6" s="56" t="s">
        <v>66</v>
      </c>
      <c r="C6" s="47" t="s">
        <v>67</v>
      </c>
      <c r="D6" s="47" t="s">
        <v>68</v>
      </c>
      <c r="E6" s="47" t="s">
        <v>46</v>
      </c>
      <c r="F6" s="47" t="s">
        <v>44</v>
      </c>
      <c r="G6" s="47" t="s">
        <v>53</v>
      </c>
      <c r="H6" s="47" t="s">
        <v>41</v>
      </c>
      <c r="I6" s="53">
        <v>56967289638</v>
      </c>
      <c r="J6" s="27" t="s">
        <v>69</v>
      </c>
      <c r="K6" s="27" t="s">
        <v>54</v>
      </c>
      <c r="L6" s="52" t="s">
        <v>212</v>
      </c>
      <c r="M6" s="52" t="s">
        <v>206</v>
      </c>
      <c r="N6" s="47">
        <f>SUMPRODUCT(Tabla5235[[#This Row],[Paltas]:[Empanadas]],O$27:Z$27)</f>
        <v>22000</v>
      </c>
      <c r="O6" s="52">
        <v>1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1</v>
      </c>
      <c r="AA6" s="52">
        <f>SUM(Tabla5235[[#This Row],[Paltas]:[Empanadas]])</f>
        <v>2</v>
      </c>
      <c r="AB6" s="58"/>
    </row>
    <row r="7" spans="1:28" outlineLevel="1" x14ac:dyDescent="0.35">
      <c r="A7" s="199"/>
      <c r="B7" s="56" t="s">
        <v>207</v>
      </c>
      <c r="C7" s="47" t="s">
        <v>208</v>
      </c>
      <c r="D7" s="47" t="s">
        <v>209</v>
      </c>
      <c r="E7" s="47" t="s">
        <v>40</v>
      </c>
      <c r="F7" s="47" t="s">
        <v>75</v>
      </c>
      <c r="G7" s="47" t="s">
        <v>76</v>
      </c>
      <c r="H7" s="47" t="s">
        <v>41</v>
      </c>
      <c r="I7" s="53">
        <v>56966477967</v>
      </c>
      <c r="J7" s="27" t="s">
        <v>210</v>
      </c>
      <c r="K7" s="27" t="s">
        <v>54</v>
      </c>
      <c r="L7" s="52" t="s">
        <v>205</v>
      </c>
      <c r="M7" s="52" t="s">
        <v>206</v>
      </c>
      <c r="N7" s="47">
        <f>SUMPRODUCT(Tabla5235[[#This Row],[Paltas]:[Empanadas]],O$27:Z$27)</f>
        <v>9000</v>
      </c>
      <c r="O7" s="52">
        <v>0</v>
      </c>
      <c r="P7" s="52">
        <v>0</v>
      </c>
      <c r="Q7" s="52">
        <v>2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SUM(Tabla5235[[#This Row],[Paltas]:[Empanadas]])</f>
        <v>2</v>
      </c>
      <c r="AB7" s="58"/>
    </row>
    <row r="8" spans="1:28" outlineLevel="1" x14ac:dyDescent="0.35">
      <c r="A8" s="199"/>
      <c r="B8" s="50" t="s">
        <v>98</v>
      </c>
      <c r="C8" s="48" t="s">
        <v>99</v>
      </c>
      <c r="D8" s="59" t="s">
        <v>100</v>
      </c>
      <c r="E8" s="59" t="s">
        <v>40</v>
      </c>
      <c r="F8" s="59" t="s">
        <v>49</v>
      </c>
      <c r="G8" s="59" t="s">
        <v>76</v>
      </c>
      <c r="H8" s="59" t="s">
        <v>41</v>
      </c>
      <c r="I8" s="60">
        <v>56974397201</v>
      </c>
      <c r="J8" s="27" t="s">
        <v>101</v>
      </c>
      <c r="K8" s="27" t="s">
        <v>54</v>
      </c>
      <c r="L8" s="52" t="s">
        <v>205</v>
      </c>
      <c r="M8" s="52" t="s">
        <v>206</v>
      </c>
      <c r="N8" s="47">
        <f>SUMPRODUCT(Tabla5235[[#This Row],[Paltas]:[Empanadas]],O$27:Z$27)</f>
        <v>7500</v>
      </c>
      <c r="O8" s="52">
        <v>0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1</v>
      </c>
      <c r="Y8" s="52">
        <v>0</v>
      </c>
      <c r="Z8" s="52">
        <v>0</v>
      </c>
      <c r="AA8" s="52">
        <f>SUM(Tabla5235[[#This Row],[Paltas]:[Empanadas]])</f>
        <v>1</v>
      </c>
      <c r="AB8" s="58"/>
    </row>
    <row r="9" spans="1:28" outlineLevel="1" x14ac:dyDescent="0.35">
      <c r="A9" s="199"/>
      <c r="B9" s="50" t="s">
        <v>85</v>
      </c>
      <c r="C9" s="48" t="s">
        <v>83</v>
      </c>
      <c r="D9" s="59" t="s">
        <v>84</v>
      </c>
      <c r="E9" s="59" t="s">
        <v>40</v>
      </c>
      <c r="F9" s="59" t="s">
        <v>49</v>
      </c>
      <c r="G9" s="59" t="s">
        <v>76</v>
      </c>
      <c r="H9" s="59" t="s">
        <v>41</v>
      </c>
      <c r="I9" s="60">
        <v>56982328251</v>
      </c>
      <c r="J9" s="27" t="s">
        <v>86</v>
      </c>
      <c r="K9" s="27" t="s">
        <v>54</v>
      </c>
      <c r="L9" s="52" t="s">
        <v>205</v>
      </c>
      <c r="M9" s="52" t="s">
        <v>206</v>
      </c>
      <c r="N9" s="70">
        <f>SUMPRODUCT(Tabla5235[[#This Row],[Paltas]:[Empanadas]],O$27:Z$27)</f>
        <v>225500</v>
      </c>
      <c r="O9" s="52">
        <v>8</v>
      </c>
      <c r="P9" s="52">
        <v>1</v>
      </c>
      <c r="Q9" s="52">
        <v>2</v>
      </c>
      <c r="R9" s="52">
        <v>0</v>
      </c>
      <c r="S9" s="52">
        <v>3</v>
      </c>
      <c r="T9" s="52">
        <v>1</v>
      </c>
      <c r="U9" s="52">
        <v>2</v>
      </c>
      <c r="V9" s="52">
        <v>10</v>
      </c>
      <c r="W9" s="52">
        <v>3</v>
      </c>
      <c r="X9" s="52">
        <v>5</v>
      </c>
      <c r="Y9" s="52">
        <v>0</v>
      </c>
      <c r="Z9" s="52">
        <v>0</v>
      </c>
      <c r="AA9" s="52">
        <f>SUM(Tabla5235[[#This Row],[Paltas]:[Empanadas]])</f>
        <v>35</v>
      </c>
      <c r="AB9" s="58"/>
    </row>
    <row r="10" spans="1:28" outlineLevel="1" x14ac:dyDescent="0.35">
      <c r="A10" s="199"/>
      <c r="B10" s="56" t="s">
        <v>176</v>
      </c>
      <c r="C10" s="47" t="s">
        <v>177</v>
      </c>
      <c r="D10" s="47" t="s">
        <v>178</v>
      </c>
      <c r="E10" s="47" t="s">
        <v>46</v>
      </c>
      <c r="F10" s="47" t="s">
        <v>87</v>
      </c>
      <c r="G10" s="47" t="s">
        <v>45</v>
      </c>
      <c r="H10" s="47" t="s">
        <v>41</v>
      </c>
      <c r="I10" s="53">
        <v>56963061299</v>
      </c>
      <c r="J10" s="27" t="s">
        <v>179</v>
      </c>
      <c r="K10" s="27" t="s">
        <v>42</v>
      </c>
      <c r="L10" s="52" t="s">
        <v>205</v>
      </c>
      <c r="M10" s="52" t="s">
        <v>206</v>
      </c>
      <c r="N10" s="47">
        <f>SUMPRODUCT(Tabla5235[[#This Row],[Paltas]:[Empanadas]],O$27:Z$27)</f>
        <v>33000</v>
      </c>
      <c r="O10" s="52">
        <v>1</v>
      </c>
      <c r="P10" s="52">
        <v>1</v>
      </c>
      <c r="Q10" s="52">
        <v>2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</v>
      </c>
      <c r="Y10" s="52">
        <v>1</v>
      </c>
      <c r="Z10" s="52">
        <v>0</v>
      </c>
      <c r="AA10" s="52">
        <f>SUM(Tabla5235[[#This Row],[Paltas]:[Empanadas]])</f>
        <v>6</v>
      </c>
      <c r="AB10" s="58"/>
    </row>
    <row r="11" spans="1:28" outlineLevel="1" x14ac:dyDescent="0.35">
      <c r="A11" s="199"/>
      <c r="B11" s="56" t="s">
        <v>90</v>
      </c>
      <c r="C11" s="47" t="s">
        <v>52</v>
      </c>
      <c r="D11" s="47" t="s">
        <v>91</v>
      </c>
      <c r="E11" s="47" t="s">
        <v>43</v>
      </c>
      <c r="F11" s="47" t="s">
        <v>47</v>
      </c>
      <c r="G11" s="47" t="s">
        <v>88</v>
      </c>
      <c r="H11" s="47" t="s">
        <v>41</v>
      </c>
      <c r="I11" s="53">
        <v>56982978895</v>
      </c>
      <c r="J11" s="27" t="s">
        <v>92</v>
      </c>
      <c r="K11" s="27" t="s">
        <v>48</v>
      </c>
      <c r="L11" s="52" t="s">
        <v>205</v>
      </c>
      <c r="M11" s="52" t="s">
        <v>206</v>
      </c>
      <c r="N11" s="47">
        <f>SUMPRODUCT(Tabla5235[[#This Row],[Paltas]:[Empanadas]],O$27:Z$27)</f>
        <v>38500</v>
      </c>
      <c r="O11" s="52">
        <v>0</v>
      </c>
      <c r="P11" s="52">
        <v>1</v>
      </c>
      <c r="Q11" s="52">
        <v>2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1</v>
      </c>
      <c r="AA11" s="52">
        <f>SUM(Tabla5235[[#This Row],[Paltas]:[Empanadas]])</f>
        <v>5</v>
      </c>
      <c r="AB11" s="58"/>
    </row>
    <row r="12" spans="1:28" outlineLevel="1" x14ac:dyDescent="0.35">
      <c r="A12" s="199"/>
      <c r="B12" s="50" t="s">
        <v>150</v>
      </c>
      <c r="C12" s="48" t="s">
        <v>201</v>
      </c>
      <c r="D12" s="59" t="s">
        <v>202</v>
      </c>
      <c r="E12" s="59" t="s">
        <v>40</v>
      </c>
      <c r="F12" s="59" t="s">
        <v>49</v>
      </c>
      <c r="G12" s="59" t="s">
        <v>113</v>
      </c>
      <c r="H12" s="59" t="s">
        <v>41</v>
      </c>
      <c r="I12" s="60">
        <v>56976994719</v>
      </c>
      <c r="J12" s="27" t="s">
        <v>203</v>
      </c>
      <c r="K12" s="27" t="s">
        <v>48</v>
      </c>
      <c r="L12" s="52" t="s">
        <v>205</v>
      </c>
      <c r="M12" s="52" t="s">
        <v>206</v>
      </c>
      <c r="N12" s="70">
        <f>SUMPRODUCT(Tabla5235[[#This Row],[Paltas]:[Empanadas]],O$27:Z$27)</f>
        <v>24000</v>
      </c>
      <c r="O12" s="52">
        <v>1</v>
      </c>
      <c r="P12" s="52">
        <v>1</v>
      </c>
      <c r="Q12" s="52">
        <v>0</v>
      </c>
      <c r="R12" s="52">
        <v>1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1</v>
      </c>
      <c r="Y12" s="52">
        <v>0</v>
      </c>
      <c r="Z12" s="52">
        <v>0</v>
      </c>
      <c r="AA12" s="52">
        <f>SUM(Tabla5235[[#This Row],[Paltas]:[Empanadas]])</f>
        <v>4</v>
      </c>
      <c r="AB12" s="58"/>
    </row>
    <row r="13" spans="1:28" outlineLevel="1" x14ac:dyDescent="0.35">
      <c r="A13" s="199"/>
      <c r="B13" s="56" t="s">
        <v>59</v>
      </c>
      <c r="C13" s="47" t="s">
        <v>72</v>
      </c>
      <c r="D13" s="47" t="s">
        <v>73</v>
      </c>
      <c r="E13" s="47" t="s">
        <v>40</v>
      </c>
      <c r="F13" s="47" t="s">
        <v>49</v>
      </c>
      <c r="G13" s="47" t="s">
        <v>53</v>
      </c>
      <c r="H13" s="47" t="s">
        <v>41</v>
      </c>
      <c r="I13" s="53">
        <v>56975684552</v>
      </c>
      <c r="J13" s="27" t="s">
        <v>74</v>
      </c>
      <c r="K13" s="27" t="s">
        <v>48</v>
      </c>
      <c r="L13" s="52" t="s">
        <v>212</v>
      </c>
      <c r="M13" s="52" t="s">
        <v>206</v>
      </c>
      <c r="N13" s="47">
        <f>SUMPRODUCT(Tabla5235[[#This Row],[Paltas]:[Empanadas]],O$27:Z$27)</f>
        <v>19500</v>
      </c>
      <c r="O13" s="52">
        <v>0</v>
      </c>
      <c r="P13" s="52">
        <v>0</v>
      </c>
      <c r="Q13" s="52">
        <v>1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0</v>
      </c>
      <c r="Z13" s="52">
        <v>0</v>
      </c>
      <c r="AA13" s="52">
        <f>SUM(Tabla5235[[#This Row],[Paltas]:[Empanadas]])</f>
        <v>3</v>
      </c>
      <c r="AB13" s="58"/>
    </row>
    <row r="14" spans="1:28" outlineLevel="1" x14ac:dyDescent="0.35">
      <c r="A14" s="199"/>
      <c r="B14" s="56" t="s">
        <v>55</v>
      </c>
      <c r="C14" s="47" t="s">
        <v>56</v>
      </c>
      <c r="D14" s="47" t="s">
        <v>57</v>
      </c>
      <c r="E14" s="47" t="s">
        <v>40</v>
      </c>
      <c r="F14" s="47" t="s">
        <v>49</v>
      </c>
      <c r="G14" s="47" t="s">
        <v>45</v>
      </c>
      <c r="H14" s="47" t="s">
        <v>41</v>
      </c>
      <c r="I14" s="53">
        <v>56967898535</v>
      </c>
      <c r="J14" s="27" t="s">
        <v>58</v>
      </c>
      <c r="K14" s="27" t="s">
        <v>54</v>
      </c>
      <c r="L14" s="52" t="s">
        <v>212</v>
      </c>
      <c r="M14" s="52" t="s">
        <v>205</v>
      </c>
      <c r="N14" s="47">
        <f>SUMPRODUCT(Tabla5235[[#This Row],[Paltas]:[Empanadas]],O$27:Z$27)</f>
        <v>21000</v>
      </c>
      <c r="O14" s="52">
        <v>2</v>
      </c>
      <c r="P14" s="52">
        <v>0</v>
      </c>
      <c r="Q14" s="52">
        <v>0</v>
      </c>
      <c r="R14" s="52">
        <v>1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1</v>
      </c>
      <c r="Y14" s="52">
        <v>0</v>
      </c>
      <c r="Z14" s="52">
        <v>0</v>
      </c>
      <c r="AA14" s="52">
        <f>SUM(Tabla5235[[#This Row],[Paltas]:[Empanadas]])</f>
        <v>4</v>
      </c>
      <c r="AB14" s="58"/>
    </row>
    <row r="15" spans="1:28" outlineLevel="1" x14ac:dyDescent="0.35">
      <c r="A15" s="199"/>
      <c r="B15" s="50" t="s">
        <v>94</v>
      </c>
      <c r="C15" s="48" t="s">
        <v>50</v>
      </c>
      <c r="D15" s="59" t="s">
        <v>95</v>
      </c>
      <c r="E15" s="59" t="s">
        <v>40</v>
      </c>
      <c r="F15" s="59" t="s">
        <v>49</v>
      </c>
      <c r="G15" s="59" t="s">
        <v>51</v>
      </c>
      <c r="H15" s="59" t="s">
        <v>41</v>
      </c>
      <c r="I15" s="60">
        <v>56966640363</v>
      </c>
      <c r="J15" s="27" t="s">
        <v>96</v>
      </c>
      <c r="K15" s="27" t="s">
        <v>48</v>
      </c>
      <c r="L15" s="52" t="s">
        <v>205</v>
      </c>
      <c r="M15" s="52" t="s">
        <v>205</v>
      </c>
      <c r="N15" s="70">
        <f>SUMPRODUCT(Tabla5235[[#This Row],[Paltas]:[Empanadas]],O$27:Z$27)</f>
        <v>19500</v>
      </c>
      <c r="O15" s="52">
        <v>0</v>
      </c>
      <c r="P15" s="52">
        <v>0</v>
      </c>
      <c r="Q15" s="52">
        <v>0</v>
      </c>
      <c r="R15" s="52">
        <v>1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2</v>
      </c>
      <c r="Y15" s="52">
        <v>0</v>
      </c>
      <c r="Z15" s="52">
        <v>0</v>
      </c>
      <c r="AA15" s="52">
        <f>SUM(Tabla5235[[#This Row],[Paltas]:[Empanadas]])</f>
        <v>3</v>
      </c>
      <c r="AB15" s="58"/>
    </row>
    <row r="16" spans="1:28" outlineLevel="1" x14ac:dyDescent="0.35">
      <c r="A16" s="199"/>
      <c r="B16" s="50" t="s">
        <v>159</v>
      </c>
      <c r="C16" s="48" t="s">
        <v>162</v>
      </c>
      <c r="D16" s="59" t="s">
        <v>163</v>
      </c>
      <c r="E16" s="59" t="s">
        <v>135</v>
      </c>
      <c r="F16" s="59" t="s">
        <v>151</v>
      </c>
      <c r="G16" s="59" t="s">
        <v>45</v>
      </c>
      <c r="H16" s="59" t="s">
        <v>41</v>
      </c>
      <c r="I16" s="60">
        <v>56979312762</v>
      </c>
      <c r="J16" s="27" t="s">
        <v>164</v>
      </c>
      <c r="K16" s="27" t="s">
        <v>48</v>
      </c>
      <c r="L16" s="52" t="s">
        <v>205</v>
      </c>
      <c r="M16" s="52" t="s">
        <v>205</v>
      </c>
      <c r="N16" s="70">
        <f>SUMPRODUCT(Tabla5235[[#This Row],[Paltas]:[Empanadas]],O$27:Z$27)</f>
        <v>330500</v>
      </c>
      <c r="O16" s="52">
        <v>2</v>
      </c>
      <c r="P16" s="52">
        <v>5</v>
      </c>
      <c r="Q16" s="52">
        <v>1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f>11+7</f>
        <v>18</v>
      </c>
      <c r="Y16" s="52">
        <v>1</v>
      </c>
      <c r="Z16" s="52">
        <f>6+2</f>
        <v>8</v>
      </c>
      <c r="AA16" s="52">
        <f>SUM(Tabla5235[[#This Row],[Paltas]:[Empanadas]])</f>
        <v>35</v>
      </c>
      <c r="AB16" s="58"/>
    </row>
    <row r="17" spans="1:28" outlineLevel="1" x14ac:dyDescent="0.35">
      <c r="A17" s="18"/>
      <c r="B17" s="109" t="s">
        <v>114</v>
      </c>
      <c r="C17" s="110" t="s">
        <v>185</v>
      </c>
      <c r="D17" s="111" t="s">
        <v>204</v>
      </c>
      <c r="E17" s="111" t="s">
        <v>46</v>
      </c>
      <c r="F17" s="111" t="s">
        <v>87</v>
      </c>
      <c r="G17" s="111" t="s">
        <v>110</v>
      </c>
      <c r="H17" s="111" t="s">
        <v>41</v>
      </c>
      <c r="I17" s="112">
        <v>0</v>
      </c>
      <c r="J17" s="82" t="s">
        <v>211</v>
      </c>
      <c r="K17" s="82" t="s">
        <v>48</v>
      </c>
      <c r="L17" s="83" t="s">
        <v>205</v>
      </c>
      <c r="M17" s="83" t="s">
        <v>205</v>
      </c>
      <c r="N17" s="70">
        <f>SUMPRODUCT(Tabla5235[[#This Row],[Paltas]:[Empanadas]],O$27:Z$27)</f>
        <v>4500</v>
      </c>
      <c r="O17" s="83">
        <v>1</v>
      </c>
      <c r="P17" s="83">
        <v>0</v>
      </c>
      <c r="Q17" s="83">
        <v>0</v>
      </c>
      <c r="R17" s="83">
        <v>0</v>
      </c>
      <c r="S17" s="83">
        <v>0</v>
      </c>
      <c r="T17" s="83">
        <v>0</v>
      </c>
      <c r="U17" s="83">
        <v>0</v>
      </c>
      <c r="V17" s="83">
        <v>0</v>
      </c>
      <c r="W17" s="83">
        <v>0</v>
      </c>
      <c r="X17" s="83">
        <v>0</v>
      </c>
      <c r="Y17" s="83">
        <v>0</v>
      </c>
      <c r="Z17" s="83">
        <v>0</v>
      </c>
      <c r="AA17" s="83">
        <f>SUM(Tabla5235[[#This Row],[Paltas]:[Empanadas]])</f>
        <v>1</v>
      </c>
      <c r="AB17" s="84"/>
    </row>
    <row r="18" spans="1:28" outlineLevel="1" x14ac:dyDescent="0.35">
      <c r="A18" s="18"/>
      <c r="B18" s="19"/>
      <c r="C18" s="19"/>
      <c r="D18" s="19"/>
      <c r="E18" s="19"/>
      <c r="F18" s="19"/>
      <c r="G18" s="19"/>
      <c r="H18" s="19"/>
      <c r="I18" s="32"/>
      <c r="J18" s="31"/>
      <c r="K18" s="3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8" ht="15" thickBot="1" x14ac:dyDescent="0.4"/>
    <row r="20" spans="1:28" ht="14.65" customHeight="1" thickBot="1" x14ac:dyDescent="0.4">
      <c r="A20" s="165" t="s">
        <v>20</v>
      </c>
      <c r="B20" s="156" t="s">
        <v>7</v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8"/>
      <c r="N20" s="105" t="s">
        <v>9</v>
      </c>
      <c r="O20" s="49">
        <f>SUM(Tabla5235[Paltas])</f>
        <v>19</v>
      </c>
      <c r="P20" s="49">
        <f>SUM(Tabla5235[Quesos])</f>
        <v>9</v>
      </c>
      <c r="Q20" s="49">
        <f>SUM(Tabla5235[Frutillas])</f>
        <v>10</v>
      </c>
      <c r="R20" s="49">
        <f>SUM(Tabla5235[Tomate Cherry])</f>
        <v>4</v>
      </c>
      <c r="S20" s="49">
        <f>SUM(Tabla5235[Nueces])</f>
        <v>3</v>
      </c>
      <c r="T20" s="49">
        <f>SUM(Tabla5235[Mani Sal])</f>
        <v>1</v>
      </c>
      <c r="U20" s="49">
        <f>SUM(Tabla5235[Pistachos])</f>
        <v>2</v>
      </c>
      <c r="V20" s="49">
        <f>SUM(Tabla5235[Caju])</f>
        <v>10</v>
      </c>
      <c r="W20" s="49">
        <f>SUM(Tabla5235[Almendras])</f>
        <v>3</v>
      </c>
      <c r="X20" s="49">
        <f>SUM(Tabla5235[Cerezas])</f>
        <v>33</v>
      </c>
      <c r="Y20" s="49">
        <f>SUM(Tabla5235[Arandanos])</f>
        <v>2</v>
      </c>
      <c r="Z20" s="4">
        <f>SUM(Tabla5235[Empanadas])</f>
        <v>10</v>
      </c>
    </row>
    <row r="21" spans="1:28" ht="14.65" customHeight="1" thickBot="1" x14ac:dyDescent="0.4">
      <c r="A21" s="166"/>
      <c r="B21" s="174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6"/>
      <c r="N21" s="105" t="s">
        <v>28</v>
      </c>
      <c r="O21" s="52">
        <v>2</v>
      </c>
      <c r="P21" s="37">
        <v>1</v>
      </c>
      <c r="Q21" s="37">
        <v>2</v>
      </c>
      <c r="R21" s="52">
        <v>1</v>
      </c>
      <c r="S21" s="73">
        <v>0.5</v>
      </c>
      <c r="T21" s="73">
        <v>1</v>
      </c>
      <c r="U21" s="73">
        <v>0.5</v>
      </c>
      <c r="V21" s="73">
        <v>0.4</v>
      </c>
      <c r="W21" s="73">
        <v>0.5</v>
      </c>
      <c r="X21" s="73">
        <v>5</v>
      </c>
      <c r="Y21" s="73">
        <v>0.5</v>
      </c>
      <c r="Z21" s="38">
        <v>12</v>
      </c>
    </row>
    <row r="22" spans="1:28" ht="14.65" customHeight="1" thickBot="1" x14ac:dyDescent="0.4">
      <c r="A22" s="166"/>
      <c r="B22" s="174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6"/>
      <c r="N22" s="105" t="s">
        <v>8</v>
      </c>
      <c r="O22" s="52">
        <f t="shared" ref="O22:Z22" si="0">O21*O20</f>
        <v>38</v>
      </c>
      <c r="P22" s="52">
        <f t="shared" si="0"/>
        <v>9</v>
      </c>
      <c r="Q22" s="52">
        <f>Q21*Q20</f>
        <v>20</v>
      </c>
      <c r="R22" s="52">
        <f t="shared" si="0"/>
        <v>4</v>
      </c>
      <c r="S22" s="52">
        <f t="shared" si="0"/>
        <v>1.5</v>
      </c>
      <c r="T22" s="52">
        <f t="shared" si="0"/>
        <v>1</v>
      </c>
      <c r="U22" s="52">
        <f t="shared" si="0"/>
        <v>1</v>
      </c>
      <c r="V22" s="52">
        <f t="shared" si="0"/>
        <v>4</v>
      </c>
      <c r="W22" s="52">
        <f t="shared" si="0"/>
        <v>1.5</v>
      </c>
      <c r="X22" s="52">
        <f t="shared" si="0"/>
        <v>165</v>
      </c>
      <c r="Y22" s="52">
        <f t="shared" si="0"/>
        <v>1</v>
      </c>
      <c r="Z22" s="11">
        <f t="shared" si="0"/>
        <v>120</v>
      </c>
    </row>
    <row r="23" spans="1:28" ht="15" thickBot="1" x14ac:dyDescent="0.4">
      <c r="A23" s="166"/>
      <c r="B23" s="159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1"/>
      <c r="N23" s="105" t="s">
        <v>10</v>
      </c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2"/>
    </row>
    <row r="24" spans="1:28" ht="15" thickBot="1" x14ac:dyDescent="0.4">
      <c r="A24" s="166"/>
      <c r="B24" s="107"/>
      <c r="C24" s="19"/>
      <c r="D24" s="23"/>
      <c r="E24" s="24"/>
      <c r="F24" s="24"/>
      <c r="G24" s="24"/>
      <c r="H24" s="24"/>
      <c r="I24" s="24"/>
      <c r="J24" s="24"/>
      <c r="K24" s="25"/>
      <c r="N24" s="3"/>
    </row>
    <row r="25" spans="1:28" ht="15" thickBot="1" x14ac:dyDescent="0.4">
      <c r="A25" s="166"/>
      <c r="B25" s="156" t="s">
        <v>12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05" t="s">
        <v>13</v>
      </c>
      <c r="O25" s="51">
        <f t="shared" ref="O25:Z25" si="1">O26*O21</f>
        <v>3100</v>
      </c>
      <c r="P25" s="51">
        <f t="shared" si="1"/>
        <v>6716</v>
      </c>
      <c r="Q25" s="51">
        <f>Q26*Q21</f>
        <v>2600</v>
      </c>
      <c r="R25" s="51">
        <f t="shared" si="1"/>
        <v>2300</v>
      </c>
      <c r="S25" s="51">
        <f t="shared" si="1"/>
        <v>3750</v>
      </c>
      <c r="T25" s="51">
        <f t="shared" si="1"/>
        <v>3500</v>
      </c>
      <c r="U25" s="51">
        <f t="shared" si="1"/>
        <v>7050</v>
      </c>
      <c r="V25" s="51">
        <f t="shared" si="1"/>
        <v>5320</v>
      </c>
      <c r="W25" s="51">
        <f t="shared" si="1"/>
        <v>5350</v>
      </c>
      <c r="X25" s="51">
        <f t="shared" si="1"/>
        <v>6000</v>
      </c>
      <c r="Y25" s="51">
        <f t="shared" si="1"/>
        <v>600</v>
      </c>
      <c r="Z25" s="15">
        <f t="shared" si="1"/>
        <v>12000</v>
      </c>
    </row>
    <row r="26" spans="1:28" ht="15" thickBot="1" x14ac:dyDescent="0.4">
      <c r="A26" s="166"/>
      <c r="B26" s="174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6"/>
      <c r="N26" s="105" t="s">
        <v>8</v>
      </c>
      <c r="O26" s="76">
        <v>1550</v>
      </c>
      <c r="P26" s="76">
        <v>6716</v>
      </c>
      <c r="Q26" s="76">
        <v>1300</v>
      </c>
      <c r="R26" s="76">
        <v>2300</v>
      </c>
      <c r="S26" s="76">
        <v>7500</v>
      </c>
      <c r="T26" s="76">
        <v>3500</v>
      </c>
      <c r="U26" s="76">
        <v>14100</v>
      </c>
      <c r="V26" s="76">
        <v>13300</v>
      </c>
      <c r="W26" s="76">
        <v>10700</v>
      </c>
      <c r="X26" s="76">
        <f>6000/5</f>
        <v>1200</v>
      </c>
      <c r="Y26" s="76">
        <f>6000/5</f>
        <v>1200</v>
      </c>
      <c r="Z26" s="80">
        <v>1000</v>
      </c>
    </row>
    <row r="27" spans="1:28" ht="15" thickBot="1" x14ac:dyDescent="0.4">
      <c r="A27" s="166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105" t="s">
        <v>14</v>
      </c>
      <c r="O27" s="79">
        <v>4500</v>
      </c>
      <c r="P27" s="79">
        <v>7500</v>
      </c>
      <c r="Q27" s="79">
        <v>4500</v>
      </c>
      <c r="R27" s="79">
        <v>4500</v>
      </c>
      <c r="S27" s="79">
        <v>5500</v>
      </c>
      <c r="T27" s="79">
        <v>4500</v>
      </c>
      <c r="U27" s="79">
        <v>8500</v>
      </c>
      <c r="V27" s="79">
        <v>7500</v>
      </c>
      <c r="W27" s="79">
        <v>7500</v>
      </c>
      <c r="X27" s="79">
        <v>7500</v>
      </c>
      <c r="Y27" s="79">
        <v>4500</v>
      </c>
      <c r="Z27" s="81">
        <v>17500</v>
      </c>
    </row>
    <row r="28" spans="1:28" ht="15" thickBot="1" x14ac:dyDescent="0.4">
      <c r="A28" s="166"/>
      <c r="B28" s="107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4.65" customHeight="1" thickBot="1" x14ac:dyDescent="0.4">
      <c r="A29" s="166"/>
      <c r="B29" s="156" t="s">
        <v>15</v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8"/>
      <c r="N29" s="105" t="s">
        <v>19</v>
      </c>
      <c r="O29" s="88">
        <f t="shared" ref="O29:Z29" si="2">O20*O25</f>
        <v>58900</v>
      </c>
      <c r="P29" s="89">
        <f t="shared" si="2"/>
        <v>60444</v>
      </c>
      <c r="Q29" s="89">
        <f t="shared" si="2"/>
        <v>26000</v>
      </c>
      <c r="R29" s="88">
        <f>R20*R25</f>
        <v>9200</v>
      </c>
      <c r="S29" s="88">
        <f t="shared" si="2"/>
        <v>11250</v>
      </c>
      <c r="T29" s="88">
        <f t="shared" si="2"/>
        <v>3500</v>
      </c>
      <c r="U29" s="88">
        <f t="shared" si="2"/>
        <v>14100</v>
      </c>
      <c r="V29" s="88">
        <f t="shared" si="2"/>
        <v>53200</v>
      </c>
      <c r="W29" s="88">
        <f t="shared" si="2"/>
        <v>16050</v>
      </c>
      <c r="X29" s="88">
        <f t="shared" si="2"/>
        <v>198000</v>
      </c>
      <c r="Y29" s="88">
        <f t="shared" si="2"/>
        <v>1200</v>
      </c>
      <c r="Z29" s="90">
        <f t="shared" si="2"/>
        <v>120000</v>
      </c>
    </row>
    <row r="30" spans="1:28" ht="15" thickBot="1" x14ac:dyDescent="0.4">
      <c r="A30" s="166"/>
      <c r="B30" s="159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1"/>
      <c r="N30" s="105" t="s">
        <v>16</v>
      </c>
      <c r="O30" s="154">
        <f>SUM(O29:Z29)</f>
        <v>571844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5"/>
    </row>
    <row r="31" spans="1:28" ht="15" thickBot="1" x14ac:dyDescent="0.4">
      <c r="A31" s="166"/>
      <c r="B31" s="156" t="s">
        <v>17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105" t="s">
        <v>19</v>
      </c>
      <c r="O31" s="48">
        <f t="shared" ref="O31:Z31" si="3">O27*O20</f>
        <v>85500</v>
      </c>
      <c r="P31" s="48">
        <f t="shared" si="3"/>
        <v>67500</v>
      </c>
      <c r="Q31" s="48">
        <f t="shared" si="3"/>
        <v>45000</v>
      </c>
      <c r="R31" s="48">
        <f t="shared" si="3"/>
        <v>18000</v>
      </c>
      <c r="S31" s="48">
        <f t="shared" si="3"/>
        <v>16500</v>
      </c>
      <c r="T31" s="48">
        <f t="shared" si="3"/>
        <v>4500</v>
      </c>
      <c r="U31" s="48">
        <f t="shared" si="3"/>
        <v>17000</v>
      </c>
      <c r="V31" s="48">
        <f t="shared" si="3"/>
        <v>75000</v>
      </c>
      <c r="W31" s="48">
        <f t="shared" si="3"/>
        <v>22500</v>
      </c>
      <c r="X31" s="48">
        <f t="shared" si="3"/>
        <v>247500</v>
      </c>
      <c r="Y31" s="48">
        <f t="shared" si="3"/>
        <v>9000</v>
      </c>
      <c r="Z31" s="91">
        <f t="shared" si="3"/>
        <v>175000</v>
      </c>
    </row>
    <row r="32" spans="1:28" ht="15" thickBot="1" x14ac:dyDescent="0.4">
      <c r="A32" s="166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05" t="s">
        <v>16</v>
      </c>
      <c r="O32" s="201">
        <f>SUM(O31:Z31)</f>
        <v>783000</v>
      </c>
      <c r="P32" s="202"/>
      <c r="Q32" s="202"/>
      <c r="R32" s="202"/>
      <c r="S32" s="202"/>
      <c r="T32" s="202"/>
      <c r="U32" s="202"/>
      <c r="V32" s="202"/>
      <c r="W32" s="202"/>
      <c r="X32" s="202"/>
      <c r="Y32" s="202"/>
      <c r="Z32" s="203"/>
    </row>
    <row r="33" spans="1:26" ht="14.65" customHeight="1" thickBot="1" x14ac:dyDescent="0.4">
      <c r="A33" s="166"/>
      <c r="B33" s="156" t="s">
        <v>18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8"/>
      <c r="N33" s="105" t="s">
        <v>19</v>
      </c>
      <c r="O33" s="48">
        <f t="shared" ref="O33:Y33" si="4">O31-O29</f>
        <v>26600</v>
      </c>
      <c r="P33" s="48">
        <f t="shared" si="4"/>
        <v>7056</v>
      </c>
      <c r="Q33" s="48">
        <f t="shared" si="4"/>
        <v>19000</v>
      </c>
      <c r="R33" s="48">
        <f t="shared" si="4"/>
        <v>8800</v>
      </c>
      <c r="S33" s="48">
        <f t="shared" si="4"/>
        <v>5250</v>
      </c>
      <c r="T33" s="48">
        <f t="shared" si="4"/>
        <v>1000</v>
      </c>
      <c r="U33" s="48">
        <f t="shared" si="4"/>
        <v>2900</v>
      </c>
      <c r="V33" s="48">
        <f t="shared" si="4"/>
        <v>21800</v>
      </c>
      <c r="W33" s="48">
        <f t="shared" si="4"/>
        <v>6450</v>
      </c>
      <c r="X33" s="48">
        <f t="shared" si="4"/>
        <v>49500</v>
      </c>
      <c r="Y33" s="48">
        <f t="shared" si="4"/>
        <v>7800</v>
      </c>
      <c r="Z33" s="91">
        <f>Z31-Z29</f>
        <v>55000</v>
      </c>
    </row>
    <row r="34" spans="1:26" ht="29.65" customHeight="1" thickBot="1" x14ac:dyDescent="0.4">
      <c r="A34" s="166"/>
      <c r="B34" s="159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05" t="s">
        <v>29</v>
      </c>
      <c r="O34" s="151">
        <f>O32-O30</f>
        <v>211156</v>
      </c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2"/>
    </row>
    <row r="35" spans="1:26" ht="15" thickBot="1" x14ac:dyDescent="0.4">
      <c r="A35" s="166"/>
    </row>
    <row r="36" spans="1:26" ht="14.65" customHeight="1" thickBot="1" x14ac:dyDescent="0.4">
      <c r="A36" s="166"/>
      <c r="B36" s="177" t="s">
        <v>25</v>
      </c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9"/>
      <c r="O36" s="106"/>
      <c r="P36" s="29" t="s">
        <v>27</v>
      </c>
      <c r="Q36" s="61"/>
      <c r="R36" s="5"/>
      <c r="S36" s="5"/>
      <c r="T36" s="5"/>
      <c r="U36" s="5"/>
      <c r="V36" s="5"/>
      <c r="W36" s="5"/>
      <c r="X36" s="5"/>
      <c r="Y36" s="5"/>
      <c r="Z36" s="5"/>
    </row>
    <row r="37" spans="1:26" ht="15" customHeight="1" x14ac:dyDescent="0.35">
      <c r="A37" s="166"/>
      <c r="B37" s="180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2"/>
      <c r="O37" s="117"/>
      <c r="P37" s="33"/>
      <c r="Q37" s="62"/>
      <c r="R37" s="6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35">
      <c r="A38" s="166"/>
      <c r="B38" s="180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2"/>
      <c r="O38" s="118"/>
      <c r="P38" s="34"/>
      <c r="Q38" s="62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35">
      <c r="A39" s="166"/>
      <c r="B39" s="180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  <c r="O39" s="118"/>
      <c r="P39" s="34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35">
      <c r="A40" s="166"/>
      <c r="B40" s="180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  <c r="O40" s="118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35">
      <c r="A41" s="166"/>
      <c r="B41" s="180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  <c r="O41" s="118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18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thickBot="1" x14ac:dyDescent="0.4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19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customHeight="1" thickBot="1" x14ac:dyDescent="0.4">
      <c r="A44" s="166"/>
      <c r="B44" s="183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5"/>
      <c r="O44" s="106"/>
      <c r="P44" s="35">
        <f>SUM(P37:P43)</f>
        <v>0</v>
      </c>
      <c r="Q44" s="63"/>
      <c r="R44" s="6"/>
      <c r="S44" s="6"/>
      <c r="T44" s="6"/>
      <c r="U44" s="6"/>
      <c r="V44" s="6"/>
      <c r="W44" s="6"/>
      <c r="X44" s="6"/>
      <c r="Y44" s="6"/>
      <c r="Z44" s="6"/>
    </row>
    <row r="45" spans="1:26" ht="15" thickBot="1" x14ac:dyDescent="0.4">
      <c r="A45" s="166"/>
    </row>
    <row r="46" spans="1:26" ht="51.75" customHeight="1" thickBot="1" x14ac:dyDescent="0.4">
      <c r="A46" s="167"/>
      <c r="B46" s="168" t="s">
        <v>18</v>
      </c>
      <c r="C46" s="169"/>
      <c r="D46" s="169"/>
      <c r="E46" s="169"/>
      <c r="F46" s="169"/>
      <c r="G46" s="169"/>
      <c r="H46" s="169"/>
      <c r="I46" s="169"/>
      <c r="J46" s="169"/>
      <c r="K46" s="169"/>
      <c r="L46" s="170"/>
      <c r="M46" s="105"/>
      <c r="N46" s="104" t="s">
        <v>16</v>
      </c>
      <c r="O46" s="172"/>
      <c r="P46" s="172"/>
      <c r="Q46" s="172"/>
      <c r="R46" s="172"/>
      <c r="S46" s="173"/>
      <c r="T46" s="72"/>
      <c r="U46" s="72"/>
      <c r="V46" s="72"/>
      <c r="W46" s="72"/>
      <c r="X46" s="72"/>
      <c r="Y46" s="72"/>
      <c r="Z46" s="72"/>
    </row>
    <row r="47" spans="1:26" ht="15.75" customHeight="1" x14ac:dyDescent="0.35">
      <c r="A47" s="30"/>
      <c r="O47" s="28"/>
      <c r="P47" s="28"/>
      <c r="Q47" s="28"/>
      <c r="S47" s="108"/>
      <c r="T47" s="108"/>
      <c r="U47" s="108"/>
      <c r="V47" s="108"/>
      <c r="W47" s="108"/>
      <c r="X47" s="108"/>
      <c r="Y47" s="108"/>
      <c r="Z47" s="108"/>
    </row>
    <row r="48" spans="1:26" ht="15" customHeight="1" x14ac:dyDescent="0.35">
      <c r="A48" s="30"/>
      <c r="O48" s="28"/>
      <c r="P48" s="28"/>
      <c r="Q48" s="28"/>
      <c r="S48" s="7"/>
      <c r="T48" s="7"/>
      <c r="U48" s="7"/>
      <c r="V48" s="7"/>
      <c r="W48" s="7"/>
      <c r="X48" s="7"/>
      <c r="Y48" s="7"/>
      <c r="Z48" s="7"/>
    </row>
    <row r="49" spans="15:26" ht="15" customHeight="1" x14ac:dyDescent="0.35">
      <c r="O49" s="28"/>
      <c r="P49" s="28"/>
      <c r="Q49" s="28"/>
      <c r="S49" s="7"/>
      <c r="T49" s="7"/>
      <c r="U49" s="7"/>
      <c r="V49" s="7"/>
      <c r="W49" s="7"/>
      <c r="X49" s="7"/>
      <c r="Y49" s="7"/>
      <c r="Z49" s="7"/>
    </row>
    <row r="50" spans="15:26" ht="15" customHeight="1" x14ac:dyDescent="0.35"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5:26" ht="15" customHeight="1" x14ac:dyDescent="0.3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5:26" ht="15" customHeight="1" x14ac:dyDescent="0.3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5:26" ht="15" customHeight="1" x14ac:dyDescent="0.3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5:26" ht="15" customHeight="1" x14ac:dyDescent="0.3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5:26" ht="15.75" customHeight="1" x14ac:dyDescent="0.3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</sheetData>
  <mergeCells count="15">
    <mergeCell ref="B2:N2"/>
    <mergeCell ref="O2:Z2"/>
    <mergeCell ref="A5:A16"/>
    <mergeCell ref="A20:A46"/>
    <mergeCell ref="B20:M23"/>
    <mergeCell ref="B25:M27"/>
    <mergeCell ref="B29:M30"/>
    <mergeCell ref="O30:Z30"/>
    <mergeCell ref="B31:M32"/>
    <mergeCell ref="O32:Z32"/>
    <mergeCell ref="B46:L46"/>
    <mergeCell ref="O46:S46"/>
    <mergeCell ref="B33:M34"/>
    <mergeCell ref="O34:Z34"/>
    <mergeCell ref="B36:N44"/>
  </mergeCells>
  <conditionalFormatting sqref="AA5:AA17">
    <cfRule type="cellIs" dxfId="296" priority="1" operator="lessThan">
      <formula>20</formula>
    </cfRule>
    <cfRule type="cellIs" dxfId="295" priority="2" operator="between">
      <formula>20</formula>
      <formula>29</formula>
    </cfRule>
    <cfRule type="cellIs" dxfId="2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734DD-F141-4235-A553-6D7FDC935D20}">
  <sheetPr codeName="Hoja5">
    <pageSetUpPr autoPageBreaks="0"/>
  </sheetPr>
  <dimension ref="A1:AB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243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35">
      <c r="A5" s="204"/>
      <c r="B5" s="54" t="s">
        <v>85</v>
      </c>
      <c r="C5" s="51" t="s">
        <v>83</v>
      </c>
      <c r="D5" s="51" t="s">
        <v>84</v>
      </c>
      <c r="E5" s="51" t="s">
        <v>40</v>
      </c>
      <c r="F5" s="51" t="s">
        <v>49</v>
      </c>
      <c r="G5" s="51" t="s">
        <v>76</v>
      </c>
      <c r="H5" s="51" t="s">
        <v>41</v>
      </c>
      <c r="I5" s="55">
        <v>56982328251</v>
      </c>
      <c r="J5" s="26" t="s">
        <v>86</v>
      </c>
      <c r="K5" s="26" t="s">
        <v>54</v>
      </c>
      <c r="L5" s="49" t="s">
        <v>205</v>
      </c>
      <c r="M5" s="49" t="s">
        <v>206</v>
      </c>
      <c r="N5" s="51">
        <f>SUMPRODUCT(Tabla5236[[#This Row],[Paltas]:[Empanadas]],O$28:Z$28)</f>
        <v>13500</v>
      </c>
      <c r="O5" s="49">
        <v>1</v>
      </c>
      <c r="P5" s="49">
        <v>0</v>
      </c>
      <c r="Q5" s="49">
        <v>2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SUM(Tabla5236[[#This Row],[Paltas]:[Empanadas]])</f>
        <v>3</v>
      </c>
      <c r="AB5" s="57"/>
    </row>
    <row r="6" spans="1:28" outlineLevel="1" x14ac:dyDescent="0.35">
      <c r="A6" s="205"/>
      <c r="B6" s="50" t="s">
        <v>195</v>
      </c>
      <c r="C6" s="48" t="s">
        <v>223</v>
      </c>
      <c r="D6" s="59" t="s">
        <v>224</v>
      </c>
      <c r="E6" s="59" t="s">
        <v>46</v>
      </c>
      <c r="F6" s="59" t="s">
        <v>221</v>
      </c>
      <c r="G6" s="59" t="s">
        <v>45</v>
      </c>
      <c r="H6" s="59" t="s">
        <v>217</v>
      </c>
      <c r="I6" s="60">
        <v>56996324787</v>
      </c>
      <c r="J6" s="27" t="s">
        <v>225</v>
      </c>
      <c r="K6" s="27" t="s">
        <v>42</v>
      </c>
      <c r="L6" s="52" t="s">
        <v>205</v>
      </c>
      <c r="M6" s="52" t="s">
        <v>206</v>
      </c>
      <c r="N6" s="70">
        <f>SUMPRODUCT(Tabla5236[[#This Row],[Paltas]:[Empanadas]],O$28:Z$28)</f>
        <v>85500</v>
      </c>
      <c r="O6" s="52">
        <v>2</v>
      </c>
      <c r="P6" s="52">
        <v>0</v>
      </c>
      <c r="Q6" s="52">
        <v>2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9</v>
      </c>
      <c r="Y6" s="52">
        <v>0</v>
      </c>
      <c r="Z6" s="52">
        <v>0</v>
      </c>
      <c r="AA6" s="52">
        <f>SUM(Tabla5236[[#This Row],[Paltas]:[Empanadas]])</f>
        <v>13</v>
      </c>
      <c r="AB6" s="58"/>
    </row>
    <row r="7" spans="1:28" outlineLevel="1" x14ac:dyDescent="0.35">
      <c r="A7" s="205"/>
      <c r="B7" s="50" t="s">
        <v>159</v>
      </c>
      <c r="C7" s="48" t="s">
        <v>162</v>
      </c>
      <c r="D7" s="59" t="s">
        <v>163</v>
      </c>
      <c r="E7" s="59" t="s">
        <v>135</v>
      </c>
      <c r="F7" s="59" t="s">
        <v>151</v>
      </c>
      <c r="G7" s="59" t="s">
        <v>45</v>
      </c>
      <c r="H7" s="59" t="s">
        <v>41</v>
      </c>
      <c r="I7" s="60">
        <v>56979312762</v>
      </c>
      <c r="J7" s="27" t="s">
        <v>164</v>
      </c>
      <c r="K7" s="27" t="s">
        <v>48</v>
      </c>
      <c r="L7" s="52" t="s">
        <v>205</v>
      </c>
      <c r="M7" s="52" t="s">
        <v>206</v>
      </c>
      <c r="N7" s="70">
        <f>SUMPRODUCT(Tabla5236[[#This Row],[Paltas]:[Empanadas]],O$28:Z$28)</f>
        <v>548500</v>
      </c>
      <c r="O7" s="52">
        <v>3</v>
      </c>
      <c r="P7" s="52">
        <v>0</v>
      </c>
      <c r="Q7" s="52">
        <v>4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f>7+3</f>
        <v>10</v>
      </c>
      <c r="Y7" s="52">
        <v>1</v>
      </c>
      <c r="Z7" s="52">
        <v>25</v>
      </c>
      <c r="AA7" s="52">
        <f>SUM(Tabla5236[[#This Row],[Paltas]:[Empanadas]])</f>
        <v>43</v>
      </c>
      <c r="AB7" s="58"/>
    </row>
    <row r="8" spans="1:28" outlineLevel="1" x14ac:dyDescent="0.35">
      <c r="A8" s="205"/>
      <c r="B8" s="50" t="s">
        <v>122</v>
      </c>
      <c r="C8" s="48" t="s">
        <v>143</v>
      </c>
      <c r="D8" s="59" t="s">
        <v>160</v>
      </c>
      <c r="E8" s="59" t="s">
        <v>40</v>
      </c>
      <c r="F8" s="59" t="s">
        <v>49</v>
      </c>
      <c r="G8" s="59" t="s">
        <v>45</v>
      </c>
      <c r="H8" s="59" t="s">
        <v>41</v>
      </c>
      <c r="I8" s="60">
        <v>56997594184</v>
      </c>
      <c r="J8" s="27" t="s">
        <v>161</v>
      </c>
      <c r="K8" s="27" t="s">
        <v>48</v>
      </c>
      <c r="L8" s="52" t="s">
        <v>205</v>
      </c>
      <c r="M8" s="52" t="s">
        <v>206</v>
      </c>
      <c r="N8" s="70">
        <f>SUMPRODUCT(Tabla5236[[#This Row],[Paltas]:[Empanadas]],O$28:Z$28)</f>
        <v>54000</v>
      </c>
      <c r="O8" s="52">
        <v>7</v>
      </c>
      <c r="P8" s="52">
        <v>0</v>
      </c>
      <c r="Q8" s="52">
        <v>5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SUM(Tabla5236[[#This Row],[Paltas]:[Empanadas]])</f>
        <v>12</v>
      </c>
      <c r="AB8" s="58"/>
    </row>
    <row r="9" spans="1:28" outlineLevel="1" x14ac:dyDescent="0.35">
      <c r="A9" s="205"/>
      <c r="B9" s="50" t="s">
        <v>150</v>
      </c>
      <c r="C9" s="48" t="s">
        <v>201</v>
      </c>
      <c r="D9" s="59" t="s">
        <v>202</v>
      </c>
      <c r="E9" s="59" t="s">
        <v>40</v>
      </c>
      <c r="F9" s="59" t="s">
        <v>49</v>
      </c>
      <c r="G9" s="59" t="s">
        <v>113</v>
      </c>
      <c r="H9" s="59" t="s">
        <v>41</v>
      </c>
      <c r="I9" s="60">
        <v>56976994719</v>
      </c>
      <c r="J9" s="27" t="s">
        <v>203</v>
      </c>
      <c r="K9" s="27" t="s">
        <v>48</v>
      </c>
      <c r="L9" s="52" t="s">
        <v>205</v>
      </c>
      <c r="M9" s="52" t="s">
        <v>206</v>
      </c>
      <c r="N9" s="70">
        <f>SUMPRODUCT(Tabla5236[[#This Row],[Paltas]:[Empanadas]],O$28:Z$28)</f>
        <v>34000</v>
      </c>
      <c r="O9" s="52">
        <v>1</v>
      </c>
      <c r="P9" s="52">
        <v>0</v>
      </c>
      <c r="Q9" s="52">
        <v>0</v>
      </c>
      <c r="R9" s="52">
        <v>1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v>2</v>
      </c>
      <c r="Y9" s="52">
        <v>1</v>
      </c>
      <c r="Z9" s="52">
        <v>0</v>
      </c>
      <c r="AA9" s="52">
        <f>SUM(Tabla5236[[#This Row],[Paltas]:[Empanadas]])</f>
        <v>6</v>
      </c>
      <c r="AB9" s="58"/>
    </row>
    <row r="10" spans="1:28" outlineLevel="1" x14ac:dyDescent="0.35">
      <c r="A10" s="205"/>
      <c r="B10" s="50" t="s">
        <v>62</v>
      </c>
      <c r="C10" s="48" t="s">
        <v>63</v>
      </c>
      <c r="D10" s="59" t="s">
        <v>64</v>
      </c>
      <c r="E10" s="59" t="s">
        <v>40</v>
      </c>
      <c r="F10" s="59" t="s">
        <v>49</v>
      </c>
      <c r="G10" s="59" t="s">
        <v>51</v>
      </c>
      <c r="H10" s="59" t="s">
        <v>41</v>
      </c>
      <c r="I10" s="60">
        <v>56952304675</v>
      </c>
      <c r="J10" s="27" t="s">
        <v>65</v>
      </c>
      <c r="K10" s="27" t="s">
        <v>48</v>
      </c>
      <c r="L10" s="52" t="s">
        <v>205</v>
      </c>
      <c r="M10" s="52" t="s">
        <v>206</v>
      </c>
      <c r="N10" s="70">
        <f>SUMPRODUCT(Tabla5236[[#This Row],[Paltas]:[Empanadas]],O$28:Z$28)</f>
        <v>75000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10</v>
      </c>
      <c r="Y10" s="52">
        <v>0</v>
      </c>
      <c r="Z10" s="52">
        <v>0</v>
      </c>
      <c r="AA10" s="52">
        <f>SUM(Tabla5236[[#This Row],[Paltas]:[Empanadas]])</f>
        <v>10</v>
      </c>
      <c r="AB10" s="58"/>
    </row>
    <row r="11" spans="1:28" outlineLevel="1" x14ac:dyDescent="0.35">
      <c r="A11" s="205"/>
      <c r="B11" s="56" t="s">
        <v>122</v>
      </c>
      <c r="C11" s="47" t="s">
        <v>123</v>
      </c>
      <c r="D11" s="47" t="s">
        <v>124</v>
      </c>
      <c r="E11" s="47" t="s">
        <v>40</v>
      </c>
      <c r="F11" s="47" t="s">
        <v>49</v>
      </c>
      <c r="G11" s="47" t="s">
        <v>125</v>
      </c>
      <c r="H11" s="47" t="s">
        <v>41</v>
      </c>
      <c r="I11" s="53">
        <v>56968320616</v>
      </c>
      <c r="J11" s="27" t="s">
        <v>126</v>
      </c>
      <c r="K11" s="27" t="s">
        <v>54</v>
      </c>
      <c r="L11" s="52" t="s">
        <v>205</v>
      </c>
      <c r="M11" s="52" t="s">
        <v>205</v>
      </c>
      <c r="N11" s="47">
        <f>SUMPRODUCT(Tabla5236[[#This Row],[Paltas]:[Empanadas]],O$28:Z$28)</f>
        <v>27000</v>
      </c>
      <c r="O11" s="52">
        <v>1</v>
      </c>
      <c r="P11" s="52">
        <v>0</v>
      </c>
      <c r="Q11" s="52">
        <v>5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SUM(Tabla5236[[#This Row],[Paltas]:[Empanadas]])</f>
        <v>6</v>
      </c>
      <c r="AB11" s="58"/>
    </row>
    <row r="12" spans="1:28" outlineLevel="1" x14ac:dyDescent="0.35">
      <c r="A12" s="205"/>
      <c r="B12" s="56" t="s">
        <v>55</v>
      </c>
      <c r="C12" s="47" t="s">
        <v>56</v>
      </c>
      <c r="D12" s="47" t="s">
        <v>57</v>
      </c>
      <c r="E12" s="47" t="s">
        <v>40</v>
      </c>
      <c r="F12" s="47" t="s">
        <v>49</v>
      </c>
      <c r="G12" s="47" t="s">
        <v>45</v>
      </c>
      <c r="H12" s="47" t="s">
        <v>41</v>
      </c>
      <c r="I12" s="53">
        <v>56967898535</v>
      </c>
      <c r="J12" s="27" t="s">
        <v>58</v>
      </c>
      <c r="K12" s="27" t="s">
        <v>54</v>
      </c>
      <c r="L12" s="52" t="s">
        <v>205</v>
      </c>
      <c r="M12" s="52" t="s">
        <v>205</v>
      </c>
      <c r="N12" s="47">
        <f>SUMPRODUCT(Tabla5236[[#This Row],[Paltas]:[Empanadas]],O$28:Z$28)</f>
        <v>35500</v>
      </c>
      <c r="O12" s="52">
        <v>4</v>
      </c>
      <c r="P12" s="52">
        <v>0</v>
      </c>
      <c r="Q12" s="52">
        <v>1</v>
      </c>
      <c r="R12" s="52">
        <v>0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1</v>
      </c>
      <c r="Y12" s="52">
        <v>0</v>
      </c>
      <c r="Z12" s="52">
        <v>0</v>
      </c>
      <c r="AA12" s="52">
        <f>SUM(Tabla5236[[#This Row],[Paltas]:[Empanadas]])</f>
        <v>7</v>
      </c>
      <c r="AB12" s="58"/>
    </row>
    <row r="13" spans="1:28" outlineLevel="1" x14ac:dyDescent="0.35">
      <c r="A13" s="205"/>
      <c r="B13" s="50" t="s">
        <v>169</v>
      </c>
      <c r="C13" s="48" t="s">
        <v>170</v>
      </c>
      <c r="D13" s="59" t="s">
        <v>174</v>
      </c>
      <c r="E13" s="59" t="s">
        <v>46</v>
      </c>
      <c r="F13" s="59" t="s">
        <v>87</v>
      </c>
      <c r="G13" s="59" t="s">
        <v>45</v>
      </c>
      <c r="H13" s="59" t="s">
        <v>41</v>
      </c>
      <c r="I13" s="60">
        <v>56966685970</v>
      </c>
      <c r="J13" s="27" t="s">
        <v>175</v>
      </c>
      <c r="K13" s="27" t="s">
        <v>42</v>
      </c>
      <c r="L13" s="52" t="s">
        <v>205</v>
      </c>
      <c r="M13" s="52" t="s">
        <v>205</v>
      </c>
      <c r="N13" s="70">
        <f>SUMPRODUCT(Tabla5236[[#This Row],[Paltas]:[Empanadas]],O$28:Z$28)</f>
        <v>160000</v>
      </c>
      <c r="O13" s="52">
        <v>0</v>
      </c>
      <c r="P13" s="52">
        <v>5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7</v>
      </c>
      <c r="AA13" s="52">
        <f>SUM(Tabla5236[[#This Row],[Paltas]:[Empanadas]])</f>
        <v>12</v>
      </c>
      <c r="AB13" s="58"/>
    </row>
    <row r="14" spans="1:28" outlineLevel="1" x14ac:dyDescent="0.35">
      <c r="A14" s="205"/>
      <c r="B14" s="50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42</v>
      </c>
      <c r="L14" s="52" t="s">
        <v>205</v>
      </c>
      <c r="M14" s="52" t="s">
        <v>205</v>
      </c>
      <c r="N14" s="70">
        <f>SUMPRODUCT(Tabla5236[[#This Row],[Paltas]:[Empanadas]],O$28:Z$28)</f>
        <v>37500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5</v>
      </c>
      <c r="Y14" s="52">
        <v>0</v>
      </c>
      <c r="Z14" s="52">
        <v>0</v>
      </c>
      <c r="AA14" s="52">
        <f>SUM(Tabla5236[[#This Row],[Paltas]:[Empanadas]])</f>
        <v>5</v>
      </c>
      <c r="AB14" s="58"/>
    </row>
    <row r="15" spans="1:28" outlineLevel="1" x14ac:dyDescent="0.35">
      <c r="A15" s="205"/>
      <c r="B15" s="56" t="s">
        <v>145</v>
      </c>
      <c r="C15" s="47" t="s">
        <v>152</v>
      </c>
      <c r="D15" s="47" t="s">
        <v>153</v>
      </c>
      <c r="E15" s="47" t="s">
        <v>46</v>
      </c>
      <c r="F15" s="47" t="s">
        <v>89</v>
      </c>
      <c r="G15" s="47">
        <v>0</v>
      </c>
      <c r="H15" s="47" t="s">
        <v>41</v>
      </c>
      <c r="I15" s="53">
        <v>56954243532</v>
      </c>
      <c r="J15" s="27" t="s">
        <v>154</v>
      </c>
      <c r="K15" s="27" t="s">
        <v>42</v>
      </c>
      <c r="L15" s="52" t="s">
        <v>205</v>
      </c>
      <c r="M15" s="52" t="s">
        <v>205</v>
      </c>
      <c r="N15" s="47">
        <f>SUMPRODUCT(Tabla5236[[#This Row],[Paltas]:[Empanadas]],O$28:Z$28)</f>
        <v>31000</v>
      </c>
      <c r="O15" s="52">
        <v>2</v>
      </c>
      <c r="P15" s="52">
        <v>0</v>
      </c>
      <c r="Q15" s="52">
        <v>1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1</v>
      </c>
      <c r="AA15" s="52">
        <f>SUM(Tabla5236[[#This Row],[Paltas]:[Empanadas]])</f>
        <v>4</v>
      </c>
      <c r="AB15" s="58"/>
    </row>
    <row r="16" spans="1:28" outlineLevel="1" x14ac:dyDescent="0.35">
      <c r="A16" s="205"/>
      <c r="B16" s="56" t="s">
        <v>114</v>
      </c>
      <c r="C16" s="47" t="s">
        <v>119</v>
      </c>
      <c r="D16" s="47" t="s">
        <v>120</v>
      </c>
      <c r="E16" s="47" t="s">
        <v>40</v>
      </c>
      <c r="F16" s="47" t="s">
        <v>75</v>
      </c>
      <c r="G16" s="47" t="s">
        <v>113</v>
      </c>
      <c r="H16" s="47" t="s">
        <v>41</v>
      </c>
      <c r="I16" s="53">
        <v>56988587944</v>
      </c>
      <c r="J16" s="27" t="s">
        <v>121</v>
      </c>
      <c r="K16" s="27" t="s">
        <v>48</v>
      </c>
      <c r="L16" s="52" t="s">
        <v>205</v>
      </c>
      <c r="M16" s="52" t="s">
        <v>205</v>
      </c>
      <c r="N16" s="47">
        <f>SUMPRODUCT(Tabla5236[[#This Row],[Paltas]:[Empanadas]],O$28:Z$28)</f>
        <v>75000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10</v>
      </c>
      <c r="Y16" s="52">
        <v>0</v>
      </c>
      <c r="Z16" s="52">
        <v>0</v>
      </c>
      <c r="AA16" s="52">
        <f>SUM(Tabla5236[[#This Row],[Paltas]:[Empanadas]])</f>
        <v>10</v>
      </c>
      <c r="AB16" s="58"/>
    </row>
    <row r="17" spans="1:28" ht="15" outlineLevel="1" thickBot="1" x14ac:dyDescent="0.4">
      <c r="A17" s="206"/>
      <c r="B17" s="50" t="s">
        <v>114</v>
      </c>
      <c r="C17" s="48" t="s">
        <v>185</v>
      </c>
      <c r="D17" s="59" t="s">
        <v>204</v>
      </c>
      <c r="E17" s="59" t="s">
        <v>46</v>
      </c>
      <c r="F17" s="59" t="s">
        <v>87</v>
      </c>
      <c r="G17" s="59" t="s">
        <v>110</v>
      </c>
      <c r="H17" s="59" t="s">
        <v>41</v>
      </c>
      <c r="I17" s="60">
        <v>56990163951</v>
      </c>
      <c r="J17" s="27" t="s">
        <v>211</v>
      </c>
      <c r="K17" s="27" t="s">
        <v>48</v>
      </c>
      <c r="L17" s="52" t="s">
        <v>205</v>
      </c>
      <c r="M17" s="52" t="s">
        <v>205</v>
      </c>
      <c r="N17" s="70">
        <f>SUMPRODUCT(Tabla5236[[#This Row],[Paltas]:[Empanadas]],O$28:Z$28)</f>
        <v>97500</v>
      </c>
      <c r="O17" s="52">
        <v>1</v>
      </c>
      <c r="P17" s="52">
        <v>0</v>
      </c>
      <c r="Q17" s="52">
        <v>2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10</v>
      </c>
      <c r="Y17" s="52">
        <v>2</v>
      </c>
      <c r="Z17" s="52">
        <v>0</v>
      </c>
      <c r="AA17" s="52">
        <f>SUM(Tabla5236[[#This Row],[Paltas]:[Empanadas]])</f>
        <v>15</v>
      </c>
      <c r="AB17" s="58"/>
    </row>
    <row r="18" spans="1:28" ht="15" outlineLevel="1" thickBot="1" x14ac:dyDescent="0.4">
      <c r="A18" s="18"/>
      <c r="B18" s="13" t="s">
        <v>213</v>
      </c>
      <c r="C18" s="14" t="s">
        <v>214</v>
      </c>
      <c r="D18" s="65" t="s">
        <v>216</v>
      </c>
      <c r="E18" s="65" t="s">
        <v>46</v>
      </c>
      <c r="F18" s="65">
        <v>0</v>
      </c>
      <c r="G18" s="65">
        <v>0</v>
      </c>
      <c r="H18" s="65" t="s">
        <v>41</v>
      </c>
      <c r="I18" s="66">
        <v>56977895588</v>
      </c>
      <c r="J18" s="46" t="s">
        <v>215</v>
      </c>
      <c r="K18" s="46" t="s">
        <v>48</v>
      </c>
      <c r="L18" s="16" t="s">
        <v>205</v>
      </c>
      <c r="M18" s="16" t="s">
        <v>205</v>
      </c>
      <c r="N18" s="71">
        <f>SUMPRODUCT(Tabla5236[[#This Row],[Paltas]:[Empanadas]],O$28:Z$28)</f>
        <v>19500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2</v>
      </c>
      <c r="Y18" s="16">
        <v>1</v>
      </c>
      <c r="Z18" s="16">
        <v>0</v>
      </c>
      <c r="AA18" s="16">
        <f>SUM(Tabla5236[[#This Row],[Paltas]:[Empanadas]])</f>
        <v>3</v>
      </c>
      <c r="AB18" s="45"/>
    </row>
    <row r="19" spans="1:28" outlineLevel="1" x14ac:dyDescent="0.35">
      <c r="A19" s="18"/>
      <c r="B19" s="19"/>
      <c r="C19" s="19"/>
      <c r="D19" s="19"/>
      <c r="E19" s="19"/>
      <c r="F19" s="19"/>
      <c r="G19" s="19"/>
      <c r="H19" s="19"/>
      <c r="I19" s="32"/>
      <c r="J19" s="31"/>
      <c r="K19" s="31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1:28" ht="15" thickBot="1" x14ac:dyDescent="0.4"/>
    <row r="21" spans="1:28" ht="14.65" customHeight="1" thickBot="1" x14ac:dyDescent="0.4">
      <c r="A21" s="165" t="s">
        <v>20</v>
      </c>
      <c r="B21" s="156" t="s">
        <v>7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30" t="s">
        <v>9</v>
      </c>
      <c r="O21" s="8">
        <f>SUM(Tabla5236[Paltas])</f>
        <v>22</v>
      </c>
      <c r="P21" s="49">
        <f>SUM(Tabla5236[Quesos])</f>
        <v>5</v>
      </c>
      <c r="Q21" s="49">
        <f>SUM(Tabla5236[Frutillas])</f>
        <v>22</v>
      </c>
      <c r="R21" s="49">
        <f>SUM(Tabla5236[Tomate Cherry])</f>
        <v>1</v>
      </c>
      <c r="S21" s="49">
        <f>SUM(Tabla5236[Nueces])</f>
        <v>2</v>
      </c>
      <c r="T21" s="49">
        <f>SUM(Tabla5236[Mani Sal])</f>
        <v>0</v>
      </c>
      <c r="U21" s="49">
        <f>SUM(Tabla5236[Pistachos])</f>
        <v>0</v>
      </c>
      <c r="V21" s="49">
        <f>SUM(Tabla5236[Caju])</f>
        <v>0</v>
      </c>
      <c r="W21" s="49">
        <f>SUM(Tabla5236[Almendras])</f>
        <v>0</v>
      </c>
      <c r="X21" s="49">
        <f>SUM(Tabla5236[Cerezas])</f>
        <v>59</v>
      </c>
      <c r="Y21" s="49">
        <f>SUM(Tabla5236[Arandanos])</f>
        <v>5</v>
      </c>
      <c r="Z21" s="4">
        <f>SUM(Tabla5236[Empanadas])</f>
        <v>33</v>
      </c>
    </row>
    <row r="22" spans="1:28" ht="14.65" customHeight="1" thickBot="1" x14ac:dyDescent="0.4">
      <c r="A22" s="166"/>
      <c r="B22" s="174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6"/>
      <c r="N22" s="129" t="s">
        <v>28</v>
      </c>
      <c r="O22" s="9">
        <v>2</v>
      </c>
      <c r="P22" s="37">
        <v>1</v>
      </c>
      <c r="Q22" s="37">
        <v>2</v>
      </c>
      <c r="R22" s="52">
        <v>1</v>
      </c>
      <c r="S22" s="73">
        <v>0.5</v>
      </c>
      <c r="T22" s="73">
        <v>1</v>
      </c>
      <c r="U22" s="73">
        <v>0.5</v>
      </c>
      <c r="V22" s="73">
        <v>0.4</v>
      </c>
      <c r="W22" s="73">
        <v>0.5</v>
      </c>
      <c r="X22" s="73">
        <v>5</v>
      </c>
      <c r="Y22" s="73">
        <v>0.5</v>
      </c>
      <c r="Z22" s="38">
        <v>12</v>
      </c>
    </row>
    <row r="23" spans="1:28" ht="14.65" customHeight="1" thickBot="1" x14ac:dyDescent="0.4">
      <c r="A23" s="166"/>
      <c r="B23" s="174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6"/>
      <c r="N23" s="121" t="s">
        <v>8</v>
      </c>
      <c r="O23" s="9">
        <f t="shared" ref="O23:Z23" si="0">O22*O21</f>
        <v>44</v>
      </c>
      <c r="P23" s="52">
        <f t="shared" si="0"/>
        <v>5</v>
      </c>
      <c r="Q23" s="52">
        <f>Q22*Q21</f>
        <v>44</v>
      </c>
      <c r="R23" s="52">
        <f t="shared" si="0"/>
        <v>1</v>
      </c>
      <c r="S23" s="52">
        <f t="shared" si="0"/>
        <v>1</v>
      </c>
      <c r="T23" s="52">
        <f t="shared" si="0"/>
        <v>0</v>
      </c>
      <c r="U23" s="52">
        <f t="shared" si="0"/>
        <v>0</v>
      </c>
      <c r="V23" s="52">
        <f t="shared" si="0"/>
        <v>0</v>
      </c>
      <c r="W23" s="52">
        <f t="shared" si="0"/>
        <v>0</v>
      </c>
      <c r="X23" s="52">
        <f t="shared" si="0"/>
        <v>295</v>
      </c>
      <c r="Y23" s="52">
        <f t="shared" si="0"/>
        <v>2.5</v>
      </c>
      <c r="Z23" s="11">
        <f t="shared" si="0"/>
        <v>396</v>
      </c>
    </row>
    <row r="24" spans="1:28" ht="15" thickBot="1" x14ac:dyDescent="0.4">
      <c r="A24" s="166"/>
      <c r="B24" s="159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1"/>
      <c r="N24" s="121" t="s">
        <v>10</v>
      </c>
      <c r="O24" s="10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2"/>
    </row>
    <row r="25" spans="1:28" ht="15" thickBot="1" x14ac:dyDescent="0.4">
      <c r="A25" s="166"/>
      <c r="B25" s="127"/>
      <c r="C25" s="19"/>
      <c r="D25" s="23"/>
      <c r="E25" s="24"/>
      <c r="F25" s="24"/>
      <c r="G25" s="24"/>
      <c r="H25" s="24"/>
      <c r="I25" s="24"/>
      <c r="J25" s="24"/>
      <c r="K25" s="25"/>
      <c r="N25" s="3"/>
    </row>
    <row r="26" spans="1:28" ht="15" thickBot="1" x14ac:dyDescent="0.4">
      <c r="A26" s="166"/>
      <c r="B26" s="156" t="s">
        <v>12</v>
      </c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8"/>
      <c r="N26" s="121" t="s">
        <v>13</v>
      </c>
      <c r="O26" s="54">
        <f t="shared" ref="O26:Z26" si="1">O27*O22</f>
        <v>3100</v>
      </c>
      <c r="P26" s="51">
        <f t="shared" si="1"/>
        <v>6716</v>
      </c>
      <c r="Q26" s="51">
        <f>Q27*Q22</f>
        <v>2600</v>
      </c>
      <c r="R26" s="51">
        <f t="shared" si="1"/>
        <v>2300</v>
      </c>
      <c r="S26" s="51">
        <f t="shared" si="1"/>
        <v>3750</v>
      </c>
      <c r="T26" s="51">
        <f t="shared" si="1"/>
        <v>3500</v>
      </c>
      <c r="U26" s="51">
        <f t="shared" si="1"/>
        <v>7050</v>
      </c>
      <c r="V26" s="51">
        <f t="shared" si="1"/>
        <v>5320</v>
      </c>
      <c r="W26" s="51">
        <f t="shared" si="1"/>
        <v>5350</v>
      </c>
      <c r="X26" s="51">
        <f t="shared" si="1"/>
        <v>6000</v>
      </c>
      <c r="Y26" s="51">
        <f t="shared" si="1"/>
        <v>600</v>
      </c>
      <c r="Z26" s="15">
        <f t="shared" si="1"/>
        <v>15500</v>
      </c>
    </row>
    <row r="27" spans="1:28" ht="15" thickBot="1" x14ac:dyDescent="0.4">
      <c r="A27" s="166"/>
      <c r="B27" s="174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6"/>
      <c r="N27" s="121" t="s">
        <v>8</v>
      </c>
      <c r="O27" s="77">
        <v>1550</v>
      </c>
      <c r="P27" s="76">
        <v>6716</v>
      </c>
      <c r="Q27" s="76">
        <v>1300</v>
      </c>
      <c r="R27" s="76">
        <v>2300</v>
      </c>
      <c r="S27" s="76">
        <v>7500</v>
      </c>
      <c r="T27" s="76">
        <v>3500</v>
      </c>
      <c r="U27" s="76">
        <v>14100</v>
      </c>
      <c r="V27" s="76">
        <v>13300</v>
      </c>
      <c r="W27" s="76">
        <v>10700</v>
      </c>
      <c r="X27" s="76">
        <f>6000/5</f>
        <v>1200</v>
      </c>
      <c r="Y27" s="76">
        <f>6000/5</f>
        <v>1200</v>
      </c>
      <c r="Z27" s="80">
        <f>15500/12</f>
        <v>1291.6666666666667</v>
      </c>
    </row>
    <row r="28" spans="1:28" ht="15" thickBot="1" x14ac:dyDescent="0.4">
      <c r="A28" s="166"/>
      <c r="B28" s="159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1"/>
      <c r="N28" s="121" t="s">
        <v>14</v>
      </c>
      <c r="O28" s="78">
        <v>4500</v>
      </c>
      <c r="P28" s="79">
        <v>7500</v>
      </c>
      <c r="Q28" s="79">
        <v>4500</v>
      </c>
      <c r="R28" s="79">
        <v>4500</v>
      </c>
      <c r="S28" s="79">
        <v>5500</v>
      </c>
      <c r="T28" s="79">
        <v>4500</v>
      </c>
      <c r="U28" s="79">
        <v>8500</v>
      </c>
      <c r="V28" s="79">
        <v>7500</v>
      </c>
      <c r="W28" s="79">
        <v>7500</v>
      </c>
      <c r="X28" s="79">
        <v>7500</v>
      </c>
      <c r="Y28" s="79">
        <v>4500</v>
      </c>
      <c r="Z28" s="81">
        <v>17500</v>
      </c>
    </row>
    <row r="29" spans="1:28" ht="15" thickBot="1" x14ac:dyDescent="0.4">
      <c r="A29" s="166"/>
      <c r="B29" s="127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4.65" customHeight="1" thickBot="1" x14ac:dyDescent="0.4">
      <c r="A30" s="166"/>
      <c r="B30" s="156" t="s">
        <v>15</v>
      </c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8"/>
      <c r="N30" s="121" t="s">
        <v>19</v>
      </c>
      <c r="O30" s="87">
        <f t="shared" ref="O30:Z30" si="2">O21*O26</f>
        <v>68200</v>
      </c>
      <c r="P30" s="89">
        <f t="shared" si="2"/>
        <v>33580</v>
      </c>
      <c r="Q30" s="89">
        <f t="shared" si="2"/>
        <v>57200</v>
      </c>
      <c r="R30" s="88">
        <f>R21*R26</f>
        <v>2300</v>
      </c>
      <c r="S30" s="88">
        <f t="shared" si="2"/>
        <v>7500</v>
      </c>
      <c r="T30" s="88">
        <f t="shared" si="2"/>
        <v>0</v>
      </c>
      <c r="U30" s="88">
        <f t="shared" si="2"/>
        <v>0</v>
      </c>
      <c r="V30" s="88">
        <f t="shared" si="2"/>
        <v>0</v>
      </c>
      <c r="W30" s="88">
        <f t="shared" si="2"/>
        <v>0</v>
      </c>
      <c r="X30" s="88">
        <f t="shared" si="2"/>
        <v>354000</v>
      </c>
      <c r="Y30" s="88">
        <f t="shared" si="2"/>
        <v>3000</v>
      </c>
      <c r="Z30" s="90">
        <f t="shared" si="2"/>
        <v>511500</v>
      </c>
    </row>
    <row r="31" spans="1:28" ht="15" thickBot="1" x14ac:dyDescent="0.4">
      <c r="A31" s="166"/>
      <c r="B31" s="159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1"/>
      <c r="N31" s="121" t="s">
        <v>16</v>
      </c>
      <c r="O31" s="153">
        <f>SUM(O30:Z30)</f>
        <v>1037280</v>
      </c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5"/>
    </row>
    <row r="32" spans="1:28" ht="15" thickBot="1" x14ac:dyDescent="0.4">
      <c r="A32" s="166"/>
      <c r="B32" s="156" t="s">
        <v>17</v>
      </c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8"/>
      <c r="N32" s="121" t="s">
        <v>19</v>
      </c>
      <c r="O32" s="50">
        <f t="shared" ref="O32:Z32" si="3">O28*O21</f>
        <v>99000</v>
      </c>
      <c r="P32" s="48">
        <f t="shared" si="3"/>
        <v>37500</v>
      </c>
      <c r="Q32" s="48">
        <f t="shared" si="3"/>
        <v>99000</v>
      </c>
      <c r="R32" s="48">
        <f t="shared" si="3"/>
        <v>4500</v>
      </c>
      <c r="S32" s="48">
        <f t="shared" si="3"/>
        <v>11000</v>
      </c>
      <c r="T32" s="48">
        <f t="shared" si="3"/>
        <v>0</v>
      </c>
      <c r="U32" s="48">
        <f t="shared" si="3"/>
        <v>0</v>
      </c>
      <c r="V32" s="48">
        <f t="shared" si="3"/>
        <v>0</v>
      </c>
      <c r="W32" s="48">
        <f t="shared" si="3"/>
        <v>0</v>
      </c>
      <c r="X32" s="48">
        <f t="shared" si="3"/>
        <v>442500</v>
      </c>
      <c r="Y32" s="48">
        <f t="shared" si="3"/>
        <v>22500</v>
      </c>
      <c r="Z32" s="91">
        <f t="shared" si="3"/>
        <v>577500</v>
      </c>
    </row>
    <row r="33" spans="1:26" ht="15" thickBot="1" x14ac:dyDescent="0.4">
      <c r="A33" s="166"/>
      <c r="B33" s="159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  <c r="N33" s="121" t="s">
        <v>16</v>
      </c>
      <c r="O33" s="153">
        <f>SUM(O32:Z32)</f>
        <v>1293500</v>
      </c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5"/>
    </row>
    <row r="34" spans="1:26" ht="14.65" customHeight="1" thickBot="1" x14ac:dyDescent="0.4">
      <c r="A34" s="166"/>
      <c r="B34" s="156" t="s">
        <v>18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8"/>
      <c r="N34" s="121" t="s">
        <v>19</v>
      </c>
      <c r="O34" s="50">
        <f t="shared" ref="O34:Y34" si="4">O32-O30</f>
        <v>30800</v>
      </c>
      <c r="P34" s="48">
        <f t="shared" si="4"/>
        <v>3920</v>
      </c>
      <c r="Q34" s="48">
        <f t="shared" si="4"/>
        <v>41800</v>
      </c>
      <c r="R34" s="48">
        <f t="shared" si="4"/>
        <v>2200</v>
      </c>
      <c r="S34" s="48">
        <f t="shared" si="4"/>
        <v>3500</v>
      </c>
      <c r="T34" s="48">
        <f t="shared" si="4"/>
        <v>0</v>
      </c>
      <c r="U34" s="48">
        <f t="shared" si="4"/>
        <v>0</v>
      </c>
      <c r="V34" s="48">
        <f t="shared" si="4"/>
        <v>0</v>
      </c>
      <c r="W34" s="48">
        <f t="shared" si="4"/>
        <v>0</v>
      </c>
      <c r="X34" s="48">
        <f t="shared" si="4"/>
        <v>88500</v>
      </c>
      <c r="Y34" s="48">
        <f t="shared" si="4"/>
        <v>19500</v>
      </c>
      <c r="Z34" s="91">
        <f>Z32-Z30</f>
        <v>66000</v>
      </c>
    </row>
    <row r="35" spans="1:26" ht="29.65" customHeight="1" thickBot="1" x14ac:dyDescent="0.4">
      <c r="A35" s="166"/>
      <c r="B35" s="159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1"/>
      <c r="N35" s="121" t="s">
        <v>29</v>
      </c>
      <c r="O35" s="150">
        <f>O33-O31</f>
        <v>256220</v>
      </c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2"/>
    </row>
    <row r="36" spans="1:26" ht="15" thickBot="1" x14ac:dyDescent="0.4">
      <c r="A36" s="166"/>
    </row>
    <row r="37" spans="1:26" ht="14.65" customHeight="1" thickBot="1" x14ac:dyDescent="0.4">
      <c r="A37" s="166"/>
      <c r="B37" s="177" t="s">
        <v>25</v>
      </c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9"/>
      <c r="O37" s="122"/>
      <c r="P37" s="29" t="s">
        <v>27</v>
      </c>
      <c r="Q37" s="61"/>
      <c r="R37" s="5"/>
      <c r="S37" s="5"/>
      <c r="T37" s="5"/>
      <c r="U37" s="5"/>
      <c r="V37" s="5"/>
      <c r="W37" s="5"/>
      <c r="X37" s="5"/>
      <c r="Y37" s="5"/>
      <c r="Z37" s="5"/>
    </row>
    <row r="38" spans="1:26" ht="15" customHeight="1" x14ac:dyDescent="0.35">
      <c r="A38" s="166"/>
      <c r="B38" s="180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2"/>
      <c r="O38" s="123"/>
      <c r="P38" s="33"/>
      <c r="Q38" s="62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35">
      <c r="A39" s="166"/>
      <c r="B39" s="180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  <c r="O39" s="124"/>
      <c r="P39" s="34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35">
      <c r="A40" s="166"/>
      <c r="B40" s="180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  <c r="O40" s="124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35">
      <c r="A41" s="166"/>
      <c r="B41" s="180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  <c r="O41" s="124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24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35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24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thickBot="1" x14ac:dyDescent="0.4">
      <c r="A44" s="166"/>
      <c r="B44" s="180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2"/>
      <c r="O44" s="125"/>
      <c r="P44" s="34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customHeight="1" thickBot="1" x14ac:dyDescent="0.4">
      <c r="A45" s="166"/>
      <c r="B45" s="183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5"/>
      <c r="O45" s="126"/>
      <c r="P45" s="35">
        <f>SUM(P38:P44)</f>
        <v>0</v>
      </c>
      <c r="Q45" s="63"/>
      <c r="R45" s="6"/>
      <c r="S45" s="6"/>
      <c r="T45" s="6"/>
      <c r="U45" s="6"/>
      <c r="V45" s="6"/>
      <c r="W45" s="6"/>
      <c r="X45" s="6"/>
      <c r="Y45" s="6"/>
      <c r="Z45" s="6"/>
    </row>
    <row r="46" spans="1:26" ht="15" thickBot="1" x14ac:dyDescent="0.4">
      <c r="A46" s="166"/>
    </row>
    <row r="47" spans="1:26" ht="51.75" customHeight="1" thickBot="1" x14ac:dyDescent="0.4">
      <c r="A47" s="167"/>
      <c r="B47" s="168" t="s">
        <v>18</v>
      </c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70"/>
      <c r="N47" s="120" t="s">
        <v>16</v>
      </c>
      <c r="O47" s="172"/>
      <c r="P47" s="172"/>
      <c r="Q47" s="172"/>
      <c r="R47" s="172"/>
      <c r="S47" s="173"/>
      <c r="T47" s="72"/>
      <c r="U47" s="72"/>
      <c r="V47" s="72"/>
      <c r="W47" s="72"/>
      <c r="X47" s="72"/>
      <c r="Y47" s="72"/>
      <c r="Z47" s="72"/>
    </row>
    <row r="48" spans="1:26" ht="15.75" customHeight="1" x14ac:dyDescent="0.35">
      <c r="A48" s="30"/>
      <c r="O48" s="28"/>
      <c r="P48" s="28"/>
      <c r="Q48" s="28"/>
      <c r="S48" s="128"/>
      <c r="T48" s="128"/>
      <c r="U48" s="128"/>
      <c r="V48" s="128"/>
      <c r="W48" s="128"/>
      <c r="X48" s="128"/>
      <c r="Y48" s="128"/>
      <c r="Z48" s="128"/>
    </row>
    <row r="49" spans="1:26" ht="15" customHeight="1" x14ac:dyDescent="0.35">
      <c r="A49" s="30"/>
      <c r="O49" s="28"/>
      <c r="P49" s="28"/>
      <c r="Q49" s="28"/>
      <c r="S49" s="7"/>
      <c r="T49" s="7"/>
      <c r="U49" s="7"/>
      <c r="V49" s="7"/>
      <c r="W49" s="7"/>
      <c r="X49" s="7"/>
      <c r="Y49" s="7"/>
      <c r="Z49" s="7"/>
    </row>
    <row r="50" spans="1:26" ht="15" customHeight="1" x14ac:dyDescent="0.35"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:26" ht="15" customHeight="1" x14ac:dyDescent="0.3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:26" ht="15" customHeight="1" x14ac:dyDescent="0.3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3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3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3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.75" customHeight="1" x14ac:dyDescent="0.3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</sheetData>
  <mergeCells count="15">
    <mergeCell ref="B2:N2"/>
    <mergeCell ref="O2:Z2"/>
    <mergeCell ref="A21:A47"/>
    <mergeCell ref="B21:M24"/>
    <mergeCell ref="B26:M28"/>
    <mergeCell ref="B30:M31"/>
    <mergeCell ref="O31:Z31"/>
    <mergeCell ref="B32:M33"/>
    <mergeCell ref="O33:Z33"/>
    <mergeCell ref="B47:M47"/>
    <mergeCell ref="A5:A17"/>
    <mergeCell ref="O47:S47"/>
    <mergeCell ref="B34:M35"/>
    <mergeCell ref="O35:Z35"/>
    <mergeCell ref="B37:N45"/>
  </mergeCells>
  <conditionalFormatting sqref="AA5:AA18">
    <cfRule type="cellIs" dxfId="237" priority="1" operator="lessThan">
      <formula>20</formula>
    </cfRule>
    <cfRule type="cellIs" dxfId="236" priority="2" operator="between">
      <formula>20</formula>
      <formula>29</formula>
    </cfRule>
    <cfRule type="cellIs" dxfId="2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559A-F79D-4F17-BD7F-BEEE9CBC3B69}">
  <sheetPr codeName="Hoja6">
    <pageSetUpPr autoPageBreaks="0"/>
  </sheetPr>
  <dimension ref="A1:AB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7" t="s">
        <v>11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243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35">
      <c r="A5" s="145"/>
      <c r="B5" s="132" t="s">
        <v>59</v>
      </c>
      <c r="C5" s="47" t="s">
        <v>72</v>
      </c>
      <c r="D5" s="47" t="s">
        <v>73</v>
      </c>
      <c r="E5" s="47" t="s">
        <v>40</v>
      </c>
      <c r="F5" s="47" t="s">
        <v>49</v>
      </c>
      <c r="G5" s="47" t="s">
        <v>53</v>
      </c>
      <c r="H5" s="47" t="s">
        <v>41</v>
      </c>
      <c r="I5" s="53">
        <v>56975684552</v>
      </c>
      <c r="J5" s="27" t="s">
        <v>74</v>
      </c>
      <c r="K5" s="27" t="s">
        <v>48</v>
      </c>
      <c r="L5" s="52" t="s">
        <v>205</v>
      </c>
      <c r="M5" s="52" t="s">
        <v>206</v>
      </c>
      <c r="N5" s="47">
        <f>SUMPRODUCT(Tabla5237[[#This Row],[Paltas]:[Empanadas]],O$27:Z$27)</f>
        <v>58500</v>
      </c>
      <c r="O5" s="52">
        <v>4</v>
      </c>
      <c r="P5" s="52">
        <v>0</v>
      </c>
      <c r="Q5" s="52">
        <v>9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f>SUM(Tabla5237[[#This Row],[Paltas]:[Empanadas]])</f>
        <v>13</v>
      </c>
      <c r="AB5" s="58"/>
    </row>
    <row r="6" spans="1:28" outlineLevel="1" x14ac:dyDescent="0.35">
      <c r="A6" s="145"/>
      <c r="B6" s="131" t="s">
        <v>186</v>
      </c>
      <c r="C6" s="48" t="s">
        <v>128</v>
      </c>
      <c r="D6" s="59" t="s">
        <v>187</v>
      </c>
      <c r="E6" s="59" t="s">
        <v>46</v>
      </c>
      <c r="F6" s="59" t="s">
        <v>87</v>
      </c>
      <c r="G6" s="59">
        <v>0</v>
      </c>
      <c r="H6" s="59" t="s">
        <v>41</v>
      </c>
      <c r="I6" s="60">
        <v>56978945335</v>
      </c>
      <c r="J6" s="27" t="s">
        <v>239</v>
      </c>
      <c r="K6" s="27" t="s">
        <v>48</v>
      </c>
      <c r="L6" s="52" t="s">
        <v>205</v>
      </c>
      <c r="M6" s="52" t="s">
        <v>206</v>
      </c>
      <c r="N6" s="70">
        <f>SUMPRODUCT(Tabla5237[[#This Row],[Paltas]:[Empanadas]],O$27:Z$27)</f>
        <v>54000</v>
      </c>
      <c r="O6" s="52">
        <v>7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3</v>
      </c>
      <c r="Y6" s="52">
        <v>0</v>
      </c>
      <c r="Z6" s="52">
        <v>0</v>
      </c>
      <c r="AA6" s="52">
        <f>SUM(Tabla5237[[#This Row],[Paltas]:[Empanadas]])</f>
        <v>10</v>
      </c>
      <c r="AB6" s="58" t="s">
        <v>240</v>
      </c>
    </row>
    <row r="7" spans="1:28" outlineLevel="1" x14ac:dyDescent="0.35">
      <c r="A7" s="145"/>
      <c r="B7" s="132" t="s">
        <v>190</v>
      </c>
      <c r="C7" s="47" t="s">
        <v>191</v>
      </c>
      <c r="D7" s="47" t="s">
        <v>192</v>
      </c>
      <c r="E7" s="47" t="s">
        <v>46</v>
      </c>
      <c r="F7" s="47" t="s">
        <v>193</v>
      </c>
      <c r="G7" s="47" t="s">
        <v>53</v>
      </c>
      <c r="H7" s="47" t="s">
        <v>41</v>
      </c>
      <c r="I7" s="53">
        <v>56955324629</v>
      </c>
      <c r="J7" s="27" t="s">
        <v>194</v>
      </c>
      <c r="K7" s="27" t="s">
        <v>48</v>
      </c>
      <c r="L7" s="52" t="s">
        <v>205</v>
      </c>
      <c r="M7" s="52" t="s">
        <v>206</v>
      </c>
      <c r="N7" s="47">
        <f>SUMPRODUCT(Tabla5237[[#This Row],[Paltas]:[Empanadas]],O$27:Z$27)</f>
        <v>31500</v>
      </c>
      <c r="O7" s="52">
        <v>7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SUM(Tabla5237[[#This Row],[Paltas]:[Empanadas]])</f>
        <v>7</v>
      </c>
      <c r="AB7" s="58" t="s">
        <v>240</v>
      </c>
    </row>
    <row r="8" spans="1:28" outlineLevel="1" x14ac:dyDescent="0.35">
      <c r="A8" s="145"/>
      <c r="B8" s="132" t="s">
        <v>232</v>
      </c>
      <c r="C8" s="47" t="s">
        <v>233</v>
      </c>
      <c r="D8" s="47" t="s">
        <v>234</v>
      </c>
      <c r="E8" s="47" t="s">
        <v>40</v>
      </c>
      <c r="F8" s="47" t="s">
        <v>49</v>
      </c>
      <c r="G8" s="47" t="s">
        <v>45</v>
      </c>
      <c r="H8" s="47" t="s">
        <v>217</v>
      </c>
      <c r="I8" s="53">
        <v>56987217393</v>
      </c>
      <c r="J8" s="27" t="s">
        <v>235</v>
      </c>
      <c r="K8" s="27" t="s">
        <v>48</v>
      </c>
      <c r="L8" s="52" t="s">
        <v>205</v>
      </c>
      <c r="M8" s="52" t="s">
        <v>206</v>
      </c>
      <c r="N8" s="47">
        <f>SUMPRODUCT(Tabla5237[[#This Row],[Paltas]:[Empanadas]],O$27:Z$27)</f>
        <v>24000</v>
      </c>
      <c r="O8" s="52">
        <v>2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2</v>
      </c>
      <c r="Y8" s="52">
        <v>0</v>
      </c>
      <c r="Z8" s="52">
        <v>0</v>
      </c>
      <c r="AA8" s="52">
        <f>SUM(Tabla5237[[#This Row],[Paltas]:[Empanadas]])</f>
        <v>4</v>
      </c>
      <c r="AB8" s="58"/>
    </row>
    <row r="9" spans="1:28" outlineLevel="1" x14ac:dyDescent="0.35">
      <c r="A9" s="145"/>
      <c r="B9" s="131" t="s">
        <v>122</v>
      </c>
      <c r="C9" s="48" t="s">
        <v>143</v>
      </c>
      <c r="D9" s="59" t="s">
        <v>160</v>
      </c>
      <c r="E9" s="59" t="s">
        <v>40</v>
      </c>
      <c r="F9" s="59" t="s">
        <v>49</v>
      </c>
      <c r="G9" s="59" t="s">
        <v>45</v>
      </c>
      <c r="H9" s="59" t="s">
        <v>41</v>
      </c>
      <c r="I9" s="60">
        <v>56997594184</v>
      </c>
      <c r="J9" s="27" t="s">
        <v>161</v>
      </c>
      <c r="K9" s="27" t="s">
        <v>48</v>
      </c>
      <c r="L9" s="52" t="s">
        <v>205</v>
      </c>
      <c r="M9" s="52" t="s">
        <v>206</v>
      </c>
      <c r="N9" s="70">
        <f>SUMPRODUCT(Tabla5237[[#This Row],[Paltas]:[Empanadas]],O$27:Z$27)</f>
        <v>13500</v>
      </c>
      <c r="O9" s="52">
        <v>3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SUM(Tabla5237[[#This Row],[Paltas]:[Empanadas]])</f>
        <v>3</v>
      </c>
      <c r="AB9" s="58"/>
    </row>
    <row r="10" spans="1:28" outlineLevel="1" x14ac:dyDescent="0.35">
      <c r="A10" s="145"/>
      <c r="B10" s="131" t="s">
        <v>150</v>
      </c>
      <c r="C10" s="48" t="s">
        <v>201</v>
      </c>
      <c r="D10" s="59" t="s">
        <v>202</v>
      </c>
      <c r="E10" s="59" t="s">
        <v>40</v>
      </c>
      <c r="F10" s="59" t="s">
        <v>49</v>
      </c>
      <c r="G10" s="59" t="s">
        <v>113</v>
      </c>
      <c r="H10" s="59" t="s">
        <v>41</v>
      </c>
      <c r="I10" s="60">
        <v>56976994719</v>
      </c>
      <c r="J10" s="27" t="s">
        <v>203</v>
      </c>
      <c r="K10" s="27" t="s">
        <v>48</v>
      </c>
      <c r="L10" s="52" t="s">
        <v>205</v>
      </c>
      <c r="M10" s="52" t="s">
        <v>206</v>
      </c>
      <c r="N10" s="70">
        <f>SUMPRODUCT(Tabla5237[[#This Row],[Paltas]:[Empanadas]],O$27:Z$27)</f>
        <v>13500</v>
      </c>
      <c r="O10" s="52">
        <v>3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SUM(Tabla5237[[#This Row],[Paltas]:[Empanadas]])</f>
        <v>3</v>
      </c>
      <c r="AB10" s="58" t="s">
        <v>240</v>
      </c>
    </row>
    <row r="11" spans="1:28" outlineLevel="1" x14ac:dyDescent="0.35">
      <c r="A11" s="145"/>
      <c r="B11" s="132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205</v>
      </c>
      <c r="M11" s="52" t="s">
        <v>205</v>
      </c>
      <c r="N11" s="47">
        <f>SUMPRODUCT(Tabla5237[[#This Row],[Paltas]:[Empanadas]],O$27:Z$27)</f>
        <v>25500</v>
      </c>
      <c r="O11" s="52">
        <v>1</v>
      </c>
      <c r="P11" s="52">
        <v>0</v>
      </c>
      <c r="Q11" s="52">
        <v>1</v>
      </c>
      <c r="R11" s="52">
        <v>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1</v>
      </c>
      <c r="Y11" s="52">
        <v>0</v>
      </c>
      <c r="Z11" s="52">
        <v>0</v>
      </c>
      <c r="AA11" s="52">
        <f>SUM(Tabla5237[[#This Row],[Paltas]:[Empanadas]])</f>
        <v>5</v>
      </c>
      <c r="AB11" s="58"/>
    </row>
    <row r="12" spans="1:28" outlineLevel="1" x14ac:dyDescent="0.35">
      <c r="A12" s="145"/>
      <c r="B12" s="132" t="s">
        <v>176</v>
      </c>
      <c r="C12" s="47" t="s">
        <v>177</v>
      </c>
      <c r="D12" s="47" t="s">
        <v>178</v>
      </c>
      <c r="E12" s="47" t="s">
        <v>46</v>
      </c>
      <c r="F12" s="47" t="s">
        <v>87</v>
      </c>
      <c r="G12" s="47" t="s">
        <v>45</v>
      </c>
      <c r="H12" s="47" t="s">
        <v>41</v>
      </c>
      <c r="I12" s="53">
        <v>56963061299</v>
      </c>
      <c r="J12" s="27" t="s">
        <v>179</v>
      </c>
      <c r="K12" s="27" t="s">
        <v>42</v>
      </c>
      <c r="L12" s="52" t="s">
        <v>205</v>
      </c>
      <c r="M12" s="52" t="s">
        <v>205</v>
      </c>
      <c r="N12" s="47">
        <f>SUMPRODUCT(Tabla5237[[#This Row],[Paltas]:[Empanadas]],O$27:Z$27)</f>
        <v>16500</v>
      </c>
      <c r="O12" s="52">
        <v>1</v>
      </c>
      <c r="P12" s="52">
        <v>0</v>
      </c>
      <c r="Q12" s="52">
        <v>1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1</v>
      </c>
      <c r="Y12" s="52">
        <v>0</v>
      </c>
      <c r="Z12" s="52">
        <v>0</v>
      </c>
      <c r="AA12" s="52">
        <f>SUM(Tabla5237[[#This Row],[Paltas]:[Empanadas]])</f>
        <v>3</v>
      </c>
      <c r="AB12" s="58"/>
    </row>
    <row r="13" spans="1:28" outlineLevel="1" x14ac:dyDescent="0.35">
      <c r="A13" s="145"/>
      <c r="B13" s="131" t="s">
        <v>169</v>
      </c>
      <c r="C13" s="48" t="s">
        <v>170</v>
      </c>
      <c r="D13" s="59" t="s">
        <v>174</v>
      </c>
      <c r="E13" s="59" t="s">
        <v>46</v>
      </c>
      <c r="F13" s="59" t="s">
        <v>87</v>
      </c>
      <c r="G13" s="59" t="s">
        <v>45</v>
      </c>
      <c r="H13" s="59" t="s">
        <v>41</v>
      </c>
      <c r="I13" s="60">
        <v>56966685970</v>
      </c>
      <c r="J13" s="27" t="s">
        <v>175</v>
      </c>
      <c r="K13" s="27" t="s">
        <v>42</v>
      </c>
      <c r="L13" s="52" t="s">
        <v>205</v>
      </c>
      <c r="M13" s="52" t="s">
        <v>205</v>
      </c>
      <c r="N13" s="70">
        <f>SUMPRODUCT(Tabla5237[[#This Row],[Paltas]:[Empanadas]],O$27:Z$27)</f>
        <v>39000</v>
      </c>
      <c r="O13" s="52">
        <v>0</v>
      </c>
      <c r="P13" s="52">
        <v>0</v>
      </c>
      <c r="Q13" s="52">
        <v>0</v>
      </c>
      <c r="R13" s="52">
        <v>0</v>
      </c>
      <c r="S13" s="52">
        <v>2</v>
      </c>
      <c r="T13" s="52">
        <v>1</v>
      </c>
      <c r="U13" s="52">
        <v>1</v>
      </c>
      <c r="V13" s="52">
        <v>0</v>
      </c>
      <c r="W13" s="52">
        <v>2</v>
      </c>
      <c r="X13" s="52">
        <v>0</v>
      </c>
      <c r="Y13" s="52">
        <v>0</v>
      </c>
      <c r="Z13" s="52">
        <v>0</v>
      </c>
      <c r="AA13" s="52">
        <f>SUM(Tabla5237[[#This Row],[Paltas]:[Empanadas]])</f>
        <v>6</v>
      </c>
      <c r="AB13" s="58"/>
    </row>
    <row r="14" spans="1:28" outlineLevel="1" x14ac:dyDescent="0.35">
      <c r="A14" s="145"/>
      <c r="B14" s="131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42</v>
      </c>
      <c r="L14" s="52" t="s">
        <v>205</v>
      </c>
      <c r="M14" s="52" t="s">
        <v>205</v>
      </c>
      <c r="N14" s="70">
        <f>SUMPRODUCT(Tabla5237[[#This Row],[Paltas]:[Empanadas]],O$27:Z$27)</f>
        <v>185500</v>
      </c>
      <c r="O14" s="52">
        <v>2</v>
      </c>
      <c r="P14" s="52">
        <v>2</v>
      </c>
      <c r="Q14" s="52">
        <v>4</v>
      </c>
      <c r="R14" s="52">
        <v>1</v>
      </c>
      <c r="S14" s="52">
        <v>0</v>
      </c>
      <c r="T14" s="52">
        <v>1</v>
      </c>
      <c r="U14" s="52">
        <v>1</v>
      </c>
      <c r="V14" s="52">
        <v>1</v>
      </c>
      <c r="W14" s="52">
        <v>2</v>
      </c>
      <c r="X14" s="52">
        <v>12</v>
      </c>
      <c r="Y14" s="52">
        <v>3</v>
      </c>
      <c r="Z14" s="52">
        <v>0</v>
      </c>
      <c r="AA14" s="52">
        <f>SUM(Tabla5237[[#This Row],[Paltas]:[Empanadas]])</f>
        <v>29</v>
      </c>
      <c r="AB14" s="58"/>
    </row>
    <row r="15" spans="1:28" outlineLevel="1" x14ac:dyDescent="0.35">
      <c r="A15" s="145"/>
      <c r="B15" s="132" t="s">
        <v>231</v>
      </c>
      <c r="C15" s="47" t="s">
        <v>236</v>
      </c>
      <c r="D15" s="47" t="s">
        <v>237</v>
      </c>
      <c r="E15" s="47" t="s">
        <v>43</v>
      </c>
      <c r="F15" s="47" t="s">
        <v>44</v>
      </c>
      <c r="G15" s="47" t="s">
        <v>45</v>
      </c>
      <c r="H15" s="47" t="s">
        <v>41</v>
      </c>
      <c r="I15" s="53">
        <v>56942723186</v>
      </c>
      <c r="J15" s="27" t="s">
        <v>238</v>
      </c>
      <c r="K15" s="27" t="s">
        <v>42</v>
      </c>
      <c r="L15" s="52" t="s">
        <v>205</v>
      </c>
      <c r="M15" s="52" t="s">
        <v>205</v>
      </c>
      <c r="N15" s="47">
        <f>SUMPRODUCT(Tabla5237[[#This Row],[Paltas]:[Empanadas]],O$27:Z$27)</f>
        <v>27000</v>
      </c>
      <c r="O15" s="52">
        <v>6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f>SUM(Tabla5237[[#This Row],[Paltas]:[Empanadas]])</f>
        <v>6</v>
      </c>
      <c r="AB15" s="58" t="s">
        <v>240</v>
      </c>
    </row>
    <row r="16" spans="1:28" outlineLevel="1" x14ac:dyDescent="0.35">
      <c r="A16" s="145"/>
      <c r="B16" s="132" t="s">
        <v>62</v>
      </c>
      <c r="C16" s="47" t="s">
        <v>63</v>
      </c>
      <c r="D16" s="47" t="s">
        <v>64</v>
      </c>
      <c r="E16" s="47" t="s">
        <v>40</v>
      </c>
      <c r="F16" s="47" t="s">
        <v>49</v>
      </c>
      <c r="G16" s="47" t="s">
        <v>51</v>
      </c>
      <c r="H16" s="47" t="s">
        <v>41</v>
      </c>
      <c r="I16" s="53">
        <v>56952304675</v>
      </c>
      <c r="J16" s="27" t="s">
        <v>65</v>
      </c>
      <c r="K16" s="27" t="s">
        <v>48</v>
      </c>
      <c r="L16" s="52" t="s">
        <v>205</v>
      </c>
      <c r="M16" s="52" t="s">
        <v>205</v>
      </c>
      <c r="N16" s="47">
        <f>SUMPRODUCT(Tabla5237[[#This Row],[Paltas]:[Empanadas]],O$27:Z$27)</f>
        <v>21000</v>
      </c>
      <c r="O16" s="52">
        <v>2</v>
      </c>
      <c r="P16" s="52">
        <v>0</v>
      </c>
      <c r="Q16" s="52">
        <v>0</v>
      </c>
      <c r="R16" s="52">
        <v>1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1</v>
      </c>
      <c r="Y16" s="52">
        <v>0</v>
      </c>
      <c r="Z16" s="52">
        <v>0</v>
      </c>
      <c r="AA16" s="52">
        <f>SUM(Tabla5237[[#This Row],[Paltas]:[Empanadas]])</f>
        <v>4</v>
      </c>
      <c r="AB16" s="58"/>
    </row>
    <row r="17" spans="1:28" ht="15" outlineLevel="1" thickBot="1" x14ac:dyDescent="0.4">
      <c r="A17" s="146"/>
      <c r="B17" s="133" t="s">
        <v>159</v>
      </c>
      <c r="C17" s="14" t="s">
        <v>52</v>
      </c>
      <c r="D17" s="65"/>
      <c r="E17" s="65"/>
      <c r="F17" s="65"/>
      <c r="G17" s="65"/>
      <c r="H17" s="65"/>
      <c r="I17" s="66">
        <v>0</v>
      </c>
      <c r="J17" s="46"/>
      <c r="K17" s="46" t="s">
        <v>48</v>
      </c>
      <c r="L17" s="16" t="s">
        <v>205</v>
      </c>
      <c r="M17" s="16" t="s">
        <v>205</v>
      </c>
      <c r="N17" s="71">
        <f>SUMPRODUCT(Tabla5237[[#This Row],[Paltas]:[Empanadas]],O$27:Z$27)</f>
        <v>22500</v>
      </c>
      <c r="O17" s="16">
        <v>2</v>
      </c>
      <c r="P17" s="16">
        <v>0</v>
      </c>
      <c r="Q17" s="16">
        <v>1</v>
      </c>
      <c r="R17" s="16">
        <v>2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f>SUM(Tabla5237[[#This Row],[Paltas]:[Empanadas]])</f>
        <v>5</v>
      </c>
      <c r="AB17" s="45"/>
    </row>
    <row r="18" spans="1:28" outlineLevel="1" x14ac:dyDescent="0.35">
      <c r="A18" s="18"/>
      <c r="B18" s="19"/>
      <c r="C18" s="19"/>
      <c r="D18" s="19"/>
      <c r="E18" s="19"/>
      <c r="F18" s="19"/>
      <c r="G18" s="19"/>
      <c r="H18" s="19"/>
      <c r="I18" s="32"/>
      <c r="J18" s="31"/>
      <c r="K18" s="3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8" ht="15" thickBot="1" x14ac:dyDescent="0.4"/>
    <row r="20" spans="1:28" ht="14.65" customHeight="1" thickBot="1" x14ac:dyDescent="0.4">
      <c r="A20" s="165" t="s">
        <v>20</v>
      </c>
      <c r="B20" s="156" t="s">
        <v>7</v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8"/>
      <c r="N20" s="136" t="s">
        <v>9</v>
      </c>
      <c r="O20" s="8">
        <f>SUM(Tabla5237[Paltas])</f>
        <v>40</v>
      </c>
      <c r="P20" s="49">
        <f>SUM(Tabla5237[Quesos])</f>
        <v>2</v>
      </c>
      <c r="Q20" s="49">
        <f>SUM(Tabla5237[Frutillas])</f>
        <v>16</v>
      </c>
      <c r="R20" s="49">
        <f>SUM(Tabla5237[Tomate Cherry])</f>
        <v>6</v>
      </c>
      <c r="S20" s="49">
        <f>SUM(Tabla5237[Nueces])</f>
        <v>2</v>
      </c>
      <c r="T20" s="49">
        <f>SUM(Tabla5237[Mani Sal])</f>
        <v>2</v>
      </c>
      <c r="U20" s="49">
        <f>SUM(Tabla5237[Pistachos])</f>
        <v>2</v>
      </c>
      <c r="V20" s="49">
        <f>SUM(Tabla5237[Caju])</f>
        <v>1</v>
      </c>
      <c r="W20" s="49">
        <f>SUM(Tabla5237[Almendras])</f>
        <v>4</v>
      </c>
      <c r="X20" s="49">
        <f>SUM(Tabla5237[Cerezas])</f>
        <v>20</v>
      </c>
      <c r="Y20" s="49">
        <f>SUM(Tabla5237[Arandanos])</f>
        <v>3</v>
      </c>
      <c r="Z20" s="4">
        <f>SUM(Tabla5237[Empanadas])</f>
        <v>0</v>
      </c>
    </row>
    <row r="21" spans="1:28" ht="14.65" customHeight="1" thickBot="1" x14ac:dyDescent="0.4">
      <c r="A21" s="166"/>
      <c r="B21" s="174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6"/>
      <c r="N21" s="136" t="s">
        <v>28</v>
      </c>
      <c r="O21" s="9">
        <v>5</v>
      </c>
      <c r="P21" s="52">
        <v>4</v>
      </c>
      <c r="Q21" s="52">
        <v>2</v>
      </c>
      <c r="R21" s="37">
        <v>1</v>
      </c>
      <c r="S21" s="73">
        <v>0.5</v>
      </c>
      <c r="T21" s="73">
        <v>1</v>
      </c>
      <c r="U21" s="73">
        <v>0.5</v>
      </c>
      <c r="V21" s="73">
        <v>0.4</v>
      </c>
      <c r="W21" s="73">
        <v>0.5</v>
      </c>
      <c r="X21" s="73">
        <v>5</v>
      </c>
      <c r="Y21" s="73">
        <v>0.5</v>
      </c>
      <c r="Z21" s="38">
        <v>12</v>
      </c>
    </row>
    <row r="22" spans="1:28" ht="14.65" customHeight="1" thickBot="1" x14ac:dyDescent="0.4">
      <c r="A22" s="166"/>
      <c r="B22" s="174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6"/>
      <c r="N22" s="136" t="s">
        <v>8</v>
      </c>
      <c r="O22" s="9">
        <f>O21*O20</f>
        <v>200</v>
      </c>
      <c r="P22" s="52">
        <f t="shared" ref="P22:Z22" si="0">P21*P20</f>
        <v>8</v>
      </c>
      <c r="Q22" s="52">
        <f t="shared" si="0"/>
        <v>32</v>
      </c>
      <c r="R22" s="52">
        <f t="shared" si="0"/>
        <v>6</v>
      </c>
      <c r="S22" s="52">
        <f t="shared" si="0"/>
        <v>1</v>
      </c>
      <c r="T22" s="52">
        <f t="shared" si="0"/>
        <v>2</v>
      </c>
      <c r="U22" s="52">
        <f t="shared" si="0"/>
        <v>1</v>
      </c>
      <c r="V22" s="52">
        <f t="shared" si="0"/>
        <v>0.4</v>
      </c>
      <c r="W22" s="52">
        <f t="shared" si="0"/>
        <v>2</v>
      </c>
      <c r="X22" s="52">
        <f t="shared" si="0"/>
        <v>100</v>
      </c>
      <c r="Y22" s="52">
        <f t="shared" si="0"/>
        <v>1.5</v>
      </c>
      <c r="Z22" s="11">
        <f t="shared" si="0"/>
        <v>0</v>
      </c>
    </row>
    <row r="23" spans="1:28" ht="15" thickBot="1" x14ac:dyDescent="0.4">
      <c r="A23" s="166"/>
      <c r="B23" s="159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1"/>
      <c r="N23" s="136" t="s">
        <v>10</v>
      </c>
      <c r="O23" s="10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2"/>
    </row>
    <row r="24" spans="1:28" ht="15" thickBot="1" x14ac:dyDescent="0.4">
      <c r="A24" s="166"/>
      <c r="B24" s="137"/>
      <c r="C24" s="19"/>
      <c r="D24" s="23"/>
      <c r="E24" s="24"/>
      <c r="F24" s="24"/>
      <c r="G24" s="24"/>
      <c r="H24" s="24"/>
      <c r="I24" s="24"/>
      <c r="J24" s="24"/>
      <c r="K24" s="25"/>
      <c r="N24" s="3"/>
    </row>
    <row r="25" spans="1:28" ht="15" thickBot="1" x14ac:dyDescent="0.4">
      <c r="A25" s="166"/>
      <c r="B25" s="156" t="s">
        <v>12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36" t="s">
        <v>13</v>
      </c>
      <c r="O25" s="54">
        <v>3100</v>
      </c>
      <c r="P25" s="51">
        <v>6716</v>
      </c>
      <c r="Q25" s="51">
        <v>2600</v>
      </c>
      <c r="R25" s="51">
        <v>2300</v>
      </c>
      <c r="S25" s="51">
        <f t="shared" ref="S25:Z25" si="1">S26*S21</f>
        <v>3750</v>
      </c>
      <c r="T25" s="51">
        <f t="shared" si="1"/>
        <v>3500</v>
      </c>
      <c r="U25" s="51">
        <f t="shared" si="1"/>
        <v>7050</v>
      </c>
      <c r="V25" s="51">
        <f t="shared" si="1"/>
        <v>5320</v>
      </c>
      <c r="W25" s="51">
        <f t="shared" si="1"/>
        <v>5350</v>
      </c>
      <c r="X25" s="51">
        <f t="shared" si="1"/>
        <v>6000</v>
      </c>
      <c r="Y25" s="51">
        <f t="shared" si="1"/>
        <v>600</v>
      </c>
      <c r="Z25" s="15">
        <f t="shared" si="1"/>
        <v>12000</v>
      </c>
    </row>
    <row r="26" spans="1:28" ht="15" thickBot="1" x14ac:dyDescent="0.4">
      <c r="A26" s="166"/>
      <c r="B26" s="174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6"/>
      <c r="N26" s="136" t="s">
        <v>8</v>
      </c>
      <c r="O26" s="77">
        <v>1550</v>
      </c>
      <c r="P26" s="76">
        <v>6716</v>
      </c>
      <c r="Q26" s="76">
        <v>1300</v>
      </c>
      <c r="R26" s="76">
        <v>2300</v>
      </c>
      <c r="S26" s="76">
        <v>7500</v>
      </c>
      <c r="T26" s="76">
        <v>3500</v>
      </c>
      <c r="U26" s="76">
        <v>14100</v>
      </c>
      <c r="V26" s="76">
        <v>13300</v>
      </c>
      <c r="W26" s="76">
        <v>10700</v>
      </c>
      <c r="X26" s="76">
        <f>6000/5</f>
        <v>1200</v>
      </c>
      <c r="Y26" s="76">
        <f>6000/5</f>
        <v>1200</v>
      </c>
      <c r="Z26" s="80">
        <v>1000</v>
      </c>
    </row>
    <row r="27" spans="1:28" ht="15" thickBot="1" x14ac:dyDescent="0.4">
      <c r="A27" s="166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136" t="s">
        <v>14</v>
      </c>
      <c r="O27" s="78">
        <v>4500</v>
      </c>
      <c r="P27" s="79">
        <v>7500</v>
      </c>
      <c r="Q27" s="79">
        <v>4500</v>
      </c>
      <c r="R27" s="79">
        <v>4500</v>
      </c>
      <c r="S27" s="79">
        <v>5500</v>
      </c>
      <c r="T27" s="79">
        <v>4500</v>
      </c>
      <c r="U27" s="79">
        <v>8500</v>
      </c>
      <c r="V27" s="79">
        <v>7500</v>
      </c>
      <c r="W27" s="79">
        <v>7500</v>
      </c>
      <c r="X27" s="79">
        <v>7500</v>
      </c>
      <c r="Y27" s="79">
        <v>4500</v>
      </c>
      <c r="Z27" s="81">
        <v>17500</v>
      </c>
    </row>
    <row r="28" spans="1:28" ht="15" thickBot="1" x14ac:dyDescent="0.4">
      <c r="A28" s="166"/>
      <c r="B28" s="137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4.65" customHeight="1" thickBot="1" x14ac:dyDescent="0.4">
      <c r="A29" s="166"/>
      <c r="B29" s="156" t="s">
        <v>15</v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8"/>
      <c r="N29" s="136" t="s">
        <v>19</v>
      </c>
      <c r="O29" s="87">
        <f>O20*O25</f>
        <v>124000</v>
      </c>
      <c r="P29" s="88">
        <f t="shared" ref="P29:Z29" si="2">P20*P25</f>
        <v>13432</v>
      </c>
      <c r="Q29" s="88">
        <f t="shared" si="2"/>
        <v>41600</v>
      </c>
      <c r="R29" s="89">
        <f t="shared" si="2"/>
        <v>13800</v>
      </c>
      <c r="S29" s="88">
        <f t="shared" si="2"/>
        <v>7500</v>
      </c>
      <c r="T29" s="88">
        <f t="shared" si="2"/>
        <v>7000</v>
      </c>
      <c r="U29" s="88">
        <f t="shared" si="2"/>
        <v>14100</v>
      </c>
      <c r="V29" s="88">
        <f t="shared" si="2"/>
        <v>5320</v>
      </c>
      <c r="W29" s="88">
        <f t="shared" si="2"/>
        <v>21400</v>
      </c>
      <c r="X29" s="88">
        <f t="shared" si="2"/>
        <v>120000</v>
      </c>
      <c r="Y29" s="88">
        <f t="shared" si="2"/>
        <v>1800</v>
      </c>
      <c r="Z29" s="90">
        <f t="shared" si="2"/>
        <v>0</v>
      </c>
    </row>
    <row r="30" spans="1:28" ht="15" thickBot="1" x14ac:dyDescent="0.4">
      <c r="A30" s="166"/>
      <c r="B30" s="159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1"/>
      <c r="N30" s="136" t="s">
        <v>16</v>
      </c>
      <c r="O30" s="153">
        <f>SUM(O29:Z29)</f>
        <v>369952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5"/>
    </row>
    <row r="31" spans="1:28" ht="15" thickBot="1" x14ac:dyDescent="0.4">
      <c r="A31" s="166"/>
      <c r="B31" s="156" t="s">
        <v>17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136" t="s">
        <v>19</v>
      </c>
      <c r="O31" s="50">
        <f t="shared" ref="O31:Z31" si="3">O27*O20</f>
        <v>180000</v>
      </c>
      <c r="P31" s="48">
        <f t="shared" si="3"/>
        <v>15000</v>
      </c>
      <c r="Q31" s="48">
        <f t="shared" si="3"/>
        <v>72000</v>
      </c>
      <c r="R31" s="48">
        <f t="shared" si="3"/>
        <v>27000</v>
      </c>
      <c r="S31" s="48">
        <f t="shared" si="3"/>
        <v>11000</v>
      </c>
      <c r="T31" s="48">
        <f t="shared" si="3"/>
        <v>9000</v>
      </c>
      <c r="U31" s="48">
        <f t="shared" si="3"/>
        <v>17000</v>
      </c>
      <c r="V31" s="48">
        <f t="shared" si="3"/>
        <v>7500</v>
      </c>
      <c r="W31" s="48">
        <f t="shared" si="3"/>
        <v>30000</v>
      </c>
      <c r="X31" s="48">
        <f t="shared" si="3"/>
        <v>150000</v>
      </c>
      <c r="Y31" s="48">
        <f t="shared" si="3"/>
        <v>13500</v>
      </c>
      <c r="Z31" s="91">
        <f t="shared" si="3"/>
        <v>0</v>
      </c>
    </row>
    <row r="32" spans="1:28" ht="15" thickBot="1" x14ac:dyDescent="0.4">
      <c r="A32" s="166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36" t="s">
        <v>16</v>
      </c>
      <c r="O32" s="153">
        <f>SUM(O31:Z31)</f>
        <v>532000</v>
      </c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5"/>
    </row>
    <row r="33" spans="1:26" ht="14.65" customHeight="1" thickBot="1" x14ac:dyDescent="0.4">
      <c r="A33" s="166"/>
      <c r="B33" s="156" t="s">
        <v>18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8"/>
      <c r="N33" s="136" t="s">
        <v>19</v>
      </c>
      <c r="O33" s="50">
        <f>O31-O29</f>
        <v>56000</v>
      </c>
      <c r="P33" s="48">
        <f t="shared" ref="P33:Y33" si="4">P31-P29</f>
        <v>1568</v>
      </c>
      <c r="Q33" s="48">
        <f t="shared" si="4"/>
        <v>30400</v>
      </c>
      <c r="R33" s="48">
        <f t="shared" si="4"/>
        <v>13200</v>
      </c>
      <c r="S33" s="48">
        <f t="shared" si="4"/>
        <v>3500</v>
      </c>
      <c r="T33" s="48">
        <f t="shared" si="4"/>
        <v>2000</v>
      </c>
      <c r="U33" s="48">
        <f t="shared" si="4"/>
        <v>2900</v>
      </c>
      <c r="V33" s="48">
        <f t="shared" si="4"/>
        <v>2180</v>
      </c>
      <c r="W33" s="48">
        <f t="shared" si="4"/>
        <v>8600</v>
      </c>
      <c r="X33" s="48">
        <f t="shared" si="4"/>
        <v>30000</v>
      </c>
      <c r="Y33" s="48">
        <f t="shared" si="4"/>
        <v>11700</v>
      </c>
      <c r="Z33" s="91">
        <f>Z31-Z29</f>
        <v>0</v>
      </c>
    </row>
    <row r="34" spans="1:26" ht="29.65" customHeight="1" thickBot="1" x14ac:dyDescent="0.4">
      <c r="A34" s="166"/>
      <c r="B34" s="159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36" t="s">
        <v>29</v>
      </c>
      <c r="O34" s="150">
        <f>O32-O30</f>
        <v>162048</v>
      </c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2"/>
    </row>
    <row r="35" spans="1:26" ht="15" thickBot="1" x14ac:dyDescent="0.4">
      <c r="A35" s="166"/>
    </row>
    <row r="36" spans="1:26" ht="14.65" customHeight="1" thickBot="1" x14ac:dyDescent="0.4">
      <c r="A36" s="166"/>
      <c r="B36" s="177" t="s">
        <v>25</v>
      </c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9"/>
      <c r="O36" s="168" t="s">
        <v>26</v>
      </c>
      <c r="P36" s="169"/>
      <c r="Q36" s="170"/>
      <c r="R36" s="29" t="s">
        <v>27</v>
      </c>
      <c r="S36" s="5"/>
      <c r="T36" s="5"/>
      <c r="U36" s="5"/>
      <c r="V36" s="5"/>
      <c r="W36" s="5"/>
      <c r="X36" s="5"/>
      <c r="Y36" s="5"/>
      <c r="Z36" s="5"/>
    </row>
    <row r="37" spans="1:26" ht="15" customHeight="1" x14ac:dyDescent="0.35">
      <c r="A37" s="166"/>
      <c r="B37" s="180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2"/>
      <c r="O37" s="192"/>
      <c r="P37" s="193"/>
      <c r="Q37" s="194"/>
      <c r="R37" s="33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35">
      <c r="A38" s="166"/>
      <c r="B38" s="180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2"/>
      <c r="O38" s="189"/>
      <c r="P38" s="190"/>
      <c r="Q38" s="191"/>
      <c r="R38" s="34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35">
      <c r="A39" s="166"/>
      <c r="B39" s="180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  <c r="O39" s="189"/>
      <c r="P39" s="190"/>
      <c r="Q39" s="191"/>
      <c r="R39" s="34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35">
      <c r="A40" s="166"/>
      <c r="B40" s="180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  <c r="O40" s="189"/>
      <c r="P40" s="190"/>
      <c r="Q40" s="191"/>
      <c r="R40" s="34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35">
      <c r="A41" s="166"/>
      <c r="B41" s="180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  <c r="O41" s="189"/>
      <c r="P41" s="190"/>
      <c r="Q41" s="191"/>
      <c r="R41" s="34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89"/>
      <c r="P42" s="190"/>
      <c r="Q42" s="191"/>
      <c r="R42" s="34"/>
      <c r="S42" s="6"/>
      <c r="T42" s="6"/>
      <c r="U42" s="6"/>
      <c r="V42" s="6"/>
      <c r="W42" s="6"/>
      <c r="X42" s="6"/>
      <c r="Y42" s="6"/>
      <c r="Z42" s="6"/>
    </row>
    <row r="43" spans="1:26" ht="15" customHeight="1" thickBot="1" x14ac:dyDescent="0.4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95"/>
      <c r="P43" s="196"/>
      <c r="Q43" s="197"/>
      <c r="R43" s="34"/>
      <c r="S43" s="6"/>
      <c r="T43" s="6"/>
      <c r="U43" s="6"/>
      <c r="V43" s="6"/>
      <c r="W43" s="6"/>
      <c r="X43" s="6"/>
      <c r="Y43" s="6"/>
      <c r="Z43" s="6"/>
    </row>
    <row r="44" spans="1:26" ht="15.75" customHeight="1" thickBot="1" x14ac:dyDescent="0.4">
      <c r="A44" s="166"/>
      <c r="B44" s="183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5"/>
      <c r="O44" s="186" t="s">
        <v>16</v>
      </c>
      <c r="P44" s="187"/>
      <c r="Q44" s="188"/>
      <c r="R44" s="35">
        <f>SUM(R37:R43)</f>
        <v>0</v>
      </c>
      <c r="S44" s="6"/>
      <c r="T44" s="6"/>
      <c r="U44" s="6"/>
      <c r="V44" s="6"/>
      <c r="W44" s="6"/>
      <c r="X44" s="6"/>
      <c r="Y44" s="6"/>
      <c r="Z44" s="6"/>
    </row>
    <row r="45" spans="1:26" ht="15" thickBot="1" x14ac:dyDescent="0.4">
      <c r="A45" s="166"/>
    </row>
    <row r="46" spans="1:26" ht="51.75" customHeight="1" thickBot="1" x14ac:dyDescent="0.4">
      <c r="A46" s="167"/>
      <c r="B46" s="168" t="s">
        <v>18</v>
      </c>
      <c r="C46" s="169"/>
      <c r="D46" s="169"/>
      <c r="E46" s="169"/>
      <c r="F46" s="169"/>
      <c r="G46" s="169"/>
      <c r="H46" s="169"/>
      <c r="I46" s="169"/>
      <c r="J46" s="169"/>
      <c r="K46" s="169"/>
      <c r="L46" s="170"/>
      <c r="M46" s="136"/>
      <c r="N46" s="135" t="s">
        <v>16</v>
      </c>
      <c r="O46" s="171">
        <f>O34-SUM(R37:R43)</f>
        <v>162048</v>
      </c>
      <c r="P46" s="172"/>
      <c r="Q46" s="172"/>
      <c r="R46" s="172"/>
      <c r="S46" s="173"/>
      <c r="T46" s="72"/>
      <c r="U46" s="72"/>
      <c r="V46" s="72"/>
      <c r="W46" s="72"/>
      <c r="X46" s="72"/>
      <c r="Y46" s="72"/>
      <c r="Z46" s="72"/>
    </row>
    <row r="47" spans="1:26" ht="15.75" customHeight="1" x14ac:dyDescent="0.35">
      <c r="A47" s="30"/>
      <c r="P47" s="28"/>
      <c r="Q47" s="28"/>
      <c r="R47" s="28"/>
      <c r="S47" s="138"/>
      <c r="T47" s="138"/>
      <c r="U47" s="138"/>
      <c r="V47" s="138"/>
      <c r="W47" s="138"/>
      <c r="X47" s="138"/>
      <c r="Y47" s="138"/>
      <c r="Z47" s="138"/>
    </row>
    <row r="48" spans="1:26" ht="15" customHeight="1" x14ac:dyDescent="0.35">
      <c r="A48" s="30"/>
      <c r="P48" s="28"/>
      <c r="Q48" s="28"/>
      <c r="R48" s="28"/>
      <c r="S48" s="7"/>
      <c r="T48" s="7"/>
      <c r="U48" s="7"/>
      <c r="V48" s="7"/>
      <c r="W48" s="7"/>
      <c r="X48" s="7"/>
      <c r="Y48" s="7"/>
      <c r="Z48" s="7"/>
    </row>
    <row r="49" spans="16:26" ht="15" customHeight="1" x14ac:dyDescent="0.35">
      <c r="P49" s="28"/>
      <c r="Q49" s="28"/>
      <c r="R49" s="28"/>
      <c r="S49" s="7"/>
      <c r="T49" s="7"/>
      <c r="U49" s="7"/>
      <c r="V49" s="7"/>
      <c r="W49" s="7"/>
      <c r="X49" s="7"/>
      <c r="Y49" s="7"/>
      <c r="Z49" s="7"/>
    </row>
    <row r="50" spans="16:26" ht="15" customHeight="1" x14ac:dyDescent="0.35">
      <c r="P50" s="28"/>
      <c r="Q50" s="28"/>
      <c r="R50" s="28"/>
      <c r="S50" s="7"/>
      <c r="T50" s="7"/>
      <c r="U50" s="7"/>
      <c r="V50" s="7"/>
      <c r="W50" s="7"/>
      <c r="X50" s="7"/>
      <c r="Y50" s="7"/>
      <c r="Z50" s="7"/>
    </row>
    <row r="51" spans="16:26" ht="15" customHeight="1" x14ac:dyDescent="0.35">
      <c r="P51" s="28"/>
      <c r="Q51" s="28"/>
      <c r="R51" s="28"/>
      <c r="S51" s="7"/>
      <c r="T51" s="7"/>
      <c r="U51" s="7"/>
      <c r="V51" s="7"/>
      <c r="W51" s="7"/>
      <c r="X51" s="7"/>
      <c r="Y51" s="7"/>
      <c r="Z51" s="7"/>
    </row>
    <row r="52" spans="16:26" ht="15" customHeight="1" x14ac:dyDescent="0.35">
      <c r="P52" s="28"/>
      <c r="Q52" s="28"/>
      <c r="R52" s="28"/>
      <c r="S52" s="7"/>
      <c r="T52" s="7"/>
      <c r="U52" s="7"/>
      <c r="V52" s="7"/>
      <c r="W52" s="7"/>
      <c r="X52" s="7"/>
      <c r="Y52" s="7"/>
      <c r="Z52" s="7"/>
    </row>
    <row r="53" spans="16:26" ht="15" customHeight="1" x14ac:dyDescent="0.35"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</row>
    <row r="54" spans="16:26" ht="15" customHeight="1" x14ac:dyDescent="0.3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</row>
    <row r="55" spans="16:26" ht="15.75" customHeight="1" x14ac:dyDescent="0.3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</row>
  </sheetData>
  <mergeCells count="24">
    <mergeCell ref="B2:N2"/>
    <mergeCell ref="O2:Z2"/>
    <mergeCell ref="A5:A17"/>
    <mergeCell ref="A20:A46"/>
    <mergeCell ref="B20:M23"/>
    <mergeCell ref="B25:M27"/>
    <mergeCell ref="B29:M30"/>
    <mergeCell ref="O30:Z30"/>
    <mergeCell ref="B31:M32"/>
    <mergeCell ref="O32:Z32"/>
    <mergeCell ref="O43:Q43"/>
    <mergeCell ref="O44:Q44"/>
    <mergeCell ref="B46:L46"/>
    <mergeCell ref="O46:S46"/>
    <mergeCell ref="B33:M34"/>
    <mergeCell ref="O34:Z34"/>
    <mergeCell ref="B36:N44"/>
    <mergeCell ref="O36:Q36"/>
    <mergeCell ref="O37:Q37"/>
    <mergeCell ref="O38:Q38"/>
    <mergeCell ref="O39:Q39"/>
    <mergeCell ref="O40:Q40"/>
    <mergeCell ref="O41:Q41"/>
    <mergeCell ref="O42:Q42"/>
  </mergeCells>
  <conditionalFormatting sqref="AA5:AA17">
    <cfRule type="cellIs" dxfId="178" priority="1" operator="lessThan">
      <formula>20</formula>
    </cfRule>
    <cfRule type="cellIs" dxfId="177" priority="2" operator="between">
      <formula>20</formula>
      <formula>29</formula>
    </cfRule>
    <cfRule type="cellIs" dxfId="17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66C3-6059-445F-A5F1-5D6D7982AA77}">
  <sheetPr codeName="Hoja7">
    <pageSetUpPr autoPageBreaks="0"/>
  </sheetPr>
  <dimension ref="A1:AB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6" width="15.453125" customWidth="1"/>
    <col min="28" max="28" width="71.453125" style="39" customWidth="1"/>
  </cols>
  <sheetData>
    <row r="1" spans="1:28" ht="15" thickBot="1" x14ac:dyDescent="0.4"/>
    <row r="2" spans="1:28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7" t="s">
        <v>11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9"/>
    </row>
    <row r="3" spans="1:28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243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35">
      <c r="A5" s="205"/>
      <c r="B5" s="87" t="s">
        <v>98</v>
      </c>
      <c r="C5" s="88" t="s">
        <v>99</v>
      </c>
      <c r="D5" s="114" t="s">
        <v>100</v>
      </c>
      <c r="E5" s="114" t="s">
        <v>40</v>
      </c>
      <c r="F5" s="114" t="s">
        <v>49</v>
      </c>
      <c r="G5" s="114" t="s">
        <v>76</v>
      </c>
      <c r="H5" s="114" t="s">
        <v>41</v>
      </c>
      <c r="I5" s="115">
        <v>56974397201</v>
      </c>
      <c r="J5" s="26" t="s">
        <v>101</v>
      </c>
      <c r="K5" s="26" t="s">
        <v>54</v>
      </c>
      <c r="L5" s="49" t="s">
        <v>205</v>
      </c>
      <c r="M5" s="49" t="s">
        <v>206</v>
      </c>
      <c r="N5" s="51">
        <f>SUMPRODUCT(Tabla52378[[#This Row],[Paltas]:[Empanadas]],O$27:Z$27)</f>
        <v>41000</v>
      </c>
      <c r="O5" s="49">
        <v>1</v>
      </c>
      <c r="P5" s="49">
        <v>0</v>
      </c>
      <c r="Q5" s="49">
        <v>0</v>
      </c>
      <c r="R5" s="49">
        <v>1</v>
      </c>
      <c r="S5" s="49">
        <v>0</v>
      </c>
      <c r="T5" s="49">
        <v>1</v>
      </c>
      <c r="U5" s="49">
        <v>0</v>
      </c>
      <c r="V5" s="49">
        <v>0</v>
      </c>
      <c r="W5" s="49">
        <v>1</v>
      </c>
      <c r="X5" s="49">
        <f>1+2</f>
        <v>3</v>
      </c>
      <c r="Y5" s="49">
        <v>0</v>
      </c>
      <c r="Z5" s="49">
        <v>0</v>
      </c>
      <c r="AA5" s="49">
        <f>SUM(Tabla52378[[#This Row],[Paltas]:[Empanadas]])</f>
        <v>7</v>
      </c>
      <c r="AB5" s="57"/>
    </row>
    <row r="6" spans="1:28" outlineLevel="1" x14ac:dyDescent="0.35">
      <c r="A6" s="205"/>
      <c r="B6" s="50" t="s">
        <v>136</v>
      </c>
      <c r="C6" s="48" t="s">
        <v>137</v>
      </c>
      <c r="D6" s="59" t="s">
        <v>172</v>
      </c>
      <c r="E6" s="59" t="s">
        <v>40</v>
      </c>
      <c r="F6" s="59" t="s">
        <v>75</v>
      </c>
      <c r="G6" s="59" t="s">
        <v>113</v>
      </c>
      <c r="H6" s="59" t="s">
        <v>41</v>
      </c>
      <c r="I6" s="60">
        <v>56992704205</v>
      </c>
      <c r="J6" s="27" t="s">
        <v>173</v>
      </c>
      <c r="K6" s="27" t="s">
        <v>54</v>
      </c>
      <c r="L6" s="52" t="s">
        <v>205</v>
      </c>
      <c r="M6" s="52" t="s">
        <v>206</v>
      </c>
      <c r="N6" s="70">
        <f>SUMPRODUCT(Tabla52378[[#This Row],[Paltas]:[Empanadas]],O$27:Z$27)</f>
        <v>140000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20</v>
      </c>
      <c r="Y6" s="52">
        <v>0</v>
      </c>
      <c r="Z6" s="52">
        <v>0</v>
      </c>
      <c r="AA6" s="52">
        <f>SUM(Tabla52378[[#This Row],[Paltas]:[Empanadas]])</f>
        <v>20</v>
      </c>
      <c r="AB6" s="58"/>
    </row>
    <row r="7" spans="1:28" outlineLevel="1" x14ac:dyDescent="0.35">
      <c r="A7" s="205"/>
      <c r="B7" s="50" t="s">
        <v>227</v>
      </c>
      <c r="C7" s="48" t="s">
        <v>228</v>
      </c>
      <c r="D7" s="59" t="s">
        <v>229</v>
      </c>
      <c r="E7" s="59" t="s">
        <v>43</v>
      </c>
      <c r="F7" s="59" t="s">
        <v>47</v>
      </c>
      <c r="G7" s="59" t="s">
        <v>53</v>
      </c>
      <c r="H7" s="59" t="s">
        <v>41</v>
      </c>
      <c r="I7" s="60">
        <v>56968348679</v>
      </c>
      <c r="J7" s="27" t="s">
        <v>230</v>
      </c>
      <c r="K7" s="27" t="s">
        <v>54</v>
      </c>
      <c r="L7" s="52" t="s">
        <v>205</v>
      </c>
      <c r="M7" s="52" t="s">
        <v>206</v>
      </c>
      <c r="N7" s="70">
        <f>SUMPRODUCT(Tabla52378[[#This Row],[Paltas]:[Empanadas]],O$27:Z$27)</f>
        <v>14000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2</v>
      </c>
      <c r="Y7" s="52">
        <v>0</v>
      </c>
      <c r="Z7" s="52">
        <v>0</v>
      </c>
      <c r="AA7" s="52">
        <f>SUM(Tabla52378[[#This Row],[Paltas]:[Empanadas]])</f>
        <v>2</v>
      </c>
      <c r="AB7" s="58"/>
    </row>
    <row r="8" spans="1:28" outlineLevel="1" x14ac:dyDescent="0.35">
      <c r="A8" s="205"/>
      <c r="B8" s="56" t="s">
        <v>195</v>
      </c>
      <c r="C8" s="47" t="s">
        <v>223</v>
      </c>
      <c r="D8" s="47" t="s">
        <v>224</v>
      </c>
      <c r="E8" s="47" t="s">
        <v>46</v>
      </c>
      <c r="F8" s="47" t="s">
        <v>221</v>
      </c>
      <c r="G8" s="47" t="s">
        <v>45</v>
      </c>
      <c r="H8" s="47" t="s">
        <v>217</v>
      </c>
      <c r="I8" s="53">
        <v>56996324787</v>
      </c>
      <c r="J8" s="27" t="s">
        <v>225</v>
      </c>
      <c r="K8" s="27" t="s">
        <v>42</v>
      </c>
      <c r="L8" s="52" t="s">
        <v>205</v>
      </c>
      <c r="M8" s="52" t="s">
        <v>206</v>
      </c>
      <c r="N8" s="47">
        <f>SUMPRODUCT(Tabla52378[[#This Row],[Paltas]:[Empanadas]],O$27:Z$27)</f>
        <v>9000</v>
      </c>
      <c r="O8" s="52">
        <v>0</v>
      </c>
      <c r="P8" s="52">
        <v>0</v>
      </c>
      <c r="Q8" s="52">
        <v>2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SUM(Tabla52378[[#This Row],[Paltas]:[Empanadas]])</f>
        <v>2</v>
      </c>
      <c r="AB8" s="58"/>
    </row>
    <row r="9" spans="1:28" outlineLevel="1" x14ac:dyDescent="0.35">
      <c r="A9" s="205"/>
      <c r="B9" s="50" t="s">
        <v>150</v>
      </c>
      <c r="C9" s="48" t="s">
        <v>201</v>
      </c>
      <c r="D9" s="59" t="s">
        <v>202</v>
      </c>
      <c r="E9" s="59" t="s">
        <v>40</v>
      </c>
      <c r="F9" s="59" t="s">
        <v>49</v>
      </c>
      <c r="G9" s="59" t="s">
        <v>113</v>
      </c>
      <c r="H9" s="59" t="s">
        <v>41</v>
      </c>
      <c r="I9" s="60">
        <v>56976994719</v>
      </c>
      <c r="J9" s="27" t="s">
        <v>203</v>
      </c>
      <c r="K9" s="27" t="s">
        <v>48</v>
      </c>
      <c r="L9" s="52" t="s">
        <v>205</v>
      </c>
      <c r="M9" s="52" t="s">
        <v>206</v>
      </c>
      <c r="N9" s="70">
        <f>SUMPRODUCT(Tabla52378[[#This Row],[Paltas]:[Empanadas]],O$27:Z$27)</f>
        <v>92000</v>
      </c>
      <c r="O9" s="52">
        <v>5</v>
      </c>
      <c r="P9" s="52">
        <v>0</v>
      </c>
      <c r="Q9" s="52">
        <v>1</v>
      </c>
      <c r="R9" s="52">
        <v>1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f>4+2</f>
        <v>6</v>
      </c>
      <c r="Y9" s="52">
        <v>2</v>
      </c>
      <c r="Z9" s="52">
        <v>0</v>
      </c>
      <c r="AA9" s="52">
        <f>SUM(Tabla52378[[#This Row],[Paltas]:[Empanadas]])</f>
        <v>16</v>
      </c>
      <c r="AB9" s="58"/>
    </row>
    <row r="10" spans="1:28" outlineLevel="1" x14ac:dyDescent="0.35">
      <c r="A10" s="205"/>
      <c r="B10" s="50" t="s">
        <v>232</v>
      </c>
      <c r="C10" s="48" t="s">
        <v>233</v>
      </c>
      <c r="D10" s="59" t="s">
        <v>234</v>
      </c>
      <c r="E10" s="59" t="s">
        <v>40</v>
      </c>
      <c r="F10" s="59" t="s">
        <v>49</v>
      </c>
      <c r="G10" s="59" t="s">
        <v>45</v>
      </c>
      <c r="H10" s="59" t="s">
        <v>217</v>
      </c>
      <c r="I10" s="60">
        <v>56987217393</v>
      </c>
      <c r="J10" s="27" t="s">
        <v>235</v>
      </c>
      <c r="K10" s="27" t="s">
        <v>48</v>
      </c>
      <c r="L10" s="52" t="s">
        <v>205</v>
      </c>
      <c r="M10" s="52" t="s">
        <v>206</v>
      </c>
      <c r="N10" s="70">
        <f>SUMPRODUCT(Tabla52378[[#This Row],[Paltas]:[Empanadas]],O$27:Z$27)</f>
        <v>56000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8</v>
      </c>
      <c r="Y10" s="52">
        <v>0</v>
      </c>
      <c r="Z10" s="52">
        <v>0</v>
      </c>
      <c r="AA10" s="52">
        <f>SUM(Tabla52378[[#This Row],[Paltas]:[Empanadas]])</f>
        <v>8</v>
      </c>
      <c r="AB10" s="58"/>
    </row>
    <row r="11" spans="1:28" outlineLevel="1" x14ac:dyDescent="0.35">
      <c r="A11" s="205"/>
      <c r="B11" s="56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205</v>
      </c>
      <c r="M11" s="52" t="s">
        <v>205</v>
      </c>
      <c r="N11" s="47">
        <f>SUMPRODUCT(Tabla52378[[#This Row],[Paltas]:[Empanadas]],O$27:Z$27)</f>
        <v>22500</v>
      </c>
      <c r="O11" s="52">
        <v>1</v>
      </c>
      <c r="P11" s="52">
        <v>0</v>
      </c>
      <c r="Q11" s="52">
        <v>1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1</v>
      </c>
      <c r="Y11" s="52">
        <v>1</v>
      </c>
      <c r="Z11" s="52">
        <v>0</v>
      </c>
      <c r="AA11" s="52">
        <f>SUM(Tabla52378[[#This Row],[Paltas]:[Empanadas]])</f>
        <v>4</v>
      </c>
      <c r="AB11" s="58"/>
    </row>
    <row r="12" spans="1:28" outlineLevel="1" x14ac:dyDescent="0.35">
      <c r="A12" s="205"/>
      <c r="B12" s="50" t="s">
        <v>169</v>
      </c>
      <c r="C12" s="48" t="s">
        <v>170</v>
      </c>
      <c r="D12" s="59" t="s">
        <v>174</v>
      </c>
      <c r="E12" s="59" t="s">
        <v>46</v>
      </c>
      <c r="F12" s="59" t="s">
        <v>87</v>
      </c>
      <c r="G12" s="59" t="s">
        <v>45</v>
      </c>
      <c r="H12" s="59" t="s">
        <v>41</v>
      </c>
      <c r="I12" s="60">
        <v>56966685970</v>
      </c>
      <c r="J12" s="27" t="s">
        <v>175</v>
      </c>
      <c r="K12" s="27" t="s">
        <v>42</v>
      </c>
      <c r="L12" s="52" t="s">
        <v>205</v>
      </c>
      <c r="M12" s="52" t="s">
        <v>205</v>
      </c>
      <c r="N12" s="70">
        <f>SUMPRODUCT(Tabla52378[[#This Row],[Paltas]:[Empanadas]],O$27:Z$27)</f>
        <v>11500</v>
      </c>
      <c r="O12" s="52">
        <v>0</v>
      </c>
      <c r="P12" s="52">
        <v>0</v>
      </c>
      <c r="Q12" s="52">
        <v>1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1</v>
      </c>
      <c r="Y12" s="52">
        <v>0</v>
      </c>
      <c r="Z12" s="52">
        <v>0</v>
      </c>
      <c r="AA12" s="52">
        <f>SUM(Tabla52378[[#This Row],[Paltas]:[Empanadas]])</f>
        <v>2</v>
      </c>
      <c r="AB12" s="58"/>
    </row>
    <row r="13" spans="1:28" outlineLevel="1" x14ac:dyDescent="0.35">
      <c r="A13" s="205"/>
      <c r="B13" s="50" t="s">
        <v>218</v>
      </c>
      <c r="C13" s="48" t="s">
        <v>219</v>
      </c>
      <c r="D13" s="59" t="s">
        <v>220</v>
      </c>
      <c r="E13" s="59" t="s">
        <v>46</v>
      </c>
      <c r="F13" s="59" t="s">
        <v>221</v>
      </c>
      <c r="G13" s="59" t="s">
        <v>45</v>
      </c>
      <c r="H13" s="59" t="s">
        <v>41</v>
      </c>
      <c r="I13" s="60">
        <v>56999699652</v>
      </c>
      <c r="J13" s="27" t="s">
        <v>222</v>
      </c>
      <c r="K13" s="27" t="s">
        <v>42</v>
      </c>
      <c r="L13" s="52" t="s">
        <v>205</v>
      </c>
      <c r="M13" s="52" t="s">
        <v>205</v>
      </c>
      <c r="N13" s="47">
        <f>SUMPRODUCT(Tabla52378[[#This Row],[Paltas]:[Empanadas]],O$27:Z$27)</f>
        <v>49000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0</v>
      </c>
      <c r="Z13" s="52">
        <v>2</v>
      </c>
      <c r="AA13" s="52">
        <f>SUM(Tabla52378[[#This Row],[Paltas]:[Empanadas]])</f>
        <v>4</v>
      </c>
      <c r="AB13" s="58"/>
    </row>
    <row r="14" spans="1:28" ht="15" outlineLevel="1" thickBot="1" x14ac:dyDescent="0.4">
      <c r="A14" s="206"/>
      <c r="B14" s="56" t="s">
        <v>114</v>
      </c>
      <c r="C14" s="47" t="s">
        <v>119</v>
      </c>
      <c r="D14" s="47" t="s">
        <v>120</v>
      </c>
      <c r="E14" s="47" t="s">
        <v>40</v>
      </c>
      <c r="F14" s="47" t="s">
        <v>75</v>
      </c>
      <c r="G14" s="47" t="s">
        <v>113</v>
      </c>
      <c r="H14" s="47" t="s">
        <v>41</v>
      </c>
      <c r="I14" s="53">
        <v>56988587944</v>
      </c>
      <c r="J14" s="27" t="s">
        <v>121</v>
      </c>
      <c r="K14" s="27" t="s">
        <v>48</v>
      </c>
      <c r="L14" s="52" t="s">
        <v>205</v>
      </c>
      <c r="M14" s="52" t="s">
        <v>205</v>
      </c>
      <c r="N14" s="47">
        <f>SUMPRODUCT(Tabla52378[[#This Row],[Paltas]:[Empanadas]],O$27:Z$27)</f>
        <v>123500</v>
      </c>
      <c r="O14" s="52">
        <v>9</v>
      </c>
      <c r="P14" s="52">
        <v>0</v>
      </c>
      <c r="Q14" s="52">
        <v>16</v>
      </c>
      <c r="R14" s="52">
        <v>0</v>
      </c>
      <c r="S14" s="52">
        <v>2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f>SUM(Tabla52378[[#This Row],[Paltas]:[Empanadas]])</f>
        <v>27</v>
      </c>
      <c r="AB14" s="58"/>
    </row>
    <row r="15" spans="1:28" outlineLevel="1" x14ac:dyDescent="0.35">
      <c r="A15" s="18"/>
      <c r="B15" s="50" t="s">
        <v>94</v>
      </c>
      <c r="C15" s="48" t="s">
        <v>50</v>
      </c>
      <c r="D15" s="59" t="s">
        <v>95</v>
      </c>
      <c r="E15" s="59" t="s">
        <v>40</v>
      </c>
      <c r="F15" s="59" t="s">
        <v>49</v>
      </c>
      <c r="G15" s="59" t="s">
        <v>51</v>
      </c>
      <c r="H15" s="59" t="s">
        <v>41</v>
      </c>
      <c r="I15" s="60">
        <v>56966640363</v>
      </c>
      <c r="J15" s="27" t="s">
        <v>96</v>
      </c>
      <c r="K15" s="27" t="s">
        <v>48</v>
      </c>
      <c r="L15" s="52" t="s">
        <v>205</v>
      </c>
      <c r="M15" s="52" t="s">
        <v>205</v>
      </c>
      <c r="N15" s="70">
        <f>SUMPRODUCT(Tabla52378[[#This Row],[Paltas]:[Empanadas]],O$27:Z$27)</f>
        <v>72500</v>
      </c>
      <c r="O15" s="52">
        <v>2</v>
      </c>
      <c r="P15" s="52">
        <v>0</v>
      </c>
      <c r="Q15" s="52">
        <v>2</v>
      </c>
      <c r="R15" s="52">
        <v>0</v>
      </c>
      <c r="S15" s="52">
        <v>1</v>
      </c>
      <c r="T15" s="52">
        <v>0</v>
      </c>
      <c r="U15" s="52">
        <v>0</v>
      </c>
      <c r="V15" s="52">
        <v>0</v>
      </c>
      <c r="W15" s="52">
        <v>0</v>
      </c>
      <c r="X15" s="52">
        <v>7</v>
      </c>
      <c r="Y15" s="52">
        <v>0</v>
      </c>
      <c r="Z15" s="52">
        <v>0</v>
      </c>
      <c r="AA15" s="52">
        <f>SUM(Tabla52378[[#This Row],[Paltas]:[Empanadas]])</f>
        <v>12</v>
      </c>
      <c r="AB15" s="58"/>
    </row>
    <row r="16" spans="1:28" outlineLevel="1" x14ac:dyDescent="0.35">
      <c r="A16" s="18"/>
      <c r="B16" s="50" t="s">
        <v>122</v>
      </c>
      <c r="C16" s="48" t="s">
        <v>143</v>
      </c>
      <c r="D16" s="59" t="s">
        <v>160</v>
      </c>
      <c r="E16" s="59" t="s">
        <v>40</v>
      </c>
      <c r="F16" s="59" t="s">
        <v>49</v>
      </c>
      <c r="G16" s="59" t="s">
        <v>45</v>
      </c>
      <c r="H16" s="59" t="s">
        <v>41</v>
      </c>
      <c r="I16" s="60">
        <v>56997594184</v>
      </c>
      <c r="J16" s="27" t="s">
        <v>161</v>
      </c>
      <c r="K16" s="27" t="s">
        <v>48</v>
      </c>
      <c r="L16" s="52" t="s">
        <v>205</v>
      </c>
      <c r="M16" s="52" t="s">
        <v>205</v>
      </c>
      <c r="N16" s="70">
        <f>SUMPRODUCT(Tabla52378[[#This Row],[Paltas]:[Empanadas]],O$27:Z$27)</f>
        <v>117000</v>
      </c>
      <c r="O16" s="52">
        <v>10</v>
      </c>
      <c r="P16" s="52">
        <v>0</v>
      </c>
      <c r="Q16" s="52">
        <v>6</v>
      </c>
      <c r="R16" s="52">
        <v>1</v>
      </c>
      <c r="S16" s="52">
        <v>1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2</v>
      </c>
      <c r="AA16" s="52">
        <f>SUM(Tabla52378[[#This Row],[Paltas]:[Empanadas]])</f>
        <v>20</v>
      </c>
      <c r="AB16" s="58"/>
    </row>
    <row r="17" spans="1:28" ht="15" outlineLevel="1" thickBot="1" x14ac:dyDescent="0.4">
      <c r="A17" s="18"/>
      <c r="B17" s="13" t="s">
        <v>159</v>
      </c>
      <c r="C17" s="14" t="s">
        <v>162</v>
      </c>
      <c r="D17" s="65" t="s">
        <v>163</v>
      </c>
      <c r="E17" s="65" t="s">
        <v>135</v>
      </c>
      <c r="F17" s="65" t="s">
        <v>151</v>
      </c>
      <c r="G17" s="65" t="s">
        <v>45</v>
      </c>
      <c r="H17" s="65" t="s">
        <v>41</v>
      </c>
      <c r="I17" s="66">
        <v>56979312762</v>
      </c>
      <c r="J17" s="46" t="s">
        <v>164</v>
      </c>
      <c r="K17" s="46" t="s">
        <v>48</v>
      </c>
      <c r="L17" s="16" t="s">
        <v>205</v>
      </c>
      <c r="M17" s="16" t="s">
        <v>205</v>
      </c>
      <c r="N17" s="70">
        <f>SUMPRODUCT(Tabla52378[[#This Row],[Paltas]:[Empanadas]],O$27:Z$27)</f>
        <v>262500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10</v>
      </c>
      <c r="Y17" s="16">
        <v>0</v>
      </c>
      <c r="Z17" s="16">
        <v>11</v>
      </c>
      <c r="AA17" s="16">
        <f>SUM(Tabla52378[[#This Row],[Paltas]:[Empanadas]])</f>
        <v>21</v>
      </c>
      <c r="AB17" s="45"/>
    </row>
    <row r="18" spans="1:28" outlineLevel="1" x14ac:dyDescent="0.35">
      <c r="A18" s="18"/>
      <c r="B18" s="19"/>
      <c r="C18" s="19"/>
      <c r="D18" s="19"/>
      <c r="E18" s="19"/>
      <c r="F18" s="19"/>
      <c r="G18" s="19"/>
      <c r="H18" s="19"/>
      <c r="I18" s="32"/>
      <c r="J18" s="31"/>
      <c r="K18" s="3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8" ht="15" thickBot="1" x14ac:dyDescent="0.4"/>
    <row r="20" spans="1:28" ht="14.65" customHeight="1" thickBot="1" x14ac:dyDescent="0.4">
      <c r="A20" s="165" t="s">
        <v>20</v>
      </c>
      <c r="B20" s="156" t="s">
        <v>7</v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8"/>
      <c r="N20" s="136" t="s">
        <v>9</v>
      </c>
      <c r="O20" s="8">
        <f>SUM(Tabla52378[Paltas])</f>
        <v>28</v>
      </c>
      <c r="P20" s="49">
        <f>SUM(Tabla52378[Quesos])</f>
        <v>0</v>
      </c>
      <c r="Q20" s="49">
        <f>SUM(Tabla52378[Frutillas])</f>
        <v>29</v>
      </c>
      <c r="R20" s="49">
        <f>SUM(Tabla52378[Tomate Cherry])</f>
        <v>3</v>
      </c>
      <c r="S20" s="49">
        <f>SUM(Tabla52378[Nueces])</f>
        <v>5</v>
      </c>
      <c r="T20" s="49">
        <f>SUM(Tabla52378[Mani Sal])</f>
        <v>1</v>
      </c>
      <c r="U20" s="49">
        <f>SUM(Tabla52378[Pistachos])</f>
        <v>0</v>
      </c>
      <c r="V20" s="49">
        <f>SUM(Tabla52378[Caju])</f>
        <v>0</v>
      </c>
      <c r="W20" s="49">
        <f>SUM(Tabla52378[Almendras])</f>
        <v>1</v>
      </c>
      <c r="X20" s="49">
        <f>SUM(Tabla52378[Cerezas])</f>
        <v>60</v>
      </c>
      <c r="Y20" s="49">
        <f>SUM(Tabla52378[Arandanos])</f>
        <v>3</v>
      </c>
      <c r="Z20" s="4">
        <f>SUM(Tabla52378[Empanadas])</f>
        <v>15</v>
      </c>
    </row>
    <row r="21" spans="1:28" ht="14.65" customHeight="1" thickBot="1" x14ac:dyDescent="0.4">
      <c r="A21" s="166"/>
      <c r="B21" s="174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6"/>
      <c r="N21" s="136" t="s">
        <v>28</v>
      </c>
      <c r="O21" s="9">
        <v>5</v>
      </c>
      <c r="P21" s="52">
        <v>4</v>
      </c>
      <c r="Q21" s="52">
        <v>2</v>
      </c>
      <c r="R21" s="37">
        <v>1</v>
      </c>
      <c r="S21" s="73">
        <v>0.5</v>
      </c>
      <c r="T21" s="73">
        <v>1</v>
      </c>
      <c r="U21" s="73">
        <v>0.5</v>
      </c>
      <c r="V21" s="73">
        <v>0.4</v>
      </c>
      <c r="W21" s="73">
        <v>0.5</v>
      </c>
      <c r="X21" s="73">
        <v>5</v>
      </c>
      <c r="Y21" s="73">
        <v>1</v>
      </c>
      <c r="Z21" s="38">
        <v>12</v>
      </c>
    </row>
    <row r="22" spans="1:28" ht="14.65" customHeight="1" thickBot="1" x14ac:dyDescent="0.4">
      <c r="A22" s="166"/>
      <c r="B22" s="174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6"/>
      <c r="N22" s="136" t="s">
        <v>8</v>
      </c>
      <c r="O22" s="9">
        <f>O21*O20</f>
        <v>140</v>
      </c>
      <c r="P22" s="52">
        <f t="shared" ref="P22:Z22" si="0">P21*P20</f>
        <v>0</v>
      </c>
      <c r="Q22" s="52">
        <f t="shared" si="0"/>
        <v>58</v>
      </c>
      <c r="R22" s="52">
        <f t="shared" si="0"/>
        <v>3</v>
      </c>
      <c r="S22" s="52">
        <f t="shared" si="0"/>
        <v>2.5</v>
      </c>
      <c r="T22" s="52">
        <f t="shared" si="0"/>
        <v>1</v>
      </c>
      <c r="U22" s="52">
        <f t="shared" si="0"/>
        <v>0</v>
      </c>
      <c r="V22" s="52">
        <f t="shared" si="0"/>
        <v>0</v>
      </c>
      <c r="W22" s="52">
        <f t="shared" si="0"/>
        <v>0.5</v>
      </c>
      <c r="X22" s="52">
        <f t="shared" si="0"/>
        <v>300</v>
      </c>
      <c r="Y22" s="52">
        <f t="shared" si="0"/>
        <v>3</v>
      </c>
      <c r="Z22" s="11">
        <f t="shared" si="0"/>
        <v>180</v>
      </c>
    </row>
    <row r="23" spans="1:28" ht="15" thickBot="1" x14ac:dyDescent="0.4">
      <c r="A23" s="166"/>
      <c r="B23" s="159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1"/>
      <c r="N23" s="136" t="s">
        <v>10</v>
      </c>
      <c r="O23" s="10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2"/>
    </row>
    <row r="24" spans="1:28" ht="15" thickBot="1" x14ac:dyDescent="0.4">
      <c r="A24" s="166"/>
      <c r="B24" s="137"/>
      <c r="C24" s="19"/>
      <c r="D24" s="23"/>
      <c r="E24" s="24"/>
      <c r="F24" s="24"/>
      <c r="G24" s="24"/>
      <c r="H24" s="24"/>
      <c r="I24" s="24"/>
      <c r="J24" s="24"/>
      <c r="K24" s="25"/>
      <c r="N24" s="3"/>
    </row>
    <row r="25" spans="1:28" ht="15" thickBot="1" x14ac:dyDescent="0.4">
      <c r="A25" s="166"/>
      <c r="B25" s="156" t="s">
        <v>12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36" t="s">
        <v>13</v>
      </c>
      <c r="O25" s="54">
        <v>3100</v>
      </c>
      <c r="P25" s="51">
        <v>6716</v>
      </c>
      <c r="Q25" s="51">
        <v>2600</v>
      </c>
      <c r="R25" s="51">
        <v>2300</v>
      </c>
      <c r="S25" s="51">
        <f t="shared" ref="S25:Z25" si="1">S26*S21</f>
        <v>3750</v>
      </c>
      <c r="T25" s="51">
        <f t="shared" si="1"/>
        <v>3500</v>
      </c>
      <c r="U25" s="51">
        <f t="shared" si="1"/>
        <v>7050</v>
      </c>
      <c r="V25" s="51">
        <f t="shared" si="1"/>
        <v>5320</v>
      </c>
      <c r="W25" s="51">
        <f t="shared" si="1"/>
        <v>5350</v>
      </c>
      <c r="X25" s="51">
        <f t="shared" si="1"/>
        <v>6000</v>
      </c>
      <c r="Y25" s="51">
        <f t="shared" si="1"/>
        <v>1200</v>
      </c>
      <c r="Z25" s="15">
        <f t="shared" si="1"/>
        <v>12000</v>
      </c>
    </row>
    <row r="26" spans="1:28" ht="15" thickBot="1" x14ac:dyDescent="0.4">
      <c r="A26" s="166"/>
      <c r="B26" s="174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6"/>
      <c r="N26" s="136" t="s">
        <v>8</v>
      </c>
      <c r="O26" s="77">
        <v>1550</v>
      </c>
      <c r="P26" s="76">
        <v>6716</v>
      </c>
      <c r="Q26" s="76">
        <v>1300</v>
      </c>
      <c r="R26" s="76">
        <v>2300</v>
      </c>
      <c r="S26" s="76">
        <v>7500</v>
      </c>
      <c r="T26" s="76">
        <v>3500</v>
      </c>
      <c r="U26" s="76">
        <v>14100</v>
      </c>
      <c r="V26" s="76">
        <v>13300</v>
      </c>
      <c r="W26" s="76">
        <v>10700</v>
      </c>
      <c r="X26" s="76">
        <f>6000/5</f>
        <v>1200</v>
      </c>
      <c r="Y26" s="76">
        <f>6000/5</f>
        <v>1200</v>
      </c>
      <c r="Z26" s="80">
        <v>1000</v>
      </c>
    </row>
    <row r="27" spans="1:28" ht="15" thickBot="1" x14ac:dyDescent="0.4">
      <c r="A27" s="166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136" t="s">
        <v>14</v>
      </c>
      <c r="O27" s="78">
        <v>4500</v>
      </c>
      <c r="P27" s="79">
        <v>7500</v>
      </c>
      <c r="Q27" s="79">
        <v>4500</v>
      </c>
      <c r="R27" s="79">
        <v>4500</v>
      </c>
      <c r="S27" s="79">
        <v>5500</v>
      </c>
      <c r="T27" s="79">
        <v>3500</v>
      </c>
      <c r="U27" s="79">
        <v>8500</v>
      </c>
      <c r="V27" s="79">
        <v>7500</v>
      </c>
      <c r="W27" s="79">
        <v>7500</v>
      </c>
      <c r="X27" s="79">
        <v>7000</v>
      </c>
      <c r="Y27" s="79">
        <v>6500</v>
      </c>
      <c r="Z27" s="81">
        <v>17500</v>
      </c>
    </row>
    <row r="28" spans="1:28" ht="15" thickBot="1" x14ac:dyDescent="0.4">
      <c r="A28" s="166"/>
      <c r="B28" s="137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4.65" customHeight="1" thickBot="1" x14ac:dyDescent="0.4">
      <c r="A29" s="166"/>
      <c r="B29" s="156" t="s">
        <v>15</v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8"/>
      <c r="N29" s="136" t="s">
        <v>19</v>
      </c>
      <c r="O29" s="87">
        <f>O20*O25</f>
        <v>86800</v>
      </c>
      <c r="P29" s="88">
        <f t="shared" ref="P29:Z29" si="2">P20*P25</f>
        <v>0</v>
      </c>
      <c r="Q29" s="88">
        <f t="shared" si="2"/>
        <v>75400</v>
      </c>
      <c r="R29" s="89">
        <f t="shared" si="2"/>
        <v>6900</v>
      </c>
      <c r="S29" s="88">
        <f t="shared" si="2"/>
        <v>18750</v>
      </c>
      <c r="T29" s="88">
        <f t="shared" si="2"/>
        <v>3500</v>
      </c>
      <c r="U29" s="88">
        <f t="shared" si="2"/>
        <v>0</v>
      </c>
      <c r="V29" s="88">
        <f t="shared" si="2"/>
        <v>0</v>
      </c>
      <c r="W29" s="88">
        <f t="shared" si="2"/>
        <v>5350</v>
      </c>
      <c r="X29" s="88">
        <f t="shared" si="2"/>
        <v>360000</v>
      </c>
      <c r="Y29" s="88">
        <f t="shared" si="2"/>
        <v>3600</v>
      </c>
      <c r="Z29" s="90">
        <f t="shared" si="2"/>
        <v>180000</v>
      </c>
    </row>
    <row r="30" spans="1:28" ht="15" thickBot="1" x14ac:dyDescent="0.4">
      <c r="A30" s="166"/>
      <c r="B30" s="159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1"/>
      <c r="N30" s="136" t="s">
        <v>16</v>
      </c>
      <c r="O30" s="153">
        <f>SUM(O29:Z29)</f>
        <v>740300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5"/>
    </row>
    <row r="31" spans="1:28" ht="15" thickBot="1" x14ac:dyDescent="0.4">
      <c r="A31" s="166"/>
      <c r="B31" s="156" t="s">
        <v>17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136" t="s">
        <v>19</v>
      </c>
      <c r="O31" s="50">
        <f t="shared" ref="O31:Z31" si="3">O27*O20</f>
        <v>126000</v>
      </c>
      <c r="P31" s="48">
        <f t="shared" si="3"/>
        <v>0</v>
      </c>
      <c r="Q31" s="48">
        <f t="shared" si="3"/>
        <v>130500</v>
      </c>
      <c r="R31" s="48">
        <f t="shared" si="3"/>
        <v>13500</v>
      </c>
      <c r="S31" s="48">
        <f t="shared" si="3"/>
        <v>27500</v>
      </c>
      <c r="T31" s="48">
        <f t="shared" si="3"/>
        <v>3500</v>
      </c>
      <c r="U31" s="48">
        <f t="shared" si="3"/>
        <v>0</v>
      </c>
      <c r="V31" s="48">
        <f t="shared" si="3"/>
        <v>0</v>
      </c>
      <c r="W31" s="48">
        <f t="shared" si="3"/>
        <v>7500</v>
      </c>
      <c r="X31" s="48">
        <f t="shared" si="3"/>
        <v>420000</v>
      </c>
      <c r="Y31" s="48">
        <f t="shared" si="3"/>
        <v>19500</v>
      </c>
      <c r="Z31" s="91">
        <f t="shared" si="3"/>
        <v>262500</v>
      </c>
    </row>
    <row r="32" spans="1:28" ht="15" thickBot="1" x14ac:dyDescent="0.4">
      <c r="A32" s="166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36" t="s">
        <v>16</v>
      </c>
      <c r="O32" s="153">
        <f>SUM(O31:Z31)</f>
        <v>1010500</v>
      </c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5"/>
    </row>
    <row r="33" spans="1:26" ht="14.65" customHeight="1" thickBot="1" x14ac:dyDescent="0.4">
      <c r="A33" s="166"/>
      <c r="B33" s="156" t="s">
        <v>18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8"/>
      <c r="N33" s="136" t="s">
        <v>19</v>
      </c>
      <c r="O33" s="50">
        <f>O31-O29</f>
        <v>39200</v>
      </c>
      <c r="P33" s="48">
        <f t="shared" ref="P33:Y33" si="4">P31-P29</f>
        <v>0</v>
      </c>
      <c r="Q33" s="48">
        <f t="shared" si="4"/>
        <v>55100</v>
      </c>
      <c r="R33" s="48">
        <f t="shared" si="4"/>
        <v>6600</v>
      </c>
      <c r="S33" s="48">
        <f t="shared" si="4"/>
        <v>8750</v>
      </c>
      <c r="T33" s="48">
        <f t="shared" si="4"/>
        <v>0</v>
      </c>
      <c r="U33" s="48">
        <f t="shared" si="4"/>
        <v>0</v>
      </c>
      <c r="V33" s="48">
        <f t="shared" si="4"/>
        <v>0</v>
      </c>
      <c r="W33" s="48">
        <f t="shared" si="4"/>
        <v>2150</v>
      </c>
      <c r="X33" s="48">
        <f t="shared" si="4"/>
        <v>60000</v>
      </c>
      <c r="Y33" s="48">
        <f t="shared" si="4"/>
        <v>15900</v>
      </c>
      <c r="Z33" s="91">
        <f>Z31-Z29</f>
        <v>82500</v>
      </c>
    </row>
    <row r="34" spans="1:26" ht="29.65" customHeight="1" thickBot="1" x14ac:dyDescent="0.4">
      <c r="A34" s="166"/>
      <c r="B34" s="159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36" t="s">
        <v>29</v>
      </c>
      <c r="O34" s="150">
        <f>O32-O30</f>
        <v>270200</v>
      </c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2"/>
    </row>
    <row r="35" spans="1:26" ht="15" thickBot="1" x14ac:dyDescent="0.4">
      <c r="A35" s="166"/>
    </row>
    <row r="36" spans="1:26" ht="14.65" customHeight="1" thickBot="1" x14ac:dyDescent="0.4">
      <c r="A36" s="166"/>
      <c r="B36" s="177" t="s">
        <v>25</v>
      </c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9"/>
      <c r="O36" s="168" t="s">
        <v>26</v>
      </c>
      <c r="P36" s="169"/>
      <c r="Q36" s="170"/>
      <c r="R36" s="29" t="s">
        <v>27</v>
      </c>
      <c r="S36" s="5"/>
      <c r="T36" s="5"/>
      <c r="U36" s="5"/>
      <c r="V36" s="5"/>
      <c r="W36" s="5"/>
      <c r="X36" s="5"/>
      <c r="Y36" s="5"/>
      <c r="Z36" s="5"/>
    </row>
    <row r="37" spans="1:26" ht="15" customHeight="1" x14ac:dyDescent="0.35">
      <c r="A37" s="166"/>
      <c r="B37" s="180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2"/>
      <c r="O37" s="192"/>
      <c r="P37" s="193"/>
      <c r="Q37" s="194"/>
      <c r="R37" s="33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35">
      <c r="A38" s="166"/>
      <c r="B38" s="180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2"/>
      <c r="O38" s="189"/>
      <c r="P38" s="190"/>
      <c r="Q38" s="191"/>
      <c r="R38" s="34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35">
      <c r="A39" s="166"/>
      <c r="B39" s="180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2"/>
      <c r="O39" s="189"/>
      <c r="P39" s="190"/>
      <c r="Q39" s="191"/>
      <c r="R39" s="34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35">
      <c r="A40" s="166"/>
      <c r="B40" s="180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2"/>
      <c r="O40" s="189"/>
      <c r="P40" s="190"/>
      <c r="Q40" s="191"/>
      <c r="R40" s="34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35">
      <c r="A41" s="166"/>
      <c r="B41" s="180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2"/>
      <c r="O41" s="189"/>
      <c r="P41" s="190"/>
      <c r="Q41" s="191"/>
      <c r="R41" s="34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89"/>
      <c r="P42" s="190"/>
      <c r="Q42" s="191"/>
      <c r="R42" s="34"/>
      <c r="S42" s="6"/>
      <c r="T42" s="6"/>
      <c r="U42" s="6"/>
      <c r="V42" s="6"/>
      <c r="W42" s="6"/>
      <c r="X42" s="6"/>
      <c r="Y42" s="6"/>
      <c r="Z42" s="6"/>
    </row>
    <row r="43" spans="1:26" ht="15" customHeight="1" thickBot="1" x14ac:dyDescent="0.4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95"/>
      <c r="P43" s="196"/>
      <c r="Q43" s="197"/>
      <c r="R43" s="34"/>
      <c r="S43" s="6"/>
      <c r="T43" s="6"/>
      <c r="U43" s="6"/>
      <c r="V43" s="6"/>
      <c r="W43" s="6"/>
      <c r="X43" s="6"/>
      <c r="Y43" s="6"/>
      <c r="Z43" s="6"/>
    </row>
    <row r="44" spans="1:26" ht="15.75" customHeight="1" thickBot="1" x14ac:dyDescent="0.4">
      <c r="A44" s="166"/>
      <c r="B44" s="183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5"/>
      <c r="O44" s="186" t="s">
        <v>16</v>
      </c>
      <c r="P44" s="187"/>
      <c r="Q44" s="188"/>
      <c r="R44" s="35">
        <f>SUM(R37:R43)</f>
        <v>0</v>
      </c>
      <c r="S44" s="6"/>
      <c r="T44" s="6"/>
      <c r="U44" s="6"/>
      <c r="V44" s="6"/>
      <c r="W44" s="6"/>
      <c r="X44" s="6"/>
      <c r="Y44" s="6"/>
      <c r="Z44" s="6"/>
    </row>
    <row r="45" spans="1:26" ht="15" thickBot="1" x14ac:dyDescent="0.4">
      <c r="A45" s="166"/>
    </row>
    <row r="46" spans="1:26" ht="51.75" customHeight="1" thickBot="1" x14ac:dyDescent="0.4">
      <c r="A46" s="167"/>
      <c r="B46" s="168" t="s">
        <v>18</v>
      </c>
      <c r="C46" s="169"/>
      <c r="D46" s="169"/>
      <c r="E46" s="169"/>
      <c r="F46" s="169"/>
      <c r="G46" s="169"/>
      <c r="H46" s="169"/>
      <c r="I46" s="169"/>
      <c r="J46" s="169"/>
      <c r="K46" s="169"/>
      <c r="L46" s="170"/>
      <c r="M46" s="136"/>
      <c r="N46" s="135" t="s">
        <v>16</v>
      </c>
      <c r="O46" s="171">
        <f>O34-SUM(R37:R43)</f>
        <v>270200</v>
      </c>
      <c r="P46" s="172"/>
      <c r="Q46" s="172"/>
      <c r="R46" s="172"/>
      <c r="S46" s="173"/>
      <c r="T46" s="72"/>
      <c r="U46" s="72"/>
      <c r="V46" s="72"/>
      <c r="W46" s="72"/>
      <c r="X46" s="72"/>
      <c r="Y46" s="72"/>
      <c r="Z46" s="72"/>
    </row>
    <row r="47" spans="1:26" ht="15.75" customHeight="1" x14ac:dyDescent="0.35">
      <c r="A47" s="30"/>
      <c r="P47" s="28"/>
      <c r="Q47" s="28"/>
      <c r="R47" s="28"/>
      <c r="S47" s="138"/>
      <c r="T47" s="138"/>
      <c r="U47" s="138"/>
      <c r="V47" s="138"/>
      <c r="W47" s="138"/>
      <c r="X47" s="138"/>
      <c r="Y47" s="138"/>
      <c r="Z47" s="138"/>
    </row>
    <row r="48" spans="1:26" ht="15" customHeight="1" x14ac:dyDescent="0.35">
      <c r="A48" s="30"/>
      <c r="P48" s="28"/>
      <c r="Q48" s="28"/>
      <c r="R48" s="28"/>
      <c r="S48" s="7"/>
      <c r="T48" s="7"/>
      <c r="U48" s="7"/>
      <c r="V48" s="7"/>
      <c r="W48" s="7"/>
      <c r="X48" s="7"/>
      <c r="Y48" s="7"/>
      <c r="Z48" s="7"/>
    </row>
    <row r="49" spans="16:26" ht="15" customHeight="1" x14ac:dyDescent="0.35">
      <c r="P49" s="28"/>
      <c r="Q49" s="28"/>
      <c r="R49" s="28"/>
      <c r="S49" s="7"/>
      <c r="T49" s="7"/>
      <c r="U49" s="7"/>
      <c r="V49" s="7"/>
      <c r="W49" s="7"/>
      <c r="X49" s="7"/>
      <c r="Y49" s="7"/>
      <c r="Z49" s="7"/>
    </row>
    <row r="50" spans="16:26" ht="15" customHeight="1" x14ac:dyDescent="0.35">
      <c r="P50" s="28"/>
      <c r="Q50" s="28"/>
      <c r="R50" s="28"/>
      <c r="S50" s="7"/>
      <c r="T50" s="7"/>
      <c r="U50" s="7"/>
      <c r="V50" s="7"/>
      <c r="W50" s="7"/>
      <c r="X50" s="7"/>
      <c r="Y50" s="7"/>
      <c r="Z50" s="7"/>
    </row>
    <row r="51" spans="16:26" ht="15" customHeight="1" x14ac:dyDescent="0.35">
      <c r="P51" s="28"/>
      <c r="Q51" s="28"/>
      <c r="R51" s="28"/>
      <c r="S51" s="7"/>
      <c r="T51" s="7"/>
      <c r="U51" s="7"/>
      <c r="V51" s="7"/>
      <c r="W51" s="7"/>
      <c r="X51" s="7"/>
      <c r="Y51" s="7"/>
      <c r="Z51" s="7"/>
    </row>
    <row r="52" spans="16:26" ht="15" customHeight="1" x14ac:dyDescent="0.35">
      <c r="P52" s="28"/>
      <c r="Q52" s="28"/>
      <c r="R52" s="28"/>
      <c r="S52" s="7"/>
      <c r="T52" s="7"/>
      <c r="U52" s="7"/>
      <c r="V52" s="7"/>
      <c r="W52" s="7"/>
      <c r="X52" s="7"/>
      <c r="Y52" s="7"/>
      <c r="Z52" s="7"/>
    </row>
    <row r="53" spans="16:26" ht="15" customHeight="1" x14ac:dyDescent="0.35"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</row>
    <row r="54" spans="16:26" ht="15" customHeight="1" x14ac:dyDescent="0.3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</row>
    <row r="55" spans="16:26" ht="15.75" customHeight="1" x14ac:dyDescent="0.3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</row>
  </sheetData>
  <mergeCells count="24">
    <mergeCell ref="B2:N2"/>
    <mergeCell ref="O2:Z2"/>
    <mergeCell ref="A5:A14"/>
    <mergeCell ref="A20:A46"/>
    <mergeCell ref="B20:M23"/>
    <mergeCell ref="B25:M27"/>
    <mergeCell ref="B29:M30"/>
    <mergeCell ref="O30:Z30"/>
    <mergeCell ref="B31:M32"/>
    <mergeCell ref="O32:Z32"/>
    <mergeCell ref="O43:Q43"/>
    <mergeCell ref="O44:Q44"/>
    <mergeCell ref="B46:L46"/>
    <mergeCell ref="O46:S46"/>
    <mergeCell ref="B33:M34"/>
    <mergeCell ref="O34:Z34"/>
    <mergeCell ref="B36:N44"/>
    <mergeCell ref="O36:Q36"/>
    <mergeCell ref="O37:Q37"/>
    <mergeCell ref="O38:Q38"/>
    <mergeCell ref="O39:Q39"/>
    <mergeCell ref="O40:Q40"/>
    <mergeCell ref="O41:Q41"/>
    <mergeCell ref="O42:Q42"/>
  </mergeCells>
  <conditionalFormatting sqref="AA5:AA17">
    <cfRule type="cellIs" dxfId="119" priority="1" operator="lessThan">
      <formula>20</formula>
    </cfRule>
    <cfRule type="cellIs" dxfId="118" priority="2" operator="between">
      <formula>20</formula>
      <formula>29</formula>
    </cfRule>
    <cfRule type="cellIs" dxfId="11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EE113-5C67-4F58-8FFA-1B44C79DDE4C}">
  <sheetPr codeName="Hoja8">
    <pageSetUpPr autoPageBreaks="0"/>
  </sheetPr>
  <dimension ref="A1:AC60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53125" defaultRowHeight="14.5" outlineLevelRow="1" outlineLevelCol="1" x14ac:dyDescent="0.35"/>
  <cols>
    <col min="2" max="2" width="12.453125" customWidth="1"/>
    <col min="3" max="3" width="15.26953125" customWidth="1"/>
    <col min="4" max="4" width="38" hidden="1" customWidth="1" outlineLevel="1"/>
    <col min="5" max="5" width="15.1796875" hidden="1" customWidth="1" outlineLevel="1"/>
    <col min="6" max="6" width="16.54296875" hidden="1" customWidth="1" outlineLevel="1"/>
    <col min="7" max="7" width="14.7265625" hidden="1" customWidth="1" outlineLevel="1"/>
    <col min="8" max="8" width="10.54296875" hidden="1" customWidth="1" outlineLevel="1"/>
    <col min="9" max="9" width="18.453125" hidden="1" customWidth="1" outlineLevel="1"/>
    <col min="10" max="10" width="33.54296875" hidden="1" customWidth="1" outlineLevel="1"/>
    <col min="11" max="11" width="20.7265625" customWidth="1" outlineLevel="1"/>
    <col min="12" max="14" width="10.7265625" customWidth="1"/>
    <col min="15" max="27" width="15.453125" customWidth="1"/>
    <col min="29" max="29" width="71.453125" style="39" customWidth="1"/>
  </cols>
  <sheetData>
    <row r="1" spans="1:29" ht="15" thickBot="1" x14ac:dyDescent="0.4"/>
    <row r="2" spans="1:29" ht="29.65" customHeight="1" thickBot="1" x14ac:dyDescent="0.4">
      <c r="B2" s="162" t="s">
        <v>38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4"/>
      <c r="O2" s="147" t="s">
        <v>11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9"/>
    </row>
    <row r="3" spans="1:29" s="1" customFormat="1" ht="15" thickBot="1" x14ac:dyDescent="0.4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242</v>
      </c>
      <c r="U3" s="75" t="s">
        <v>241</v>
      </c>
      <c r="V3" s="75" t="s">
        <v>78</v>
      </c>
      <c r="W3" s="75" t="s">
        <v>79</v>
      </c>
      <c r="X3" s="75" t="s">
        <v>80</v>
      </c>
      <c r="Y3" s="93" t="s">
        <v>112</v>
      </c>
      <c r="Z3" s="86" t="s">
        <v>171</v>
      </c>
      <c r="AA3" s="86" t="s">
        <v>188</v>
      </c>
      <c r="AC3" s="39"/>
    </row>
    <row r="4" spans="1:29" s="2" customFormat="1" ht="15" thickBot="1" x14ac:dyDescent="0.4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243</v>
      </c>
      <c r="U4" s="74" t="s">
        <v>241</v>
      </c>
      <c r="V4" s="74" t="s">
        <v>78</v>
      </c>
      <c r="W4" s="74" t="s">
        <v>79</v>
      </c>
      <c r="X4" s="74" t="s">
        <v>80</v>
      </c>
      <c r="Y4" s="74" t="s">
        <v>112</v>
      </c>
      <c r="Z4" s="74" t="s">
        <v>171</v>
      </c>
      <c r="AA4" s="74" t="s">
        <v>188</v>
      </c>
      <c r="AB4" s="22" t="s">
        <v>16</v>
      </c>
      <c r="AC4" s="44" t="s">
        <v>36</v>
      </c>
    </row>
    <row r="5" spans="1:29" ht="14.65" customHeight="1" outlineLevel="1" x14ac:dyDescent="0.35">
      <c r="A5" s="207" t="s">
        <v>39</v>
      </c>
      <c r="B5" s="143" t="s">
        <v>136</v>
      </c>
      <c r="C5" s="88" t="s">
        <v>137</v>
      </c>
      <c r="D5" s="114" t="s">
        <v>172</v>
      </c>
      <c r="E5" s="114" t="s">
        <v>40</v>
      </c>
      <c r="F5" s="114" t="s">
        <v>75</v>
      </c>
      <c r="G5" s="114" t="s">
        <v>113</v>
      </c>
      <c r="H5" s="114" t="s">
        <v>41</v>
      </c>
      <c r="I5" s="115">
        <v>56992704205</v>
      </c>
      <c r="J5" s="26" t="s">
        <v>173</v>
      </c>
      <c r="K5" s="26" t="s">
        <v>54</v>
      </c>
      <c r="L5" s="49" t="s">
        <v>205</v>
      </c>
      <c r="M5" s="49" t="s">
        <v>206</v>
      </c>
      <c r="N5" s="116">
        <f>SUMPRODUCT(Tabla5239[[#This Row],[Paltas]:[Empanadas]],O$32:AA$32)</f>
        <v>45000</v>
      </c>
      <c r="O5" s="49">
        <v>7</v>
      </c>
      <c r="P5" s="49">
        <v>0</v>
      </c>
      <c r="Q5" s="49">
        <v>3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f>SUM(Tabla5239[[#This Row],[Paltas]:[Empanadas]])</f>
        <v>10</v>
      </c>
      <c r="AC5" s="57"/>
    </row>
    <row r="6" spans="1:29" outlineLevel="1" x14ac:dyDescent="0.35">
      <c r="A6" s="208"/>
      <c r="B6" s="132" t="s">
        <v>85</v>
      </c>
      <c r="C6" s="47" t="s">
        <v>83</v>
      </c>
      <c r="D6" s="47" t="s">
        <v>84</v>
      </c>
      <c r="E6" s="47" t="s">
        <v>40</v>
      </c>
      <c r="F6" s="47" t="s">
        <v>49</v>
      </c>
      <c r="G6" s="47" t="s">
        <v>76</v>
      </c>
      <c r="H6" s="47" t="s">
        <v>41</v>
      </c>
      <c r="I6" s="53">
        <v>56982328251</v>
      </c>
      <c r="J6" s="27" t="s">
        <v>86</v>
      </c>
      <c r="K6" s="27" t="s">
        <v>54</v>
      </c>
      <c r="L6" s="52" t="s">
        <v>205</v>
      </c>
      <c r="M6" s="52" t="s">
        <v>206</v>
      </c>
      <c r="N6" s="47">
        <f>SUMPRODUCT(Tabla5239[[#This Row],[Paltas]:[Empanadas]],O$32:AA$32)</f>
        <v>4500</v>
      </c>
      <c r="O6" s="52">
        <v>0</v>
      </c>
      <c r="P6" s="52">
        <v>0</v>
      </c>
      <c r="Q6" s="52">
        <v>1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v>0</v>
      </c>
      <c r="AB6" s="52">
        <f>SUM(Tabla5239[[#This Row],[Paltas]:[Empanadas]])</f>
        <v>1</v>
      </c>
      <c r="AC6" s="58"/>
    </row>
    <row r="7" spans="1:29" outlineLevel="1" x14ac:dyDescent="0.35">
      <c r="A7" s="208"/>
      <c r="B7" s="131" t="s">
        <v>207</v>
      </c>
      <c r="C7" s="48" t="s">
        <v>208</v>
      </c>
      <c r="D7" s="59" t="s">
        <v>209</v>
      </c>
      <c r="E7" s="59" t="s">
        <v>40</v>
      </c>
      <c r="F7" s="59" t="s">
        <v>75</v>
      </c>
      <c r="G7" s="59" t="s">
        <v>76</v>
      </c>
      <c r="H7" s="59" t="s">
        <v>41</v>
      </c>
      <c r="I7" s="60">
        <v>56966477967</v>
      </c>
      <c r="J7" s="27" t="s">
        <v>210</v>
      </c>
      <c r="K7" s="27" t="s">
        <v>54</v>
      </c>
      <c r="L7" s="52" t="s">
        <v>205</v>
      </c>
      <c r="M7" s="52" t="s">
        <v>206</v>
      </c>
      <c r="N7" s="70">
        <f>SUMPRODUCT(Tabla5239[[#This Row],[Paltas]:[Empanadas]],O$32:AA$32)</f>
        <v>14000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2</v>
      </c>
      <c r="Z7" s="52">
        <v>0</v>
      </c>
      <c r="AA7" s="52">
        <v>0</v>
      </c>
      <c r="AB7" s="52">
        <f>SUM(Tabla5239[[#This Row],[Paltas]:[Empanadas]])</f>
        <v>2</v>
      </c>
      <c r="AC7" s="58"/>
    </row>
    <row r="8" spans="1:29" outlineLevel="1" x14ac:dyDescent="0.35">
      <c r="A8" s="208"/>
      <c r="B8" s="132" t="s">
        <v>195</v>
      </c>
      <c r="C8" s="47" t="s">
        <v>223</v>
      </c>
      <c r="D8" s="47" t="s">
        <v>224</v>
      </c>
      <c r="E8" s="47" t="s">
        <v>46</v>
      </c>
      <c r="F8" s="47" t="s">
        <v>221</v>
      </c>
      <c r="G8" s="47" t="s">
        <v>45</v>
      </c>
      <c r="H8" s="47" t="s">
        <v>217</v>
      </c>
      <c r="I8" s="53">
        <v>56996324787</v>
      </c>
      <c r="J8" s="27" t="s">
        <v>225</v>
      </c>
      <c r="K8" s="27" t="s">
        <v>42</v>
      </c>
      <c r="L8" s="52" t="s">
        <v>205</v>
      </c>
      <c r="M8" s="52" t="s">
        <v>206</v>
      </c>
      <c r="N8" s="47">
        <f>SUMPRODUCT(Tabla5239[[#This Row],[Paltas]:[Empanadas]],O$32:AA$32)</f>
        <v>31500</v>
      </c>
      <c r="O8" s="52">
        <v>2</v>
      </c>
      <c r="P8" s="52">
        <v>0</v>
      </c>
      <c r="Q8" s="52">
        <v>0</v>
      </c>
      <c r="R8" s="52">
        <v>0</v>
      </c>
      <c r="S8" s="52">
        <v>0</v>
      </c>
      <c r="T8" s="52">
        <v>1</v>
      </c>
      <c r="U8" s="52">
        <v>1</v>
      </c>
      <c r="V8" s="52">
        <v>1</v>
      </c>
      <c r="W8" s="52">
        <v>0</v>
      </c>
      <c r="X8" s="52">
        <v>0</v>
      </c>
      <c r="Y8" s="52">
        <v>1</v>
      </c>
      <c r="Z8" s="52">
        <v>0</v>
      </c>
      <c r="AA8" s="52">
        <v>0</v>
      </c>
      <c r="AB8" s="52">
        <f>SUM(Tabla5239[[#This Row],[Paltas]:[Empanadas]])</f>
        <v>6</v>
      </c>
      <c r="AC8" s="58"/>
    </row>
    <row r="9" spans="1:29" outlineLevel="1" x14ac:dyDescent="0.35">
      <c r="A9" s="208"/>
      <c r="B9" s="132" t="s">
        <v>62</v>
      </c>
      <c r="C9" s="47" t="s">
        <v>63</v>
      </c>
      <c r="D9" s="47" t="s">
        <v>64</v>
      </c>
      <c r="E9" s="47" t="s">
        <v>40</v>
      </c>
      <c r="F9" s="47" t="s">
        <v>49</v>
      </c>
      <c r="G9" s="47" t="s">
        <v>51</v>
      </c>
      <c r="H9" s="47" t="s">
        <v>41</v>
      </c>
      <c r="I9" s="53">
        <v>56952304675</v>
      </c>
      <c r="J9" s="27" t="s">
        <v>65</v>
      </c>
      <c r="K9" s="27" t="s">
        <v>48</v>
      </c>
      <c r="L9" s="52" t="s">
        <v>205</v>
      </c>
      <c r="M9" s="52" t="s">
        <v>206</v>
      </c>
      <c r="N9" s="47">
        <f>SUMPRODUCT(Tabla5239[[#This Row],[Paltas]:[Empanadas]],O$32:AA$32)</f>
        <v>97000</v>
      </c>
      <c r="O9" s="52">
        <v>2</v>
      </c>
      <c r="P9" s="52">
        <v>0</v>
      </c>
      <c r="Q9" s="52">
        <v>4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10</v>
      </c>
      <c r="Z9" s="52">
        <v>0</v>
      </c>
      <c r="AA9" s="52">
        <v>0</v>
      </c>
      <c r="AB9" s="52">
        <f>SUM(Tabla5239[[#This Row],[Paltas]:[Empanadas]])</f>
        <v>16</v>
      </c>
      <c r="AC9" s="58"/>
    </row>
    <row r="10" spans="1:29" outlineLevel="1" x14ac:dyDescent="0.35">
      <c r="A10" s="208"/>
      <c r="B10" s="132" t="s">
        <v>59</v>
      </c>
      <c r="C10" s="47" t="s">
        <v>72</v>
      </c>
      <c r="D10" s="47" t="s">
        <v>73</v>
      </c>
      <c r="E10" s="47" t="s">
        <v>40</v>
      </c>
      <c r="F10" s="47" t="s">
        <v>49</v>
      </c>
      <c r="G10" s="47" t="s">
        <v>53</v>
      </c>
      <c r="H10" s="47" t="s">
        <v>41</v>
      </c>
      <c r="I10" s="53">
        <v>56975684552</v>
      </c>
      <c r="J10" s="27" t="s">
        <v>74</v>
      </c>
      <c r="K10" s="27" t="s">
        <v>48</v>
      </c>
      <c r="L10" s="52" t="s">
        <v>205</v>
      </c>
      <c r="M10" s="52" t="s">
        <v>206</v>
      </c>
      <c r="N10" s="47">
        <f>SUMPRODUCT(Tabla5239[[#This Row],[Paltas]:[Empanadas]],O$32:AA$32)</f>
        <v>54000</v>
      </c>
      <c r="O10" s="52">
        <v>5</v>
      </c>
      <c r="P10" s="52">
        <v>0</v>
      </c>
      <c r="Q10" s="52">
        <v>7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v>0</v>
      </c>
      <c r="AB10" s="52">
        <f>SUM(Tabla5239[[#This Row],[Paltas]:[Empanadas]])</f>
        <v>12</v>
      </c>
      <c r="AC10" s="58"/>
    </row>
    <row r="11" spans="1:29" outlineLevel="1" x14ac:dyDescent="0.35">
      <c r="A11" s="208"/>
      <c r="B11" s="131" t="s">
        <v>186</v>
      </c>
      <c r="C11" s="48" t="s">
        <v>128</v>
      </c>
      <c r="D11" s="59" t="s">
        <v>187</v>
      </c>
      <c r="E11" s="59" t="s">
        <v>46</v>
      </c>
      <c r="F11" s="59" t="s">
        <v>87</v>
      </c>
      <c r="G11" s="59">
        <v>0</v>
      </c>
      <c r="H11" s="59" t="s">
        <v>41</v>
      </c>
      <c r="I11" s="60">
        <v>56978945335</v>
      </c>
      <c r="J11" s="27" t="s">
        <v>239</v>
      </c>
      <c r="K11" s="27" t="s">
        <v>48</v>
      </c>
      <c r="L11" s="52" t="s">
        <v>205</v>
      </c>
      <c r="M11" s="52" t="s">
        <v>206</v>
      </c>
      <c r="N11" s="70">
        <f>SUMPRODUCT(Tabla5239[[#This Row],[Paltas]:[Empanadas]],O$32:AA$32)</f>
        <v>36500</v>
      </c>
      <c r="O11" s="52">
        <v>5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2</v>
      </c>
      <c r="Z11" s="52">
        <v>0</v>
      </c>
      <c r="AA11" s="52">
        <v>0</v>
      </c>
      <c r="AB11" s="52">
        <f>SUM(Tabla5239[[#This Row],[Paltas]:[Empanadas]])</f>
        <v>7</v>
      </c>
      <c r="AC11" s="58"/>
    </row>
    <row r="12" spans="1:29" outlineLevel="1" x14ac:dyDescent="0.35">
      <c r="A12" s="208"/>
      <c r="B12" s="131" t="s">
        <v>150</v>
      </c>
      <c r="C12" s="48" t="s">
        <v>201</v>
      </c>
      <c r="D12" s="59" t="s">
        <v>202</v>
      </c>
      <c r="E12" s="59" t="s">
        <v>40</v>
      </c>
      <c r="F12" s="59" t="s">
        <v>49</v>
      </c>
      <c r="G12" s="59" t="s">
        <v>113</v>
      </c>
      <c r="H12" s="59" t="s">
        <v>41</v>
      </c>
      <c r="I12" s="60">
        <v>56976994719</v>
      </c>
      <c r="J12" s="27" t="s">
        <v>203</v>
      </c>
      <c r="K12" s="27" t="s">
        <v>48</v>
      </c>
      <c r="L12" s="52" t="s">
        <v>205</v>
      </c>
      <c r="M12" s="52" t="s">
        <v>206</v>
      </c>
      <c r="N12" s="70">
        <f>SUMPRODUCT(Tabla5239[[#This Row],[Paltas]:[Empanadas]],O$32:AA$32)</f>
        <v>13500</v>
      </c>
      <c r="O12" s="52">
        <v>1</v>
      </c>
      <c r="P12" s="52">
        <v>0</v>
      </c>
      <c r="Q12" s="52">
        <v>1</v>
      </c>
      <c r="R12" s="52">
        <v>1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0</v>
      </c>
      <c r="AB12" s="52">
        <f>SUM(Tabla5239[[#This Row],[Paltas]:[Empanadas]])</f>
        <v>3</v>
      </c>
      <c r="AC12" s="58"/>
    </row>
    <row r="13" spans="1:29" outlineLevel="1" x14ac:dyDescent="0.35">
      <c r="A13" s="208"/>
      <c r="B13" s="132" t="s">
        <v>55</v>
      </c>
      <c r="C13" s="47" t="s">
        <v>56</v>
      </c>
      <c r="D13" s="47" t="s">
        <v>57</v>
      </c>
      <c r="E13" s="47" t="s">
        <v>40</v>
      </c>
      <c r="F13" s="47" t="s">
        <v>49</v>
      </c>
      <c r="G13" s="47" t="s">
        <v>45</v>
      </c>
      <c r="H13" s="47" t="s">
        <v>41</v>
      </c>
      <c r="I13" s="53">
        <v>56967898535</v>
      </c>
      <c r="J13" s="27" t="s">
        <v>58</v>
      </c>
      <c r="K13" s="27" t="s">
        <v>54</v>
      </c>
      <c r="L13" s="52" t="s">
        <v>205</v>
      </c>
      <c r="M13" s="52" t="s">
        <v>205</v>
      </c>
      <c r="N13" s="47">
        <f>SUMPRODUCT(Tabla5239[[#This Row],[Paltas]:[Empanadas]],O$32:AA$32)</f>
        <v>54000</v>
      </c>
      <c r="O13" s="52">
        <v>4</v>
      </c>
      <c r="P13" s="52">
        <v>0</v>
      </c>
      <c r="Q13" s="52">
        <v>1</v>
      </c>
      <c r="R13" s="52">
        <v>3</v>
      </c>
      <c r="S13" s="52">
        <v>0</v>
      </c>
      <c r="T13" s="52">
        <v>0</v>
      </c>
      <c r="U13" s="52">
        <v>1</v>
      </c>
      <c r="V13" s="52">
        <v>0</v>
      </c>
      <c r="W13" s="52">
        <v>0</v>
      </c>
      <c r="X13" s="52">
        <v>1</v>
      </c>
      <c r="Y13" s="52">
        <v>1</v>
      </c>
      <c r="Z13" s="52">
        <v>0</v>
      </c>
      <c r="AA13" s="52">
        <v>0</v>
      </c>
      <c r="AB13" s="52">
        <f>SUM(Tabla5239[[#This Row],[Paltas]:[Empanadas]])</f>
        <v>11</v>
      </c>
      <c r="AC13" s="58"/>
    </row>
    <row r="14" spans="1:29" outlineLevel="1" x14ac:dyDescent="0.35">
      <c r="A14" s="208"/>
      <c r="B14" s="132" t="s">
        <v>122</v>
      </c>
      <c r="C14" s="47" t="s">
        <v>123</v>
      </c>
      <c r="D14" s="47" t="s">
        <v>124</v>
      </c>
      <c r="E14" s="47" t="s">
        <v>40</v>
      </c>
      <c r="F14" s="47" t="s">
        <v>49</v>
      </c>
      <c r="G14" s="47" t="s">
        <v>125</v>
      </c>
      <c r="H14" s="47" t="s">
        <v>41</v>
      </c>
      <c r="I14" s="53">
        <v>56968320616</v>
      </c>
      <c r="J14" s="27" t="s">
        <v>126</v>
      </c>
      <c r="K14" s="27" t="s">
        <v>54</v>
      </c>
      <c r="L14" s="52" t="s">
        <v>205</v>
      </c>
      <c r="M14" s="52" t="s">
        <v>205</v>
      </c>
      <c r="N14" s="47">
        <f>SUMPRODUCT(Tabla5239[[#This Row],[Paltas]:[Empanadas]],O$32:AA$32)</f>
        <v>11500</v>
      </c>
      <c r="O14" s="52">
        <v>0</v>
      </c>
      <c r="P14" s="52">
        <v>0</v>
      </c>
      <c r="Q14" s="52">
        <v>1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1</v>
      </c>
      <c r="Z14" s="52">
        <v>0</v>
      </c>
      <c r="AA14" s="52">
        <v>0</v>
      </c>
      <c r="AB14" s="52">
        <f>SUM(Tabla5239[[#This Row],[Paltas]:[Empanadas]])</f>
        <v>2</v>
      </c>
      <c r="AC14" s="58"/>
    </row>
    <row r="15" spans="1:29" outlineLevel="1" x14ac:dyDescent="0.35">
      <c r="A15" s="208"/>
      <c r="B15" s="132" t="s">
        <v>145</v>
      </c>
      <c r="C15" s="47" t="s">
        <v>83</v>
      </c>
      <c r="D15" s="47" t="s">
        <v>84</v>
      </c>
      <c r="E15" s="47" t="s">
        <v>40</v>
      </c>
      <c r="F15" s="47" t="s">
        <v>49</v>
      </c>
      <c r="G15" s="47" t="s">
        <v>45</v>
      </c>
      <c r="H15" s="47" t="s">
        <v>217</v>
      </c>
      <c r="I15" s="53">
        <v>56982328250</v>
      </c>
      <c r="J15" s="27" t="s">
        <v>226</v>
      </c>
      <c r="K15" s="27" t="s">
        <v>54</v>
      </c>
      <c r="L15" s="52" t="s">
        <v>205</v>
      </c>
      <c r="M15" s="52" t="s">
        <v>205</v>
      </c>
      <c r="N15" s="47">
        <f>SUMPRODUCT(Tabla5239[[#This Row],[Paltas]:[Empanadas]],O$32:AA$32)</f>
        <v>18000</v>
      </c>
      <c r="O15" s="52">
        <v>0</v>
      </c>
      <c r="P15" s="52">
        <v>0</v>
      </c>
      <c r="Q15" s="52">
        <v>4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0</v>
      </c>
      <c r="AB15" s="52">
        <f>SUM(Tabla5239[[#This Row],[Paltas]:[Empanadas]])</f>
        <v>4</v>
      </c>
      <c r="AC15" s="58"/>
    </row>
    <row r="16" spans="1:29" outlineLevel="1" x14ac:dyDescent="0.35">
      <c r="A16" s="208"/>
      <c r="B16" s="132" t="s">
        <v>176</v>
      </c>
      <c r="C16" s="47" t="s">
        <v>177</v>
      </c>
      <c r="D16" s="47" t="s">
        <v>178</v>
      </c>
      <c r="E16" s="47" t="s">
        <v>46</v>
      </c>
      <c r="F16" s="47" t="s">
        <v>87</v>
      </c>
      <c r="G16" s="47" t="s">
        <v>45</v>
      </c>
      <c r="H16" s="47" t="s">
        <v>41</v>
      </c>
      <c r="I16" s="53">
        <v>56963061299</v>
      </c>
      <c r="J16" s="27" t="s">
        <v>179</v>
      </c>
      <c r="K16" s="27" t="s">
        <v>42</v>
      </c>
      <c r="L16" s="52" t="s">
        <v>205</v>
      </c>
      <c r="M16" s="52" t="s">
        <v>205</v>
      </c>
      <c r="N16" s="47">
        <f>SUMPRODUCT(Tabla5239[[#This Row],[Paltas]:[Empanadas]],O$32:AA$32)</f>
        <v>79500</v>
      </c>
      <c r="O16" s="52">
        <v>3</v>
      </c>
      <c r="P16" s="52">
        <v>0</v>
      </c>
      <c r="Q16" s="52">
        <v>5</v>
      </c>
      <c r="R16" s="52">
        <v>0</v>
      </c>
      <c r="S16" s="52">
        <v>1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2</v>
      </c>
      <c r="Z16" s="52">
        <v>1</v>
      </c>
      <c r="AA16" s="52">
        <v>1</v>
      </c>
      <c r="AB16" s="52">
        <f>SUM(Tabla5239[[#This Row],[Paltas]:[Empanadas]])</f>
        <v>13</v>
      </c>
      <c r="AC16" s="58"/>
    </row>
    <row r="17" spans="1:29" outlineLevel="1" x14ac:dyDescent="0.35">
      <c r="A17" s="208"/>
      <c r="B17" s="131" t="s">
        <v>169</v>
      </c>
      <c r="C17" s="48" t="s">
        <v>170</v>
      </c>
      <c r="D17" s="59" t="s">
        <v>174</v>
      </c>
      <c r="E17" s="59" t="s">
        <v>46</v>
      </c>
      <c r="F17" s="59" t="s">
        <v>87</v>
      </c>
      <c r="G17" s="59" t="s">
        <v>45</v>
      </c>
      <c r="H17" s="59" t="s">
        <v>41</v>
      </c>
      <c r="I17" s="60">
        <v>56966685970</v>
      </c>
      <c r="J17" s="27" t="s">
        <v>175</v>
      </c>
      <c r="K17" s="27" t="s">
        <v>42</v>
      </c>
      <c r="L17" s="52" t="s">
        <v>205</v>
      </c>
      <c r="M17" s="52" t="s">
        <v>205</v>
      </c>
      <c r="N17" s="70">
        <f>SUMPRODUCT(Tabla5239[[#This Row],[Paltas]:[Empanadas]],O$32:AA$32)</f>
        <v>23000</v>
      </c>
      <c r="O17" s="52">
        <v>0</v>
      </c>
      <c r="P17" s="52">
        <v>0</v>
      </c>
      <c r="Q17" s="52">
        <v>2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2</v>
      </c>
      <c r="Z17" s="52">
        <v>0</v>
      </c>
      <c r="AA17" s="52">
        <v>0</v>
      </c>
      <c r="AB17" s="52">
        <f>SUM(Tabla5239[[#This Row],[Paltas]:[Empanadas]])</f>
        <v>4</v>
      </c>
      <c r="AC17" s="58"/>
    </row>
    <row r="18" spans="1:29" outlineLevel="1" x14ac:dyDescent="0.35">
      <c r="A18" s="208"/>
      <c r="B18" s="131" t="s">
        <v>103</v>
      </c>
      <c r="C18" s="48" t="s">
        <v>104</v>
      </c>
      <c r="D18" s="59" t="s">
        <v>106</v>
      </c>
      <c r="E18" s="59" t="s">
        <v>46</v>
      </c>
      <c r="F18" s="59" t="s">
        <v>87</v>
      </c>
      <c r="G18" s="59" t="s">
        <v>45</v>
      </c>
      <c r="H18" s="59" t="s">
        <v>41</v>
      </c>
      <c r="I18" s="60">
        <v>56997792386</v>
      </c>
      <c r="J18" s="27" t="s">
        <v>105</v>
      </c>
      <c r="K18" s="27" t="s">
        <v>42</v>
      </c>
      <c r="L18" s="52" t="s">
        <v>205</v>
      </c>
      <c r="M18" s="52" t="s">
        <v>205</v>
      </c>
      <c r="N18" s="70">
        <f>SUMPRODUCT(Tabla5239[[#This Row],[Paltas]:[Empanadas]],O$32:AA$32)</f>
        <v>75500</v>
      </c>
      <c r="O18" s="52">
        <v>1</v>
      </c>
      <c r="P18" s="52">
        <v>0</v>
      </c>
      <c r="Q18" s="52">
        <v>1</v>
      </c>
      <c r="R18" s="52">
        <v>0</v>
      </c>
      <c r="S18" s="52">
        <v>0</v>
      </c>
      <c r="T18" s="52">
        <v>0</v>
      </c>
      <c r="U18" s="52">
        <v>1</v>
      </c>
      <c r="V18" s="52">
        <v>0</v>
      </c>
      <c r="W18" s="52">
        <v>0</v>
      </c>
      <c r="X18" s="52">
        <v>0</v>
      </c>
      <c r="Y18" s="52">
        <v>9</v>
      </c>
      <c r="Z18" s="52">
        <v>0</v>
      </c>
      <c r="AA18" s="52">
        <v>0</v>
      </c>
      <c r="AB18" s="52">
        <f>SUM(Tabla5239[[#This Row],[Paltas]:[Empanadas]])</f>
        <v>12</v>
      </c>
      <c r="AC18" s="58"/>
    </row>
    <row r="19" spans="1:29" outlineLevel="1" x14ac:dyDescent="0.35">
      <c r="A19" s="208"/>
      <c r="B19" s="131" t="s">
        <v>94</v>
      </c>
      <c r="C19" s="48" t="s">
        <v>50</v>
      </c>
      <c r="D19" s="59" t="s">
        <v>95</v>
      </c>
      <c r="E19" s="59" t="s">
        <v>40</v>
      </c>
      <c r="F19" s="59" t="s">
        <v>49</v>
      </c>
      <c r="G19" s="59" t="s">
        <v>51</v>
      </c>
      <c r="H19" s="59" t="s">
        <v>41</v>
      </c>
      <c r="I19" s="60">
        <v>56966640363</v>
      </c>
      <c r="J19" s="27" t="s">
        <v>96</v>
      </c>
      <c r="K19" s="27" t="s">
        <v>48</v>
      </c>
      <c r="L19" s="52" t="s">
        <v>205</v>
      </c>
      <c r="M19" s="52" t="s">
        <v>205</v>
      </c>
      <c r="N19" s="70">
        <f>SUMPRODUCT(Tabla5239[[#This Row],[Paltas]:[Empanadas]],O$32:AA$32)</f>
        <v>14000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2</v>
      </c>
      <c r="Z19" s="52">
        <v>0</v>
      </c>
      <c r="AA19" s="52">
        <v>0</v>
      </c>
      <c r="AB19" s="52">
        <f>SUM(Tabla5239[[#This Row],[Paltas]:[Empanadas]])</f>
        <v>2</v>
      </c>
      <c r="AC19" s="58"/>
    </row>
    <row r="20" spans="1:29" outlineLevel="1" x14ac:dyDescent="0.35">
      <c r="A20" s="208"/>
      <c r="B20" s="132" t="s">
        <v>114</v>
      </c>
      <c r="C20" s="47" t="s">
        <v>119</v>
      </c>
      <c r="D20" s="47" t="s">
        <v>120</v>
      </c>
      <c r="E20" s="47" t="s">
        <v>40</v>
      </c>
      <c r="F20" s="47" t="s">
        <v>75</v>
      </c>
      <c r="G20" s="47" t="s">
        <v>113</v>
      </c>
      <c r="H20" s="47" t="s">
        <v>41</v>
      </c>
      <c r="I20" s="53">
        <v>56988587944</v>
      </c>
      <c r="J20" s="27" t="s">
        <v>121</v>
      </c>
      <c r="K20" s="27" t="s">
        <v>48</v>
      </c>
      <c r="L20" s="52" t="s">
        <v>205</v>
      </c>
      <c r="M20" s="52" t="s">
        <v>205</v>
      </c>
      <c r="N20" s="47">
        <f>SUMPRODUCT(Tabla5239[[#This Row],[Paltas]:[Empanadas]],O$32:AA$32)</f>
        <v>39000</v>
      </c>
      <c r="O20" s="52">
        <v>0</v>
      </c>
      <c r="P20" s="52">
        <v>0</v>
      </c>
      <c r="Q20" s="52">
        <v>4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f>2+1</f>
        <v>3</v>
      </c>
      <c r="Z20" s="52">
        <v>0</v>
      </c>
      <c r="AA20" s="52">
        <v>0</v>
      </c>
      <c r="AB20" s="52">
        <f>SUM(Tabla5239[[#This Row],[Paltas]:[Empanadas]])</f>
        <v>7</v>
      </c>
      <c r="AC20" s="58"/>
    </row>
    <row r="21" spans="1:29" outlineLevel="1" x14ac:dyDescent="0.35">
      <c r="A21" s="208"/>
      <c r="B21" s="132" t="s">
        <v>195</v>
      </c>
      <c r="C21" s="47" t="s">
        <v>196</v>
      </c>
      <c r="D21" s="47" t="s">
        <v>197</v>
      </c>
      <c r="E21" s="47" t="s">
        <v>135</v>
      </c>
      <c r="F21" s="47" t="s">
        <v>189</v>
      </c>
      <c r="G21" s="47" t="s">
        <v>198</v>
      </c>
      <c r="H21" s="47" t="s">
        <v>41</v>
      </c>
      <c r="I21" s="53">
        <v>56979987750</v>
      </c>
      <c r="J21" s="27" t="s">
        <v>199</v>
      </c>
      <c r="K21" s="27" t="s">
        <v>48</v>
      </c>
      <c r="L21" s="52" t="s">
        <v>205</v>
      </c>
      <c r="M21" s="52" t="s">
        <v>205</v>
      </c>
      <c r="N21" s="47">
        <f>SUMPRODUCT(Tabla5239[[#This Row],[Paltas]:[Empanadas]],O$32:AA$32)</f>
        <v>252000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f>21+15</f>
        <v>36</v>
      </c>
      <c r="Z21" s="52">
        <v>0</v>
      </c>
      <c r="AA21" s="52">
        <v>0</v>
      </c>
      <c r="AB21" s="52">
        <f>SUM(Tabla5239[[#This Row],[Paltas]:[Empanadas]])</f>
        <v>36</v>
      </c>
      <c r="AC21" s="58"/>
    </row>
    <row r="22" spans="1:29" outlineLevel="1" x14ac:dyDescent="0.35">
      <c r="A22" s="208"/>
      <c r="B22" s="109" t="s">
        <v>159</v>
      </c>
      <c r="C22" s="110" t="s">
        <v>162</v>
      </c>
      <c r="D22" s="111" t="s">
        <v>163</v>
      </c>
      <c r="E22" s="111" t="s">
        <v>135</v>
      </c>
      <c r="F22" s="111" t="s">
        <v>151</v>
      </c>
      <c r="G22" s="111" t="s">
        <v>45</v>
      </c>
      <c r="H22" s="111" t="s">
        <v>41</v>
      </c>
      <c r="I22" s="112">
        <v>56979312762</v>
      </c>
      <c r="J22" s="82" t="s">
        <v>164</v>
      </c>
      <c r="K22" s="82" t="s">
        <v>48</v>
      </c>
      <c r="L22" s="83" t="s">
        <v>205</v>
      </c>
      <c r="M22" s="83" t="s">
        <v>205</v>
      </c>
      <c r="N22" s="70">
        <f>SUMPRODUCT(Tabla5239[[#This Row],[Paltas]:[Empanadas]],O$32:AA$32)</f>
        <v>122500</v>
      </c>
      <c r="O22" s="83">
        <v>0</v>
      </c>
      <c r="P22" s="83">
        <v>0</v>
      </c>
      <c r="Q22" s="83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3">
        <v>0</v>
      </c>
      <c r="X22" s="83">
        <v>0</v>
      </c>
      <c r="Y22" s="83">
        <f>3+7</f>
        <v>10</v>
      </c>
      <c r="Z22" s="83">
        <v>0</v>
      </c>
      <c r="AA22" s="83">
        <f>2+1</f>
        <v>3</v>
      </c>
      <c r="AB22" s="83">
        <f>SUM(Tabla5239[[#This Row],[Paltas]:[Empanadas]])</f>
        <v>13</v>
      </c>
      <c r="AC22" s="84"/>
    </row>
    <row r="23" spans="1:29" outlineLevel="1" x14ac:dyDescent="0.3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9" ht="15" thickBot="1" x14ac:dyDescent="0.4"/>
    <row r="25" spans="1:29" ht="14.65" customHeight="1" thickBot="1" x14ac:dyDescent="0.4">
      <c r="A25" s="165" t="s">
        <v>20</v>
      </c>
      <c r="B25" s="156" t="s">
        <v>7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40" t="s">
        <v>9</v>
      </c>
      <c r="O25" s="8">
        <f>SUM(Tabla5239[Paltas])</f>
        <v>30</v>
      </c>
      <c r="P25" s="49">
        <f>SUM(Tabla5239[Quesos])</f>
        <v>0</v>
      </c>
      <c r="Q25" s="49">
        <f>SUM(Tabla5239[Frutillas])</f>
        <v>34</v>
      </c>
      <c r="R25" s="49">
        <f>SUM(Tabla5239[Tomate Cherry])</f>
        <v>4</v>
      </c>
      <c r="S25" s="49">
        <f>SUM(Tabla5239[Nueces])</f>
        <v>1</v>
      </c>
      <c r="T25" s="49">
        <f>SUM(Tabla5239[Mani Sal])</f>
        <v>1</v>
      </c>
      <c r="U25" s="49">
        <f>SUM(Tabla5239[Mani Sal])</f>
        <v>1</v>
      </c>
      <c r="V25" s="49">
        <f>SUM(Tabla5239[Pistachos])</f>
        <v>1</v>
      </c>
      <c r="W25" s="49">
        <f>SUM(Tabla5239[Caju])</f>
        <v>0</v>
      </c>
      <c r="X25" s="49">
        <f>SUM(Tabla5239[Almendras])</f>
        <v>1</v>
      </c>
      <c r="Y25" s="49">
        <f>SUM(Tabla5239[Cerezas])</f>
        <v>81</v>
      </c>
      <c r="Z25" s="49">
        <f>SUM(Tabla5239[Arandanos])</f>
        <v>1</v>
      </c>
      <c r="AA25" s="4">
        <f>SUM(Tabla5239[Empanadas])</f>
        <v>4</v>
      </c>
    </row>
    <row r="26" spans="1:29" ht="14.65" customHeight="1" thickBot="1" x14ac:dyDescent="0.4">
      <c r="A26" s="166"/>
      <c r="B26" s="174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6"/>
      <c r="N26" s="140" t="s">
        <v>28</v>
      </c>
      <c r="O26" s="9">
        <v>5</v>
      </c>
      <c r="P26" s="52">
        <v>4</v>
      </c>
      <c r="Q26" s="52">
        <v>2</v>
      </c>
      <c r="R26" s="37">
        <v>1</v>
      </c>
      <c r="S26" s="73">
        <v>0.5</v>
      </c>
      <c r="T26" s="73">
        <v>1</v>
      </c>
      <c r="U26" s="73">
        <v>1</v>
      </c>
      <c r="V26" s="73">
        <v>0.5</v>
      </c>
      <c r="W26" s="73">
        <v>0.4</v>
      </c>
      <c r="X26" s="73">
        <v>0.5</v>
      </c>
      <c r="Y26" s="73">
        <v>5</v>
      </c>
      <c r="Z26" s="73">
        <v>1</v>
      </c>
      <c r="AA26" s="38">
        <v>12</v>
      </c>
    </row>
    <row r="27" spans="1:29" ht="14.65" customHeight="1" thickBot="1" x14ac:dyDescent="0.4">
      <c r="A27" s="166"/>
      <c r="B27" s="174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6"/>
      <c r="N27" s="140" t="s">
        <v>8</v>
      </c>
      <c r="O27" s="9">
        <f>O26*O25</f>
        <v>150</v>
      </c>
      <c r="P27" s="52">
        <f t="shared" ref="P27:AA27" si="0">P26*P25</f>
        <v>0</v>
      </c>
      <c r="Q27" s="52">
        <f t="shared" si="0"/>
        <v>68</v>
      </c>
      <c r="R27" s="52">
        <f t="shared" si="0"/>
        <v>4</v>
      </c>
      <c r="S27" s="52">
        <f t="shared" si="0"/>
        <v>0.5</v>
      </c>
      <c r="T27" s="52">
        <f t="shared" si="0"/>
        <v>1</v>
      </c>
      <c r="U27" s="52">
        <f t="shared" ref="U27" si="1">U26*U25</f>
        <v>1</v>
      </c>
      <c r="V27" s="52">
        <f t="shared" si="0"/>
        <v>0.5</v>
      </c>
      <c r="W27" s="52">
        <f t="shared" si="0"/>
        <v>0</v>
      </c>
      <c r="X27" s="52">
        <f t="shared" si="0"/>
        <v>0.5</v>
      </c>
      <c r="Y27" s="52">
        <f t="shared" si="0"/>
        <v>405</v>
      </c>
      <c r="Z27" s="52">
        <f t="shared" si="0"/>
        <v>1</v>
      </c>
      <c r="AA27" s="11">
        <f t="shared" si="0"/>
        <v>48</v>
      </c>
    </row>
    <row r="28" spans="1:29" ht="15" thickBot="1" x14ac:dyDescent="0.4">
      <c r="A28" s="166"/>
      <c r="B28" s="159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1"/>
      <c r="N28" s="14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2"/>
    </row>
    <row r="29" spans="1:29" ht="15" thickBot="1" x14ac:dyDescent="0.4">
      <c r="A29" s="166"/>
      <c r="B29" s="14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9" ht="15" thickBot="1" x14ac:dyDescent="0.4">
      <c r="A30" s="166"/>
      <c r="B30" s="156" t="s">
        <v>12</v>
      </c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8"/>
      <c r="N30" s="140" t="s">
        <v>13</v>
      </c>
      <c r="O30" s="54">
        <v>3100</v>
      </c>
      <c r="P30" s="51">
        <v>6716</v>
      </c>
      <c r="Q30" s="51">
        <v>2600</v>
      </c>
      <c r="R30" s="51">
        <v>2300</v>
      </c>
      <c r="S30" s="51">
        <f t="shared" ref="S30:AA30" si="2">S31*S26</f>
        <v>3750</v>
      </c>
      <c r="T30" s="51">
        <f t="shared" si="2"/>
        <v>3500</v>
      </c>
      <c r="U30" s="51">
        <f t="shared" ref="U30" si="3">U31*U26</f>
        <v>3500</v>
      </c>
      <c r="V30" s="51">
        <f t="shared" si="2"/>
        <v>7050</v>
      </c>
      <c r="W30" s="51">
        <f t="shared" si="2"/>
        <v>5320</v>
      </c>
      <c r="X30" s="51">
        <f t="shared" si="2"/>
        <v>5350</v>
      </c>
      <c r="Y30" s="51">
        <f t="shared" si="2"/>
        <v>6000</v>
      </c>
      <c r="Z30" s="51">
        <f t="shared" si="2"/>
        <v>1200</v>
      </c>
      <c r="AA30" s="15">
        <f t="shared" si="2"/>
        <v>12000</v>
      </c>
    </row>
    <row r="31" spans="1:29" ht="15" thickBot="1" x14ac:dyDescent="0.4">
      <c r="A31" s="166"/>
      <c r="B31" s="174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6"/>
      <c r="N31" s="140" t="s">
        <v>8</v>
      </c>
      <c r="O31" s="77">
        <v>1550</v>
      </c>
      <c r="P31" s="76">
        <v>6716</v>
      </c>
      <c r="Q31" s="76">
        <v>1300</v>
      </c>
      <c r="R31" s="76">
        <v>2300</v>
      </c>
      <c r="S31" s="76">
        <v>7500</v>
      </c>
      <c r="T31" s="76">
        <v>3500</v>
      </c>
      <c r="U31" s="76">
        <v>3500</v>
      </c>
      <c r="V31" s="76">
        <v>14100</v>
      </c>
      <c r="W31" s="76">
        <v>13300</v>
      </c>
      <c r="X31" s="76">
        <v>10700</v>
      </c>
      <c r="Y31" s="76">
        <f>6000/5</f>
        <v>1200</v>
      </c>
      <c r="Z31" s="76">
        <f>6000/5</f>
        <v>1200</v>
      </c>
      <c r="AA31" s="80">
        <v>1000</v>
      </c>
    </row>
    <row r="32" spans="1:29" ht="15" thickBot="1" x14ac:dyDescent="0.4">
      <c r="A32" s="166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40" t="s">
        <v>14</v>
      </c>
      <c r="O32" s="78">
        <v>4500</v>
      </c>
      <c r="P32" s="79">
        <v>7500</v>
      </c>
      <c r="Q32" s="79">
        <v>4500</v>
      </c>
      <c r="R32" s="79">
        <v>4500</v>
      </c>
      <c r="S32" s="79">
        <v>5500</v>
      </c>
      <c r="T32" s="79">
        <v>3500</v>
      </c>
      <c r="U32" s="79">
        <v>3500</v>
      </c>
      <c r="V32" s="79">
        <v>8500</v>
      </c>
      <c r="W32" s="79">
        <v>7500</v>
      </c>
      <c r="X32" s="79">
        <v>7500</v>
      </c>
      <c r="Y32" s="79">
        <v>7000</v>
      </c>
      <c r="Z32" s="79">
        <v>6500</v>
      </c>
      <c r="AA32" s="81">
        <v>17500</v>
      </c>
    </row>
    <row r="33" spans="1:27" ht="15" thickBot="1" x14ac:dyDescent="0.4">
      <c r="A33" s="166"/>
      <c r="B33" s="14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7" ht="14.65" customHeight="1" thickBot="1" x14ac:dyDescent="0.4">
      <c r="A34" s="166"/>
      <c r="B34" s="156" t="s">
        <v>15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8"/>
      <c r="N34" s="140" t="s">
        <v>19</v>
      </c>
      <c r="O34" s="87">
        <f>O25*O30</f>
        <v>93000</v>
      </c>
      <c r="P34" s="88">
        <f t="shared" ref="P34:AA34" si="4">P25*P30</f>
        <v>0</v>
      </c>
      <c r="Q34" s="88">
        <f t="shared" si="4"/>
        <v>88400</v>
      </c>
      <c r="R34" s="89">
        <f t="shared" si="4"/>
        <v>9200</v>
      </c>
      <c r="S34" s="88">
        <f t="shared" si="4"/>
        <v>3750</v>
      </c>
      <c r="T34" s="88">
        <f t="shared" si="4"/>
        <v>3500</v>
      </c>
      <c r="U34" s="88">
        <f t="shared" si="4"/>
        <v>3500</v>
      </c>
      <c r="V34" s="88">
        <f t="shared" si="4"/>
        <v>7050</v>
      </c>
      <c r="W34" s="88">
        <f t="shared" si="4"/>
        <v>0</v>
      </c>
      <c r="X34" s="88">
        <f t="shared" si="4"/>
        <v>5350</v>
      </c>
      <c r="Y34" s="88">
        <f t="shared" si="4"/>
        <v>486000</v>
      </c>
      <c r="Z34" s="88">
        <f t="shared" si="4"/>
        <v>1200</v>
      </c>
      <c r="AA34" s="90">
        <f t="shared" si="4"/>
        <v>48000</v>
      </c>
    </row>
    <row r="35" spans="1:27" ht="15" thickBot="1" x14ac:dyDescent="0.4">
      <c r="A35" s="166"/>
      <c r="B35" s="159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1"/>
      <c r="N35" s="140" t="s">
        <v>16</v>
      </c>
      <c r="O35" s="153">
        <f>SUM(O34:AA34)</f>
        <v>748950</v>
      </c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5"/>
    </row>
    <row r="36" spans="1:27" ht="15" thickBot="1" x14ac:dyDescent="0.4">
      <c r="A36" s="166"/>
      <c r="B36" s="156" t="s">
        <v>17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140" t="s">
        <v>19</v>
      </c>
      <c r="O36" s="50">
        <f t="shared" ref="O36:AA36" si="5">O32*O25</f>
        <v>135000</v>
      </c>
      <c r="P36" s="48">
        <f t="shared" si="5"/>
        <v>0</v>
      </c>
      <c r="Q36" s="48">
        <f t="shared" si="5"/>
        <v>153000</v>
      </c>
      <c r="R36" s="48">
        <f t="shared" si="5"/>
        <v>18000</v>
      </c>
      <c r="S36" s="48">
        <f t="shared" si="5"/>
        <v>5500</v>
      </c>
      <c r="T36" s="48">
        <f t="shared" si="5"/>
        <v>3500</v>
      </c>
      <c r="U36" s="48">
        <f t="shared" si="5"/>
        <v>3500</v>
      </c>
      <c r="V36" s="48">
        <f t="shared" si="5"/>
        <v>8500</v>
      </c>
      <c r="W36" s="48">
        <f t="shared" si="5"/>
        <v>0</v>
      </c>
      <c r="X36" s="48">
        <f t="shared" si="5"/>
        <v>7500</v>
      </c>
      <c r="Y36" s="48">
        <f t="shared" si="5"/>
        <v>567000</v>
      </c>
      <c r="Z36" s="48">
        <f t="shared" si="5"/>
        <v>6500</v>
      </c>
      <c r="AA36" s="91">
        <f t="shared" si="5"/>
        <v>70000</v>
      </c>
    </row>
    <row r="37" spans="1:27" ht="15" thickBot="1" x14ac:dyDescent="0.4">
      <c r="A37" s="166"/>
      <c r="B37" s="159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1"/>
      <c r="N37" s="140" t="s">
        <v>16</v>
      </c>
      <c r="O37" s="153">
        <f>SUM(O36:AA36)</f>
        <v>978000</v>
      </c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5"/>
    </row>
    <row r="38" spans="1:27" ht="14.65" customHeight="1" thickBot="1" x14ac:dyDescent="0.4">
      <c r="A38" s="166"/>
      <c r="B38" s="156" t="s">
        <v>18</v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8"/>
      <c r="N38" s="140" t="s">
        <v>19</v>
      </c>
      <c r="O38" s="50">
        <f>O36-O34</f>
        <v>42000</v>
      </c>
      <c r="P38" s="48">
        <f t="shared" ref="P38:Z38" si="6">P36-P34</f>
        <v>0</v>
      </c>
      <c r="Q38" s="48">
        <f t="shared" si="6"/>
        <v>64600</v>
      </c>
      <c r="R38" s="48">
        <f t="shared" si="6"/>
        <v>8800</v>
      </c>
      <c r="S38" s="48">
        <f t="shared" si="6"/>
        <v>1750</v>
      </c>
      <c r="T38" s="48">
        <f t="shared" si="6"/>
        <v>0</v>
      </c>
      <c r="U38" s="48">
        <f t="shared" si="6"/>
        <v>0</v>
      </c>
      <c r="V38" s="48">
        <f t="shared" si="6"/>
        <v>1450</v>
      </c>
      <c r="W38" s="48">
        <f t="shared" si="6"/>
        <v>0</v>
      </c>
      <c r="X38" s="48">
        <f t="shared" si="6"/>
        <v>2150</v>
      </c>
      <c r="Y38" s="48">
        <f t="shared" si="6"/>
        <v>81000</v>
      </c>
      <c r="Z38" s="48">
        <f t="shared" si="6"/>
        <v>5300</v>
      </c>
      <c r="AA38" s="91">
        <f>AA36-AA34</f>
        <v>22000</v>
      </c>
    </row>
    <row r="39" spans="1:27" ht="29.65" customHeight="1" thickBot="1" x14ac:dyDescent="0.4">
      <c r="A39" s="166"/>
      <c r="B39" s="159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1"/>
      <c r="N39" s="140" t="s">
        <v>29</v>
      </c>
      <c r="O39" s="150">
        <f>O37-O35</f>
        <v>229050</v>
      </c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2"/>
    </row>
    <row r="40" spans="1:27" ht="15" thickBot="1" x14ac:dyDescent="0.4">
      <c r="A40" s="166"/>
    </row>
    <row r="41" spans="1:27" ht="14.65" customHeight="1" thickBot="1" x14ac:dyDescent="0.4">
      <c r="A41" s="166"/>
      <c r="B41" s="177" t="s">
        <v>25</v>
      </c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9"/>
      <c r="O41" s="168" t="s">
        <v>26</v>
      </c>
      <c r="P41" s="169"/>
      <c r="Q41" s="170"/>
      <c r="R41" s="29" t="s">
        <v>27</v>
      </c>
      <c r="S41" s="5"/>
      <c r="T41" s="5"/>
      <c r="U41" s="5"/>
      <c r="V41" s="5"/>
      <c r="W41" s="5"/>
      <c r="X41" s="5"/>
      <c r="Y41" s="5"/>
      <c r="Z41" s="5"/>
      <c r="AA41" s="5"/>
    </row>
    <row r="42" spans="1:27" ht="15" customHeight="1" x14ac:dyDescent="0.35">
      <c r="A42" s="166"/>
      <c r="B42" s="180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2"/>
      <c r="O42" s="192"/>
      <c r="P42" s="193"/>
      <c r="Q42" s="194"/>
      <c r="R42" s="33"/>
      <c r="S42" s="6"/>
      <c r="T42" s="6"/>
      <c r="U42" s="6"/>
      <c r="V42" s="6"/>
      <c r="W42" s="6"/>
      <c r="X42" s="6"/>
      <c r="Y42" s="6"/>
      <c r="Z42" s="6"/>
      <c r="AA42" s="6"/>
    </row>
    <row r="43" spans="1:27" ht="15" customHeight="1" x14ac:dyDescent="0.35">
      <c r="A43" s="166"/>
      <c r="B43" s="180"/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2"/>
      <c r="O43" s="189"/>
      <c r="P43" s="190"/>
      <c r="Q43" s="191"/>
      <c r="R43" s="34"/>
      <c r="S43" s="6"/>
      <c r="T43" s="6"/>
      <c r="U43" s="6"/>
      <c r="V43" s="6"/>
      <c r="W43" s="6"/>
      <c r="X43" s="6"/>
      <c r="Y43" s="6"/>
      <c r="Z43" s="6"/>
      <c r="AA43" s="6"/>
    </row>
    <row r="44" spans="1:27" ht="15" customHeight="1" x14ac:dyDescent="0.35">
      <c r="A44" s="166"/>
      <c r="B44" s="180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2"/>
      <c r="O44" s="189"/>
      <c r="P44" s="190"/>
      <c r="Q44" s="191"/>
      <c r="R44" s="34"/>
      <c r="S44" s="6"/>
      <c r="T44" s="6"/>
      <c r="U44" s="6"/>
      <c r="V44" s="6"/>
      <c r="W44" s="6"/>
      <c r="X44" s="6"/>
      <c r="Y44" s="6"/>
      <c r="Z44" s="6"/>
      <c r="AA44" s="6"/>
    </row>
    <row r="45" spans="1:27" ht="15" customHeight="1" x14ac:dyDescent="0.35">
      <c r="A45" s="166"/>
      <c r="B45" s="180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2"/>
      <c r="O45" s="189"/>
      <c r="P45" s="190"/>
      <c r="Q45" s="191"/>
      <c r="R45" s="34"/>
      <c r="S45" s="6"/>
      <c r="T45" s="6"/>
      <c r="U45" s="6"/>
      <c r="V45" s="6"/>
      <c r="W45" s="6"/>
      <c r="X45" s="6"/>
      <c r="Y45" s="6"/>
      <c r="Z45" s="6"/>
      <c r="AA45" s="6"/>
    </row>
    <row r="46" spans="1:27" ht="15" customHeight="1" x14ac:dyDescent="0.35">
      <c r="A46" s="166"/>
      <c r="B46" s="180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2"/>
      <c r="O46" s="189"/>
      <c r="P46" s="190"/>
      <c r="Q46" s="191"/>
      <c r="R46" s="34"/>
      <c r="S46" s="6"/>
      <c r="T46" s="6"/>
      <c r="U46" s="6"/>
      <c r="V46" s="6"/>
      <c r="W46" s="6"/>
      <c r="X46" s="6"/>
      <c r="Y46" s="6"/>
      <c r="Z46" s="6"/>
      <c r="AA46" s="6"/>
    </row>
    <row r="47" spans="1:27" ht="15" customHeight="1" x14ac:dyDescent="0.35">
      <c r="A47" s="166"/>
      <c r="B47" s="180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2"/>
      <c r="O47" s="189"/>
      <c r="P47" s="190"/>
      <c r="Q47" s="191"/>
      <c r="R47" s="34"/>
      <c r="S47" s="6"/>
      <c r="T47" s="6"/>
      <c r="U47" s="6"/>
      <c r="V47" s="6"/>
      <c r="W47" s="6"/>
      <c r="X47" s="6"/>
      <c r="Y47" s="6"/>
      <c r="Z47" s="6"/>
      <c r="AA47" s="6"/>
    </row>
    <row r="48" spans="1:27" ht="15" customHeight="1" thickBot="1" x14ac:dyDescent="0.4">
      <c r="A48" s="166"/>
      <c r="B48" s="180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2"/>
      <c r="O48" s="195"/>
      <c r="P48" s="196"/>
      <c r="Q48" s="197"/>
      <c r="R48" s="34"/>
      <c r="S48" s="6"/>
      <c r="T48" s="6"/>
      <c r="U48" s="6"/>
      <c r="V48" s="6"/>
      <c r="W48" s="6"/>
      <c r="X48" s="6"/>
      <c r="Y48" s="6"/>
      <c r="Z48" s="6"/>
      <c r="AA48" s="6"/>
    </row>
    <row r="49" spans="1:27" ht="15.75" customHeight="1" thickBot="1" x14ac:dyDescent="0.4">
      <c r="A49" s="166"/>
      <c r="B49" s="183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5"/>
      <c r="O49" s="186" t="s">
        <v>16</v>
      </c>
      <c r="P49" s="187"/>
      <c r="Q49" s="188"/>
      <c r="R49" s="35">
        <f>SUM(R42:R48)</f>
        <v>0</v>
      </c>
      <c r="S49" s="6"/>
      <c r="T49" s="6"/>
      <c r="U49" s="6"/>
      <c r="V49" s="6"/>
      <c r="W49" s="6"/>
      <c r="X49" s="6"/>
      <c r="Y49" s="6"/>
      <c r="Z49" s="6"/>
      <c r="AA49" s="6"/>
    </row>
    <row r="50" spans="1:27" ht="15" thickBot="1" x14ac:dyDescent="0.4">
      <c r="A50" s="166"/>
    </row>
    <row r="51" spans="1:27" ht="51.75" customHeight="1" thickBot="1" x14ac:dyDescent="0.4">
      <c r="A51" s="167"/>
      <c r="B51" s="168" t="s">
        <v>18</v>
      </c>
      <c r="C51" s="169"/>
      <c r="D51" s="169"/>
      <c r="E51" s="169"/>
      <c r="F51" s="169"/>
      <c r="G51" s="169"/>
      <c r="H51" s="169"/>
      <c r="I51" s="169"/>
      <c r="J51" s="169"/>
      <c r="K51" s="169"/>
      <c r="L51" s="170"/>
      <c r="M51" s="140"/>
      <c r="N51" s="139" t="s">
        <v>16</v>
      </c>
      <c r="O51" s="171">
        <f>O39-SUM(R42:R48)</f>
        <v>229050</v>
      </c>
      <c r="P51" s="172"/>
      <c r="Q51" s="172"/>
      <c r="R51" s="172"/>
      <c r="S51" s="173"/>
      <c r="T51" s="72"/>
      <c r="U51" s="72"/>
      <c r="V51" s="72"/>
      <c r="W51" s="72"/>
      <c r="X51" s="72"/>
      <c r="Y51" s="72"/>
      <c r="Z51" s="72"/>
      <c r="AA51" s="72"/>
    </row>
    <row r="52" spans="1:27" ht="15.75" customHeight="1" x14ac:dyDescent="0.35">
      <c r="A52" s="30"/>
      <c r="P52" s="28"/>
      <c r="Q52" s="28"/>
      <c r="R52" s="28"/>
      <c r="S52" s="142"/>
      <c r="T52" s="142"/>
      <c r="U52" s="142"/>
      <c r="V52" s="142"/>
      <c r="W52" s="142"/>
      <c r="X52" s="142"/>
      <c r="Y52" s="142"/>
      <c r="Z52" s="142"/>
      <c r="AA52" s="142"/>
    </row>
    <row r="53" spans="1:27" ht="15" customHeight="1" x14ac:dyDescent="0.35">
      <c r="A53" s="30"/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  <c r="AA53" s="7"/>
    </row>
    <row r="54" spans="1:27" ht="15" customHeight="1" x14ac:dyDescent="0.3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  <c r="AA54" s="7"/>
    </row>
    <row r="55" spans="1:27" ht="15" customHeight="1" x14ac:dyDescent="0.3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  <c r="AA55" s="7"/>
    </row>
    <row r="56" spans="1:27" ht="15" customHeight="1" x14ac:dyDescent="0.35">
      <c r="P56" s="28"/>
      <c r="Q56" s="28"/>
      <c r="R56" s="28"/>
      <c r="S56" s="7"/>
      <c r="T56" s="7"/>
      <c r="U56" s="7"/>
      <c r="V56" s="7"/>
      <c r="W56" s="7"/>
      <c r="X56" s="7"/>
      <c r="Y56" s="7"/>
      <c r="Z56" s="7"/>
      <c r="AA56" s="7"/>
    </row>
    <row r="57" spans="1:27" ht="15" customHeight="1" x14ac:dyDescent="0.35">
      <c r="P57" s="28"/>
      <c r="Q57" s="28"/>
      <c r="R57" s="28"/>
      <c r="S57" s="7"/>
      <c r="T57" s="7"/>
      <c r="U57" s="7"/>
      <c r="V57" s="7"/>
      <c r="W57" s="7"/>
      <c r="X57" s="7"/>
      <c r="Y57" s="7"/>
      <c r="Z57" s="7"/>
      <c r="AA57" s="7"/>
    </row>
    <row r="58" spans="1:27" ht="15" customHeight="1" x14ac:dyDescent="0.35">
      <c r="P58" s="28"/>
      <c r="Q58" s="28"/>
      <c r="R58" s="28"/>
      <c r="S58" s="7"/>
      <c r="T58" s="7"/>
      <c r="U58" s="7"/>
      <c r="V58" s="7"/>
      <c r="W58" s="7"/>
      <c r="X58" s="7"/>
      <c r="Y58" s="7"/>
      <c r="Z58" s="7"/>
      <c r="AA58" s="7"/>
    </row>
    <row r="59" spans="1:27" ht="15" customHeight="1" x14ac:dyDescent="0.35">
      <c r="P59" s="28"/>
      <c r="Q59" s="28"/>
      <c r="R59" s="28"/>
      <c r="S59" s="7"/>
      <c r="T59" s="7"/>
      <c r="U59" s="7"/>
      <c r="V59" s="7"/>
      <c r="W59" s="7"/>
      <c r="X59" s="7"/>
      <c r="Y59" s="7"/>
      <c r="Z59" s="7"/>
      <c r="AA59" s="7"/>
    </row>
    <row r="60" spans="1:27" ht="15.75" customHeight="1" x14ac:dyDescent="0.35">
      <c r="P60" s="28"/>
      <c r="Q60" s="28"/>
      <c r="R60" s="28"/>
      <c r="S60" s="7"/>
      <c r="T60" s="7"/>
      <c r="U60" s="7"/>
      <c r="V60" s="7"/>
      <c r="W60" s="7"/>
      <c r="X60" s="7"/>
      <c r="Y60" s="7"/>
      <c r="Z60" s="7"/>
      <c r="AA60" s="7"/>
    </row>
  </sheetData>
  <mergeCells count="24">
    <mergeCell ref="B2:N2"/>
    <mergeCell ref="O2:AA2"/>
    <mergeCell ref="A25:A51"/>
    <mergeCell ref="B25:M28"/>
    <mergeCell ref="B30:M32"/>
    <mergeCell ref="B34:M35"/>
    <mergeCell ref="O35:AA35"/>
    <mergeCell ref="B36:M37"/>
    <mergeCell ref="O37:AA37"/>
    <mergeCell ref="O48:Q48"/>
    <mergeCell ref="O49:Q49"/>
    <mergeCell ref="B51:L51"/>
    <mergeCell ref="O51:S51"/>
    <mergeCell ref="B38:M39"/>
    <mergeCell ref="O39:AA39"/>
    <mergeCell ref="A5:A22"/>
    <mergeCell ref="B41:N49"/>
    <mergeCell ref="O41:Q41"/>
    <mergeCell ref="O42:Q42"/>
    <mergeCell ref="O43:Q43"/>
    <mergeCell ref="O44:Q44"/>
    <mergeCell ref="O45:Q45"/>
    <mergeCell ref="O46:Q46"/>
    <mergeCell ref="O47:Q47"/>
  </mergeCells>
  <conditionalFormatting sqref="AB5:AB22">
    <cfRule type="cellIs" dxfId="60" priority="1" operator="lessThan">
      <formula>20</formula>
    </cfRule>
    <cfRule type="cellIs" dxfId="59" priority="2" operator="between">
      <formula>20</formula>
      <formula>29</formula>
    </cfRule>
    <cfRule type="cellIs" dxfId="5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Pedido base (copiar esta hoja)</vt:lpstr>
      <vt:lpstr>Sabado 2</vt:lpstr>
      <vt:lpstr>Miercoles 6</vt:lpstr>
      <vt:lpstr>Sabado 9</vt:lpstr>
      <vt:lpstr>Miercoles 13</vt:lpstr>
      <vt:lpstr>Sabado 16</vt:lpstr>
      <vt:lpstr>Miercoles 20</vt:lpstr>
      <vt:lpstr>Sabado 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2018-02-23T20:26:58Z</dcterms:modified>
</cp:coreProperties>
</file>