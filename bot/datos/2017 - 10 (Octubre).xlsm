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3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4" l="1"/>
  <c r="O25" i="14"/>
  <c r="P14" i="14"/>
  <c r="P25" i="14"/>
  <c r="Q14" i="14"/>
  <c r="Q25" i="14"/>
  <c r="R14" i="14"/>
  <c r="R25" i="14"/>
  <c r="S14" i="14"/>
  <c r="S25" i="14"/>
  <c r="T14" i="14"/>
  <c r="T25" i="14"/>
  <c r="U14" i="14"/>
  <c r="U25" i="14"/>
  <c r="V14" i="14"/>
  <c r="V25" i="14"/>
  <c r="W14" i="14"/>
  <c r="W25" i="14"/>
  <c r="X14" i="14"/>
  <c r="X25" i="14"/>
  <c r="Y14" i="14"/>
  <c r="Y25" i="14"/>
  <c r="O26" i="14"/>
  <c r="O23" i="14"/>
  <c r="P23" i="14"/>
  <c r="Q23" i="14"/>
  <c r="R23" i="14"/>
  <c r="S23" i="14"/>
  <c r="T23" i="14"/>
  <c r="U23" i="14"/>
  <c r="V23" i="14"/>
  <c r="W23" i="14"/>
  <c r="X23" i="14"/>
  <c r="Y23" i="14"/>
  <c r="O24" i="14"/>
  <c r="O28" i="14"/>
  <c r="O19" i="14"/>
  <c r="P19" i="14"/>
  <c r="Q19" i="14"/>
  <c r="R19" i="14"/>
  <c r="S19" i="14"/>
  <c r="T19" i="14"/>
  <c r="U19" i="14"/>
  <c r="V19" i="14"/>
  <c r="W19" i="14"/>
  <c r="X19" i="14"/>
  <c r="Y19" i="14"/>
  <c r="O40" i="14"/>
  <c r="R38" i="14"/>
  <c r="Y27" i="14"/>
  <c r="X27" i="14"/>
  <c r="W27" i="14"/>
  <c r="V27" i="14"/>
  <c r="U27" i="14"/>
  <c r="T27" i="14"/>
  <c r="S27" i="14"/>
  <c r="R27" i="14"/>
  <c r="Q27" i="14"/>
  <c r="P27" i="14"/>
  <c r="O27" i="14"/>
  <c r="Y16" i="14"/>
  <c r="X16" i="14"/>
  <c r="W16" i="14"/>
  <c r="V16" i="14"/>
  <c r="U16" i="14"/>
  <c r="T16" i="14"/>
  <c r="S16" i="14"/>
  <c r="R16" i="14"/>
  <c r="Q16" i="14"/>
  <c r="P16" i="14"/>
  <c r="O16" i="14"/>
  <c r="Z6" i="14"/>
  <c r="N6" i="14"/>
  <c r="Z10" i="14"/>
  <c r="N10" i="14"/>
  <c r="Z8" i="14"/>
  <c r="N8" i="14"/>
  <c r="Z11" i="14"/>
  <c r="N11" i="14"/>
  <c r="Z7" i="14"/>
  <c r="N7" i="14"/>
  <c r="Z5" i="14"/>
  <c r="N5" i="14"/>
  <c r="Z9" i="14"/>
  <c r="N9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X88" i="3"/>
  <c r="O89" i="3"/>
  <c r="O93" i="3"/>
  <c r="O91" i="3"/>
  <c r="N18" i="13"/>
  <c r="N5" i="3"/>
  <c r="T88" i="3"/>
  <c r="X34" i="13"/>
  <c r="X29" i="13"/>
  <c r="X38" i="13"/>
  <c r="O29" i="13"/>
  <c r="O38" i="13"/>
  <c r="P29" i="13"/>
  <c r="P38" i="13"/>
  <c r="Q29" i="13"/>
  <c r="Q38" i="13"/>
  <c r="R29" i="13"/>
  <c r="R38" i="13"/>
  <c r="S29" i="13"/>
  <c r="S38" i="13"/>
  <c r="T29" i="13"/>
  <c r="T38" i="13"/>
  <c r="U29" i="13"/>
  <c r="U38" i="13"/>
  <c r="V29" i="13"/>
  <c r="V38" i="13"/>
  <c r="W29" i="13"/>
  <c r="W38" i="13"/>
  <c r="Y29" i="13"/>
  <c r="Y38" i="13"/>
  <c r="O39" i="13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19" i="13"/>
  <c r="N6" i="13"/>
  <c r="N7" i="13"/>
  <c r="N8" i="13"/>
  <c r="N23" i="13"/>
  <c r="N22" i="13"/>
  <c r="N9" i="13"/>
  <c r="N20" i="13"/>
  <c r="N10" i="13"/>
  <c r="N21" i="13"/>
  <c r="N11" i="13"/>
  <c r="N12" i="13"/>
  <c r="N26" i="13"/>
  <c r="N13" i="13"/>
  <c r="N14" i="13"/>
  <c r="N24" i="13"/>
  <c r="N15" i="13"/>
  <c r="N16" i="13"/>
  <c r="N17" i="13"/>
  <c r="N25" i="13"/>
  <c r="Z5" i="13"/>
  <c r="Z8" i="13"/>
  <c r="O40" i="13"/>
  <c r="P40" i="13"/>
  <c r="Q40" i="13"/>
  <c r="R40" i="13"/>
  <c r="S40" i="13"/>
  <c r="T40" i="13"/>
  <c r="U40" i="13"/>
  <c r="V40" i="13"/>
  <c r="W40" i="13"/>
  <c r="X40" i="13"/>
  <c r="Y40" i="13"/>
  <c r="O41" i="13"/>
  <c r="O34" i="13"/>
  <c r="P34" i="13"/>
  <c r="Q34" i="13"/>
  <c r="R34" i="13"/>
  <c r="S34" i="13"/>
  <c r="T34" i="13"/>
  <c r="U34" i="13"/>
  <c r="V34" i="13"/>
  <c r="W34" i="13"/>
  <c r="Y34" i="13"/>
  <c r="Z7" i="13"/>
  <c r="Z19" i="13"/>
  <c r="Z12" i="13"/>
  <c r="Z16" i="13"/>
  <c r="Q31" i="13"/>
  <c r="Z23" i="13"/>
  <c r="Z22" i="13"/>
  <c r="Z11" i="13"/>
  <c r="Z18" i="13"/>
  <c r="Z9" i="13"/>
  <c r="Z26" i="13"/>
  <c r="Z13" i="13"/>
  <c r="Z14" i="13"/>
  <c r="Z24" i="13"/>
  <c r="Z20" i="13"/>
  <c r="Z10" i="13"/>
  <c r="Z15" i="13"/>
  <c r="Z17" i="13"/>
  <c r="Z21" i="13"/>
  <c r="Z6" i="13"/>
  <c r="Z25" i="13"/>
  <c r="W31" i="13"/>
  <c r="Y31" i="13"/>
  <c r="R53" i="13"/>
  <c r="P31" i="13"/>
  <c r="B76" i="3"/>
  <c r="C76" i="3"/>
  <c r="D76" i="3"/>
  <c r="E76" i="3"/>
  <c r="F76" i="3"/>
  <c r="G76" i="3"/>
  <c r="H76" i="3"/>
  <c r="I76" i="3"/>
  <c r="J76" i="3"/>
  <c r="K76" i="3"/>
  <c r="R31" i="13"/>
  <c r="X31" i="13"/>
  <c r="T42" i="13"/>
  <c r="V31" i="13"/>
  <c r="S31" i="13"/>
  <c r="T31" i="13"/>
  <c r="V42" i="13"/>
  <c r="U31" i="13"/>
  <c r="S42" i="13"/>
  <c r="X42" i="13"/>
  <c r="O31" i="13"/>
  <c r="R42" i="13"/>
  <c r="P42" i="13"/>
  <c r="W42" i="13"/>
  <c r="U42" i="13"/>
  <c r="Y42" i="13"/>
  <c r="Q42" i="13"/>
  <c r="O42" i="13"/>
  <c r="O43" i="13"/>
  <c r="O55" i="13"/>
  <c r="Z12" i="11"/>
  <c r="Z11" i="11"/>
  <c r="Z25" i="11"/>
  <c r="Z26" i="11"/>
  <c r="Z5" i="11"/>
  <c r="Z22" i="11"/>
  <c r="Z8" i="11"/>
  <c r="Z16" i="11"/>
  <c r="Z18" i="11"/>
  <c r="Z20" i="11"/>
  <c r="Z6" i="11"/>
  <c r="Z24" i="11"/>
  <c r="Z23" i="11"/>
  <c r="Z9" i="11"/>
  <c r="Z19" i="11"/>
  <c r="Z10" i="11"/>
  <c r="Z13" i="11"/>
  <c r="Z15" i="11"/>
  <c r="Z7" i="11"/>
  <c r="Z21" i="11"/>
  <c r="Z17" i="11"/>
  <c r="Z14" i="11"/>
  <c r="N26" i="11"/>
  <c r="N20" i="11"/>
  <c r="N14" i="11"/>
  <c r="N16" i="11"/>
  <c r="N21" i="11"/>
  <c r="N9" i="11"/>
  <c r="N6" i="11"/>
  <c r="N22" i="11"/>
  <c r="N17" i="11"/>
  <c r="N8" i="11"/>
  <c r="N24" i="11"/>
  <c r="N12" i="11"/>
  <c r="N18" i="11"/>
  <c r="N10" i="11"/>
  <c r="N13" i="11"/>
  <c r="N23" i="11"/>
  <c r="N25" i="11"/>
  <c r="N7" i="11"/>
  <c r="N11" i="11"/>
  <c r="N15" i="11"/>
  <c r="N19" i="11"/>
  <c r="R53" i="11"/>
  <c r="Y34" i="11"/>
  <c r="X34" i="11"/>
  <c r="W34" i="11"/>
  <c r="V34" i="11"/>
  <c r="U34" i="11"/>
  <c r="T34" i="11"/>
  <c r="S34" i="11"/>
  <c r="R34" i="11"/>
  <c r="Q34" i="11"/>
  <c r="P34" i="11"/>
  <c r="O34" i="11"/>
  <c r="Y29" i="11"/>
  <c r="Y31" i="11"/>
  <c r="X29" i="11"/>
  <c r="X31" i="11"/>
  <c r="W29" i="11"/>
  <c r="W40" i="11"/>
  <c r="V29" i="11"/>
  <c r="V40" i="11"/>
  <c r="U29" i="11"/>
  <c r="U40" i="11"/>
  <c r="T29" i="11"/>
  <c r="T40" i="11"/>
  <c r="S29" i="11"/>
  <c r="R29" i="11"/>
  <c r="R31" i="11"/>
  <c r="Q29" i="11"/>
  <c r="Q31" i="11"/>
  <c r="P29" i="11"/>
  <c r="P31" i="11"/>
  <c r="O29" i="11"/>
  <c r="O40" i="11"/>
  <c r="Q45" i="10"/>
  <c r="R27" i="10"/>
  <c r="T26" i="10"/>
  <c r="S26" i="10"/>
  <c r="R26" i="10"/>
  <c r="Q26" i="10"/>
  <c r="P26" i="10"/>
  <c r="O26" i="10"/>
  <c r="T21" i="10"/>
  <c r="T30" i="10"/>
  <c r="S21" i="10"/>
  <c r="S32" i="10"/>
  <c r="R21" i="10"/>
  <c r="R30" i="10"/>
  <c r="Q21" i="10"/>
  <c r="Q23" i="10"/>
  <c r="P21" i="10"/>
  <c r="P23" i="10"/>
  <c r="O21" i="10"/>
  <c r="O23" i="10"/>
  <c r="U7" i="10"/>
  <c r="N7" i="10"/>
  <c r="U16" i="10"/>
  <c r="N16" i="10"/>
  <c r="U13" i="10"/>
  <c r="N13" i="10"/>
  <c r="U6" i="10"/>
  <c r="N6" i="10"/>
  <c r="U15" i="10"/>
  <c r="N15" i="10"/>
  <c r="U10" i="10"/>
  <c r="N10" i="10"/>
  <c r="U14" i="10"/>
  <c r="N14" i="10"/>
  <c r="U9" i="10"/>
  <c r="N9" i="10"/>
  <c r="U5" i="10"/>
  <c r="N5" i="10"/>
  <c r="U12" i="10"/>
  <c r="N12" i="10"/>
  <c r="U8" i="10"/>
  <c r="N8" i="10"/>
  <c r="U11" i="10"/>
  <c r="N11" i="10"/>
  <c r="U18" i="10"/>
  <c r="N18" i="10"/>
  <c r="U17" i="10"/>
  <c r="N17" i="10"/>
  <c r="O105" i="3"/>
  <c r="R103" i="3"/>
  <c r="Y84" i="3"/>
  <c r="W84" i="3"/>
  <c r="V84" i="3"/>
  <c r="U84" i="3"/>
  <c r="T84" i="3"/>
  <c r="S84" i="3"/>
  <c r="R84" i="3"/>
  <c r="Q84" i="3"/>
  <c r="P84" i="3"/>
  <c r="O84" i="3"/>
  <c r="Y79" i="3"/>
  <c r="Y81" i="3"/>
  <c r="Q79" i="3"/>
  <c r="Q81" i="3"/>
  <c r="Y90" i="3"/>
  <c r="X79" i="3"/>
  <c r="X90" i="3"/>
  <c r="W79" i="3"/>
  <c r="W90" i="3"/>
  <c r="V79" i="3"/>
  <c r="V90" i="3"/>
  <c r="U79" i="3"/>
  <c r="U90" i="3"/>
  <c r="T79" i="3"/>
  <c r="T90" i="3"/>
  <c r="S79" i="3"/>
  <c r="S90" i="3"/>
  <c r="R79" i="3"/>
  <c r="R90" i="3"/>
  <c r="Q90" i="3"/>
  <c r="P79" i="3"/>
  <c r="P90" i="3"/>
  <c r="O79" i="3"/>
  <c r="O90" i="3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S88" i="3"/>
  <c r="S92" i="3"/>
  <c r="W88" i="3"/>
  <c r="W92" i="3"/>
  <c r="U81" i="3"/>
  <c r="R88" i="3"/>
  <c r="T92" i="3"/>
  <c r="V81" i="3"/>
  <c r="O81" i="3"/>
  <c r="W81" i="3"/>
  <c r="P81" i="3"/>
  <c r="X81" i="3"/>
  <c r="U88" i="3"/>
  <c r="V88" i="3"/>
  <c r="V92" i="3"/>
  <c r="R81" i="3"/>
  <c r="O88" i="3"/>
  <c r="P88" i="3"/>
  <c r="Q88" i="3"/>
  <c r="S81" i="3"/>
  <c r="P92" i="3"/>
  <c r="X92" i="3"/>
  <c r="T81" i="3"/>
  <c r="Q92" i="3"/>
  <c r="Y88" i="3"/>
  <c r="Y92" i="3"/>
  <c r="R23" i="10"/>
  <c r="R32" i="10"/>
  <c r="R34" i="10"/>
  <c r="Q30" i="10"/>
  <c r="S30" i="10"/>
  <c r="S34" i="10"/>
  <c r="S23" i="10"/>
  <c r="O32" i="10"/>
  <c r="T23" i="10"/>
  <c r="O30" i="10"/>
  <c r="P32" i="10"/>
  <c r="P30" i="10"/>
  <c r="Q32" i="10"/>
  <c r="T32" i="10"/>
  <c r="T34" i="10"/>
  <c r="R92" i="3"/>
  <c r="U92" i="3"/>
  <c r="S38" i="11"/>
  <c r="R38" i="11"/>
  <c r="R40" i="11"/>
  <c r="T38" i="11"/>
  <c r="T42" i="11"/>
  <c r="P40" i="11"/>
  <c r="S31" i="11"/>
  <c r="X40" i="11"/>
  <c r="T31" i="11"/>
  <c r="U38" i="11"/>
  <c r="U42" i="11"/>
  <c r="Q40" i="11"/>
  <c r="Y40" i="11"/>
  <c r="U31" i="11"/>
  <c r="V38" i="11"/>
  <c r="V31" i="11"/>
  <c r="O38" i="11"/>
  <c r="W38" i="11"/>
  <c r="W42" i="11"/>
  <c r="S40" i="11"/>
  <c r="S42" i="11"/>
  <c r="O31" i="11"/>
  <c r="W31" i="11"/>
  <c r="P38" i="11"/>
  <c r="X38" i="11"/>
  <c r="Q38" i="11"/>
  <c r="Y38" i="11"/>
  <c r="O92" i="3"/>
  <c r="O41" i="11"/>
  <c r="Q34" i="10"/>
  <c r="P34" i="10"/>
  <c r="O33" i="10"/>
  <c r="O34" i="10"/>
  <c r="O31" i="10"/>
  <c r="V42" i="11"/>
  <c r="O39" i="11"/>
  <c r="O43" i="11"/>
  <c r="O55" i="11"/>
  <c r="R42" i="11"/>
  <c r="X42" i="11"/>
  <c r="P42" i="11"/>
  <c r="O42" i="11"/>
  <c r="Y42" i="11"/>
  <c r="Q42" i="11"/>
  <c r="O35" i="10"/>
  <c r="O47" i="10"/>
</calcChain>
</file>

<file path=xl/sharedStrings.xml><?xml version="1.0" encoding="utf-8"?>
<sst xmlns="http://schemas.openxmlformats.org/spreadsheetml/2006/main" count="1034" uniqueCount="213">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</sst>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  <xf numFmtId="164" fontId="22" fillId="0" borderId="12" xfId="0" applyNumberFormat="1" applyFont="1" applyBorder="1"/>
    <xf numFmtId="164" fontId="22" fillId="0" borderId="13" xfId="0" applyNumberFormat="1" applyFont="1" applyBorder="1"/>
    <xf numFmtId="164" fontId="22" fillId="0" borderId="13" xfId="0" applyNumberFormat="1" applyFont="1" applyBorder="1" applyAlignment="1">
      <alignment horizontal="center" vertical="center"/>
    </xf>
    <xf numFmtId="164" fontId="0" fillId="0" borderId="52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6" headerRowBorderDxfId="275" tableBorderDxfId="274" totalsRowBorderDxfId="273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2">
      <calculatedColumnFormula>[1]Personas!A2</calculatedColumnFormula>
    </tableColumn>
    <tableColumn id="2" xr3:uid="{00000000-0010-0000-0000-000002000000}" name="Apellido" dataDxfId="271" totalsRowDxfId="270">
      <calculatedColumnFormula>[1]Personas!B2</calculatedColumnFormula>
    </tableColumn>
    <tableColumn id="3" xr3:uid="{00000000-0010-0000-0000-000003000000}" name="Direccion" dataDxfId="269" totalsRowDxfId="268">
      <calculatedColumnFormula>[1]Personas!C2</calculatedColumnFormula>
    </tableColumn>
    <tableColumn id="4" xr3:uid="{00000000-0010-0000-0000-000004000000}" name="Comuna" dataDxfId="267" totalsRowDxfId="266">
      <calculatedColumnFormula>[1]Personas!D2</calculatedColumnFormula>
    </tableColumn>
    <tableColumn id="20" xr3:uid="{00000000-0010-0000-0000-000014000000}" name="Sector" dataDxfId="265" totalsRowDxfId="264">
      <calculatedColumnFormula>[1]Personas!E2</calculatedColumnFormula>
    </tableColumn>
    <tableColumn id="21" xr3:uid="{00000000-0010-0000-0000-000015000000}" name="Universidad" dataDxfId="263" totalsRowDxfId="262">
      <calculatedColumnFormula>[1]Personas!F2</calculatedColumnFormula>
    </tableColumn>
    <tableColumn id="22" xr3:uid="{00000000-0010-0000-0000-000016000000}" name="Cargo" dataDxfId="261" totalsRowDxfId="260">
      <calculatedColumnFormula>[1]Personas!G2</calculatedColumnFormula>
    </tableColumn>
    <tableColumn id="19" xr3:uid="{00000000-0010-0000-0000-000013000000}" name="Telefono" dataDxfId="259" totalsRowDxfId="258">
      <calculatedColumnFormula>[1]Personas!H2</calculatedColumnFormula>
    </tableColumn>
    <tableColumn id="12" xr3:uid="{00000000-0010-0000-0000-00000C000000}" name="Mail" dataDxfId="257" totalsRowDxfId="256" dataCellStyle="Millares">
      <calculatedColumnFormula>[1]Personas!I2</calculatedColumnFormula>
    </tableColumn>
    <tableColumn id="29" xr3:uid="{00000000-0010-0000-0000-00001D000000}" name="Encargado" dataDxfId="255" totalsRowDxfId="254" dataCellStyle="Millares">
      <calculatedColumnFormula>[1]Personas!J2</calculatedColumnFormula>
    </tableColumn>
    <tableColumn id="28" xr3:uid="{00000000-0010-0000-0000-00001C000000}" name="Entregado" dataDxfId="253" totalsRowDxfId="252"/>
    <tableColumn id="11" xr3:uid="{EA03B5A3-0D22-4235-8B84-5BCED3FE14DE}" name="Pagado" dataDxfId="251" totalsRowDxfId="250"/>
    <tableColumn id="5" xr3:uid="{00000000-0010-0000-0000-000005000000}" name="Deuda" dataDxfId="249" totalsRowDxfId="248">
      <calculatedColumnFormula>SUMPRODUCT(Tabla523[[#This Row],[Naranjas]:[Almendras]],O$86:Y$86)</calculatedColumnFormula>
    </tableColumn>
    <tableColumn id="7" xr3:uid="{00000000-0010-0000-0000-000007000000}" name="Naranjas" dataDxfId="247" totalsRowDxfId="246"/>
    <tableColumn id="8" xr3:uid="{00000000-0010-0000-0000-000008000000}" name="Mandarinas" dataDxfId="245" totalsRowDxfId="244"/>
    <tableColumn id="9" xr3:uid="{00000000-0010-0000-0000-000009000000}" name="Paltas" dataDxfId="243" totalsRowDxfId="242"/>
    <tableColumn id="10" xr3:uid="{00000000-0010-0000-0000-00000A000000}" name="Quesos" dataDxfId="241" totalsRowDxfId="240"/>
    <tableColumn id="6" xr3:uid="{156812BB-FB47-4F5F-AC79-944CA52078EE}" name="Frutillas" dataDxfId="239" totalsRowDxfId="238"/>
    <tableColumn id="13" xr3:uid="{00000000-0010-0000-0000-00000D000000}" name="Tomate Cherry" dataDxfId="237" totalsRowDxfId="236"/>
    <tableColumn id="14" xr3:uid="{00000000-0010-0000-0000-00000E000000}" name="Nueces" dataDxfId="235" totalsRowDxfId="234"/>
    <tableColumn id="15" xr3:uid="{521ADC59-7BBF-4276-8FA1-9D5F3652F653}" name="Mani" dataDxfId="233" totalsRowDxfId="232"/>
    <tableColumn id="16" xr3:uid="{A0273DDC-1B43-44D2-9218-45E0A5D88391}" name="Pistachos" dataDxfId="231" totalsRowDxfId="230"/>
    <tableColumn id="17" xr3:uid="{C5A1A2FF-4286-42A7-8DEE-9A684DFF7AC0}" name="Caju" dataDxfId="229" totalsRowDxfId="228"/>
    <tableColumn id="18" xr3:uid="{C6D5E838-31A0-4EAD-849A-FAC4EC0A9B82}" name="Almendras" dataDxfId="227" totalsRowDxfId="226"/>
    <tableColumn id="23" xr3:uid="{00000000-0010-0000-0000-000017000000}" name="Total" dataDxfId="225">
      <calculatedColumnFormula>SUM(Tabla523[[#This Row],[Naranjas]:[Almendras]])</calculatedColumnFormula>
    </tableColumn>
    <tableColumn id="30" xr3:uid="{00000000-0010-0000-0000-00001E000000}" name="Comentario" dataDxfId="224" totalsRowDxfId="2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219" headerRowBorderDxfId="218" tableBorderDxfId="217" totalsRowBorderDxfId="216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215"/>
    <tableColumn id="2" xr3:uid="{177C2DF3-7AE0-471C-B576-1E1AD53CBF94}" name="Apellido" dataDxfId="214" totalsRowDxfId="213"/>
    <tableColumn id="3" xr3:uid="{49FFF0CC-EA7E-4FD1-B356-A8EF81C80B53}" name="Direccion" dataDxfId="212" totalsRowDxfId="211"/>
    <tableColumn id="4" xr3:uid="{946CB6B0-C4D8-4E55-BE41-F7DD2C146676}" name="Comuna" dataDxfId="210" totalsRowDxfId="209"/>
    <tableColumn id="20" xr3:uid="{D275C66D-7827-4096-9408-1D200EB745CB}" name="Sector" dataDxfId="208" totalsRowDxfId="207"/>
    <tableColumn id="21" xr3:uid="{C88B535C-4DAE-4477-BAEA-8D8A0760F6FB}" name="Universidad" dataDxfId="206" totalsRowDxfId="205"/>
    <tableColumn id="22" xr3:uid="{56314F06-F2E1-417E-A2CA-4C41C19AE357}" name="Cargo" dataDxfId="204" totalsRowDxfId="203"/>
    <tableColumn id="19" xr3:uid="{B460B9CB-B861-4700-8F01-B5F679C40C7E}" name="Telefono" dataDxfId="202" totalsRowDxfId="201"/>
    <tableColumn id="12" xr3:uid="{FE9D2455-7BDB-4E96-99D4-F1DFA2BB3743}" name="Mail" dataDxfId="200" totalsRowDxfId="199" dataCellStyle="Millares"/>
    <tableColumn id="29" xr3:uid="{0E0C6DC1-C827-4E2D-BFA1-18D4B2C7D7EC}" name="Encargado" dataDxfId="198" totalsRowDxfId="197" dataCellStyle="Millares"/>
    <tableColumn id="28" xr3:uid="{B8434868-864C-4444-B750-F34FEF6EF554}" name="Entregado" dataDxfId="196" totalsRowDxfId="195"/>
    <tableColumn id="11" xr3:uid="{E908BCA8-389D-4340-ADC2-14F7E67E1346}" name="Pagado" dataDxfId="194" totalsRowDxfId="193"/>
    <tableColumn id="5" xr3:uid="{F3641326-26AC-49F3-9FC4-D7E20A1713B2}" name="Deuda" dataDxfId="192" totalsRowDxfId="191">
      <calculatedColumnFormula>SUMPRODUCT(Tabla5232[[#This Row],[Naranjas]:[Nueces]],O$84:T$84)</calculatedColumnFormula>
    </tableColumn>
    <tableColumn id="7" xr3:uid="{29049E1C-E362-468E-989C-1B2EF56236B4}" name="Naranjas" dataDxfId="190" totalsRowDxfId="189"/>
    <tableColumn id="9" xr3:uid="{44905327-FDE0-484D-B327-49323B5FD442}" name="Paltas" dataDxfId="188" totalsRowDxfId="187"/>
    <tableColumn id="10" xr3:uid="{47764D6F-F66A-490E-BB17-992E91D2DD85}" name="Quesos" dataDxfId="186" totalsRowDxfId="185"/>
    <tableColumn id="6" xr3:uid="{A1B4D37E-E751-4C8C-A1B4-E189E104A56A}" name="Frutillas" dataDxfId="184" totalsRowDxfId="183"/>
    <tableColumn id="13" xr3:uid="{A6895C05-C4D1-4760-A8C7-AF1A6CCB989F}" name="Tomate Cherry" dataDxfId="182" totalsRowDxfId="181"/>
    <tableColumn id="14" xr3:uid="{55AF1BEA-6BB4-4AB1-B8B6-73A6D93F69AD}" name="Nueces" dataDxfId="180" totalsRowDxfId="179"/>
    <tableColumn id="23" xr3:uid="{B2A4C93D-AC6F-46F9-9657-D0EBDAE4D57C}" name="Total" dataDxfId="178">
      <calculatedColumnFormula>SUM(Tabla5232[[#This Row],[Naranjas]:[Nueces]])</calculatedColumnFormula>
    </tableColumn>
    <tableColumn id="30" xr3:uid="{8C3ADF64-E92D-4CB8-A281-6B44C17699F2}" name="Comentario" dataDxfId="177" totalsRowDxfId="17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72" headerRowBorderDxfId="171" tableBorderDxfId="170" totalsRowBorderDxfId="169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68" totalsRowDxfId="167"/>
    <tableColumn id="2" xr3:uid="{4999A26D-2E24-4D2B-B980-850785424057}" name="Apellido" dataDxfId="166" totalsRowDxfId="165"/>
    <tableColumn id="3" xr3:uid="{A434B000-1861-4784-B109-B05974C7051D}" name="Direccion" dataDxfId="164" totalsRowDxfId="163"/>
    <tableColumn id="4" xr3:uid="{36F6CFBA-DDDC-4FFC-82DD-5960D3CDBCDA}" name="Comuna" dataDxfId="162" totalsRowDxfId="161"/>
    <tableColumn id="20" xr3:uid="{4FDBE241-1597-436B-A7B7-DB3510DCCB74}" name="Sector" dataDxfId="160" totalsRowDxfId="159"/>
    <tableColumn id="21" xr3:uid="{F6B5BA3A-8F4B-4FC9-AE67-33EB7CFA0D15}" name="Universidad" dataDxfId="158" totalsRowDxfId="157"/>
    <tableColumn id="22" xr3:uid="{B1AEFFD1-DC05-4A1D-9CC8-FCF4884939E1}" name="Cargo" dataDxfId="156" totalsRowDxfId="155"/>
    <tableColumn id="19" xr3:uid="{9082740E-7874-4328-8DC0-F2AB6940358A}" name="Telefono" dataDxfId="154" totalsRowDxfId="153"/>
    <tableColumn id="12" xr3:uid="{72E64BB2-F733-428C-9E59-691C0922F12F}" name="Mail" dataDxfId="152" totalsRowDxfId="151" dataCellStyle="Millares"/>
    <tableColumn id="29" xr3:uid="{3DFD4641-0C78-454D-9573-465E347589B0}" name="Encargado" dataDxfId="150" totalsRowDxfId="149" dataCellStyle="Millares"/>
    <tableColumn id="28" xr3:uid="{72BC980A-1A91-4CB2-AD95-99E7CF8A16C0}" name="Entregado" dataDxfId="148" totalsRowDxfId="147"/>
    <tableColumn id="11" xr3:uid="{70387001-8A75-4D8C-AD87-C19BA3896B84}" name="Pagado" dataDxfId="146" totalsRowDxfId="145"/>
    <tableColumn id="5" xr3:uid="{43008A3B-24C5-43B6-8AB7-76C7D9461CF7}" name="Deuda" dataDxfId="144" totalsRowDxfId="143">
      <calculatedColumnFormula>SUMPRODUCT(Tabla5234[[#This Row],[Naranjas]:[Almendras]],O$36:Y$36)</calculatedColumnFormula>
    </tableColumn>
    <tableColumn id="7" xr3:uid="{35AA4116-6EDA-4D31-8B36-74B3794C7ED3}" name="Naranjas" dataDxfId="142" totalsRowDxfId="141"/>
    <tableColumn id="8" xr3:uid="{67A6EA11-756F-4C62-9E37-D4B16E0690D2}" name="Mandarinas" dataDxfId="140" totalsRowDxfId="139"/>
    <tableColumn id="9" xr3:uid="{9C356CFD-BCDE-4D13-A98B-BA6F37348740}" name="Paltas" dataDxfId="138" totalsRowDxfId="137"/>
    <tableColumn id="10" xr3:uid="{D6AC670F-EA39-44D0-A00C-033530F8D695}" name="Quesos" dataDxfId="136" totalsRowDxfId="135"/>
    <tableColumn id="6" xr3:uid="{F7601FAD-6551-454B-99A6-22210F646C5D}" name="Frutillas" dataDxfId="134" totalsRowDxfId="133"/>
    <tableColumn id="13" xr3:uid="{C441C78D-32D2-47C0-AE5D-04653940C591}" name="Tomate Cherry" dataDxfId="132" totalsRowDxfId="131"/>
    <tableColumn id="14" xr3:uid="{C233E39C-933E-4DD0-94A1-F9E07C9787DB}" name="Nueces" dataDxfId="130" totalsRowDxfId="129"/>
    <tableColumn id="15" xr3:uid="{14289742-F4E3-47F8-B39F-ABBBDAC491A6}" name="Mani" dataDxfId="128" totalsRowDxfId="127"/>
    <tableColumn id="16" xr3:uid="{1E9AED1F-4A08-4E89-B982-E9BDA220A6ED}" name="Pistachos" dataDxfId="126" totalsRowDxfId="125"/>
    <tableColumn id="17" xr3:uid="{A6C52745-35EA-4F20-8796-65CD3B8D5F04}" name="Caju" dataDxfId="124" totalsRowDxfId="123"/>
    <tableColumn id="18" xr3:uid="{55A94255-242E-4C9F-9C36-7D37E7B313ED}" name="Almendras" dataDxfId="122" totalsRowDxfId="121"/>
    <tableColumn id="23" xr3:uid="{7E2395B4-0C28-4081-ADBD-938F99D651B0}" name="Total" dataDxfId="120" totalsRowDxfId="119">
      <calculatedColumnFormula>SUM(Tabla5234[[#This Row],[Naranjas]:[Almendras]])</calculatedColumnFormula>
    </tableColumn>
    <tableColumn id="30" xr3:uid="{C6E4E4B5-D0A1-47FB-9AED-3EDBE0EE3C2D}" name="Comentario" dataDxfId="118" totalsRow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10" headerRowBorderDxfId="109" tableBorderDxfId="108" totalsRowBorderDxfId="107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06"/>
    <tableColumn id="2" xr3:uid="{5E41539A-2C20-4EC0-B588-CD121D5DFE79}" name="Apellido" dataDxfId="105" totalsRowDxfId="104"/>
    <tableColumn id="3" xr3:uid="{0E3A5421-A82A-42C5-ABBF-1FE73D08D9A4}" name="Direccion" dataDxfId="103" totalsRowDxfId="102"/>
    <tableColumn id="4" xr3:uid="{31B5466E-EFE1-46F4-BEA0-7420A27EECD0}" name="Comuna" dataDxfId="101" totalsRowDxfId="100"/>
    <tableColumn id="20" xr3:uid="{3F545753-1DD9-4576-BE0B-E1FD5A87F671}" name="Sector" dataDxfId="99" totalsRowDxfId="98"/>
    <tableColumn id="21" xr3:uid="{306E3798-A7E7-4C3F-8F02-414A1AB6B067}" name="Universidad" dataDxfId="97" totalsRowDxfId="96"/>
    <tableColumn id="22" xr3:uid="{278137D6-51AC-4AF5-ACF8-67ADF75DE468}" name="Cargo" dataDxfId="95" totalsRowDxfId="94"/>
    <tableColumn id="19" xr3:uid="{EA31F306-6D60-45FA-B024-91F4BF3EF434}" name="Telefono" dataDxfId="93" totalsRowDxfId="92"/>
    <tableColumn id="12" xr3:uid="{78578A7F-5D9A-4929-B6EE-5AED5C5EA5CC}" name="Mail" dataDxfId="91" totalsRowDxfId="90" dataCellStyle="Millares"/>
    <tableColumn id="29" xr3:uid="{30F9FF7E-C93E-46E4-9C82-28C3F46DF166}" name="Encargado" dataDxfId="89" totalsRowDxfId="88" dataCellStyle="Millares"/>
    <tableColumn id="28" xr3:uid="{93D77A51-ADA6-4DD4-85BA-7EB06C86776B}" name="Entregado" dataDxfId="87" totalsRowDxfId="86"/>
    <tableColumn id="11" xr3:uid="{4C38DF53-8449-4F02-898C-F633C5458259}" name="Pagado" dataDxfId="85" totalsRowDxfId="84"/>
    <tableColumn id="5" xr3:uid="{D75C41D7-30CC-454D-A46F-7D4BEBB5DCC9}" name="Deuda" dataDxfId="83" totalsRowDxfId="82">
      <calculatedColumnFormula>SUMPRODUCT(Tabla5236[[#This Row],[Naranjas]:[Almendras]],O$36:Y$36)</calculatedColumnFormula>
    </tableColumn>
    <tableColumn id="7" xr3:uid="{2FA3E8BD-37DF-4F36-9300-570F16A2125B}" name="Naranjas" dataDxfId="81" totalsRowDxfId="80"/>
    <tableColumn id="8" xr3:uid="{7B6D7A03-3586-4EA3-BF87-5B01B28CFB3B}" name="Mandarinas" dataDxfId="79" totalsRowDxfId="78"/>
    <tableColumn id="9" xr3:uid="{4EDED984-243E-4069-9AC2-45C648D111AA}" name="Paltas" dataDxfId="77" totalsRowDxfId="76"/>
    <tableColumn id="10" xr3:uid="{F26C0FD0-E101-4448-A359-5CD3B6C9CD0E}" name="Quesos" dataDxfId="75" totalsRowDxfId="74"/>
    <tableColumn id="6" xr3:uid="{383586E3-3E32-4761-B073-B4A99A77042A}" name="Frutillas" dataDxfId="73" totalsRowDxfId="72"/>
    <tableColumn id="13" xr3:uid="{27F2AE7C-1E57-45BD-BE95-DAB8C4B793B8}" name="Tomate Cherry" dataDxfId="71" totalsRowDxfId="70"/>
    <tableColumn id="14" xr3:uid="{F7BC9E71-A6BA-43CD-9FEA-7262138060D0}" name="Nueces" dataDxfId="69" totalsRowDxfId="68"/>
    <tableColumn id="15" xr3:uid="{C6EF8C6A-46E1-4C26-ADCF-1DE53A123634}" name="Mani" dataDxfId="67" totalsRowDxfId="66"/>
    <tableColumn id="16" xr3:uid="{7F601C3A-6EC2-4F1F-B1FC-947B012950B1}" name="Pistachos" dataDxfId="65" totalsRowDxfId="64"/>
    <tableColumn id="17" xr3:uid="{8DFEB329-46BF-4F8A-A848-55A4771E76AB}" name="Caju" dataDxfId="63" totalsRowDxfId="62"/>
    <tableColumn id="18" xr3:uid="{5EEEDD71-1C2B-4F79-9FBF-D7AF8AD737A5}" name="Almendras" dataDxfId="61" totalsRowDxfId="60"/>
    <tableColumn id="23" xr3:uid="{128F111A-B870-4C9B-9557-A4E77A9AEEA8}" name="Total" dataDxfId="59">
      <calculatedColumnFormula>SUM(Tabla5236[[#This Row],[Naranjas]:[Almendras]])</calculatedColumnFormula>
    </tableColumn>
    <tableColumn id="30" xr3:uid="{D9AAF280-6762-465D-BE94-0C1318389968}" name="Comentario" dataDxfId="58" totalsRowDxfId="5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53" headerRowBorderDxfId="52" tableBorderDxfId="51" totalsRowBorderDxfId="50">
  <autoFilter ref="B4:AA11" xr:uid="{00000000-0009-0000-0100-000002000000}"/>
  <sortState ref="B5:AA11">
    <sortCondition ref="M4:M11"/>
  </sortState>
  <tableColumns count="26">
    <tableColumn id="1" xr3:uid="{BA583064-C10A-47F5-B70E-1660870BB309}" name="Nombre" dataDxfId="49"/>
    <tableColumn id="2" xr3:uid="{CA36FAB5-3481-44C0-B389-792777E2036C}" name="Apellido" dataDxfId="48" totalsRowDxfId="47"/>
    <tableColumn id="3" xr3:uid="{4B3E935E-9980-4100-AE93-A773AB850B0B}" name="Direccion" dataDxfId="46" totalsRowDxfId="45"/>
    <tableColumn id="4" xr3:uid="{91827E04-ABE2-47E0-8283-660F47F82CE8}" name="Comuna" dataDxfId="44" totalsRowDxfId="43"/>
    <tableColumn id="20" xr3:uid="{16F39107-6938-4DB6-AF3F-E8043568E0C2}" name="Sector" dataDxfId="42" totalsRowDxfId="41"/>
    <tableColumn id="21" xr3:uid="{3C7182E4-2ABE-4F31-8708-B32482D082E6}" name="Universidad" dataDxfId="40" totalsRowDxfId="39"/>
    <tableColumn id="22" xr3:uid="{DAA91006-CE53-4D19-BB13-1CAE0497C799}" name="Cargo" dataDxfId="38" totalsRowDxfId="37"/>
    <tableColumn id="19" xr3:uid="{7BEE7DCD-E9F7-4415-A3CC-8F23283CAE99}" name="Telefono" dataDxfId="36" totalsRowDxfId="35"/>
    <tableColumn id="12" xr3:uid="{88A3A1A8-0939-4D36-90C3-40144DA21448}" name="Mail" dataDxfId="34" totalsRowDxfId="33" dataCellStyle="Millares"/>
    <tableColumn id="29" xr3:uid="{4090B2BD-9126-4208-93C6-705E41F05626}" name="Encargado" dataDxfId="32" totalsRowDxfId="31" dataCellStyle="Millares"/>
    <tableColumn id="28" xr3:uid="{21E0DD12-B3DE-4D76-86C0-9C5B5E7D7E4D}" name="Entregado" dataDxfId="30" totalsRowDxfId="29"/>
    <tableColumn id="11" xr3:uid="{748108B6-BA44-4BD8-8145-CC6383C5327F}" name="Pagado" dataDxfId="28" totalsRowDxfId="27"/>
    <tableColumn id="5" xr3:uid="{8381D751-64B2-4BDD-9F39-A78B8FEDFDB3}" name="Deuda" dataDxfId="26" totalsRowDxfId="25">
      <calculatedColumnFormula>SUMPRODUCT(Tabla5235[[#This Row],[Naranjas]:[Almendras]],O$21:Y$21)</calculatedColumnFormula>
    </tableColumn>
    <tableColumn id="7" xr3:uid="{46A57995-79AC-4D44-A3B2-CE171D6AE012}" name="Naranjas" dataDxfId="24" totalsRowDxfId="23"/>
    <tableColumn id="8" xr3:uid="{8FF88F14-A8A5-4881-AA51-DB5D553AD373}" name="Mandarinas" dataDxfId="22" totalsRowDxfId="21"/>
    <tableColumn id="9" xr3:uid="{7F32A59C-C699-4535-867E-F7C0F4D10589}" name="Paltas" dataDxfId="20" totalsRowDxfId="19"/>
    <tableColumn id="10" xr3:uid="{2A68F354-8CE4-4516-A18A-6EF0FA0FCE41}" name="Quesos" dataDxfId="18" totalsRowDxfId="17"/>
    <tableColumn id="6" xr3:uid="{92426489-F810-48BD-ACF9-973CE11D0C68}" name="Frutillas" dataDxfId="16" totalsRowDxfId="15"/>
    <tableColumn id="13" xr3:uid="{0CC09773-925D-458F-8D68-D53F84C01428}" name="Tomate Cherry" dataDxfId="14" totalsRowDxfId="13"/>
    <tableColumn id="14" xr3:uid="{C87ED2C6-13BD-4585-A8EC-4A2E3CEF33A2}" name="Nueces" dataDxfId="12" totalsRowDxfId="11"/>
    <tableColumn id="15" xr3:uid="{3BD36379-EC6F-47FC-B84E-7FCA99E826D8}" name="Mani" dataDxfId="10" totalsRowDxfId="9"/>
    <tableColumn id="16" xr3:uid="{928D4AA2-711B-48A9-A128-DF1D65DCD666}" name="Pistachos" dataDxfId="8" totalsRowDxfId="7"/>
    <tableColumn id="17" xr3:uid="{520659AD-F16B-4B3E-8C62-945E4FD767C0}" name="Caju" dataDxfId="6" totalsRowDxfId="5"/>
    <tableColumn id="18" xr3:uid="{4671CED7-C17B-454F-B33C-664316D268A2}" name="Almendras" dataDxfId="4" totalsRowDxfId="3"/>
    <tableColumn id="23" xr3:uid="{725EBD5F-7318-4062-B4CA-4358CD1CBC13}" name="Total" dataDxfId="2">
      <calculatedColumnFormula>SUM(Tabla5235[[#This Row],[Naranjas]:[Almendras]])</calculatedColumnFormula>
    </tableColumn>
    <tableColumn id="30" xr3:uid="{A660D2E1-E468-4635-8A17-AA0C23473FA0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85" t="s">
        <v>38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  <c r="O2" s="261" t="s">
        <v>11</v>
      </c>
      <c r="P2" s="262"/>
      <c r="Q2" s="262"/>
      <c r="R2" s="262"/>
      <c r="S2" s="262"/>
      <c r="T2" s="262"/>
      <c r="U2" s="262"/>
      <c r="V2" s="262"/>
      <c r="W2" s="262"/>
      <c r="X2" s="262"/>
      <c r="Y2" s="263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276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3">
      <c r="A6" s="277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3">
      <c r="A7" s="277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3">
      <c r="A8" s="277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3">
      <c r="A9" s="277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3">
      <c r="A10" s="277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3">
      <c r="A11" s="277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3">
      <c r="A12" s="277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3">
      <c r="A13" s="277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3">
      <c r="A14" s="277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3">
      <c r="A15" s="277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3">
      <c r="A16" s="277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3">
      <c r="A17" s="277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3">
      <c r="A18" s="277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3">
      <c r="A19" s="277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3">
      <c r="A20" s="277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3">
      <c r="A21" s="277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3">
      <c r="A22" s="277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3">
      <c r="A23" s="277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3">
      <c r="A24" s="277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3">
      <c r="A25" s="277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3">
      <c r="A26" s="277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3">
      <c r="A27" s="277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3">
      <c r="A28" s="277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3">
      <c r="A29" s="277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3">
      <c r="A30" s="277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3">
      <c r="A31" s="277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3">
      <c r="A32" s="277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3">
      <c r="A33" s="277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3">
      <c r="A34" s="277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3">
      <c r="A35" s="277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3">
      <c r="A36" s="277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3">
      <c r="A37" s="277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3">
      <c r="A38" s="277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3">
      <c r="A39" s="277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3">
      <c r="A40" s="277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3">
      <c r="A41" s="277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3">
      <c r="A42" s="277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3">
      <c r="A43" s="277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3">
      <c r="A44" s="277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3">
      <c r="A45" s="277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3">
      <c r="A46" s="277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3">
      <c r="A47" s="277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3">
      <c r="A48" s="277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3">
      <c r="A49" s="277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3">
      <c r="A50" s="277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3">
      <c r="A51" s="277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3">
      <c r="A52" s="277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3">
      <c r="A53" s="277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3">
      <c r="A54" s="277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3">
      <c r="A55" s="277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3">
      <c r="A56" s="277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3">
      <c r="A57" s="277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3">
      <c r="A58" s="277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3">
      <c r="A59" s="277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3">
      <c r="A60" s="277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3">
      <c r="A61" s="277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3">
      <c r="A62" s="277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3">
      <c r="A63" s="277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3">
      <c r="A64" s="277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3">
      <c r="A65" s="277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3">
      <c r="A66" s="277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3">
      <c r="A67" s="277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3">
      <c r="A68" s="277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3">
      <c r="A69" s="277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3">
      <c r="A70" s="277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3">
      <c r="A71" s="277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3">
      <c r="A72" s="277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3">
      <c r="A73" s="277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3">
      <c r="A74" s="277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3">
      <c r="A75" s="277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" outlineLevel="1" thickBot="1" x14ac:dyDescent="0.35">
      <c r="A76" s="278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3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" thickBot="1" x14ac:dyDescent="0.35"/>
    <row r="79" spans="1:27" ht="14.7" customHeight="1" thickBot="1" x14ac:dyDescent="0.35">
      <c r="A79" s="288" t="s">
        <v>20</v>
      </c>
      <c r="B79" s="267" t="s">
        <v>7</v>
      </c>
      <c r="C79" s="268"/>
      <c r="D79" s="268"/>
      <c r="E79" s="268"/>
      <c r="F79" s="268"/>
      <c r="G79" s="268"/>
      <c r="H79" s="268"/>
      <c r="I79" s="268"/>
      <c r="J79" s="268"/>
      <c r="K79" s="268"/>
      <c r="L79" s="268"/>
      <c r="M79" s="269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7" customHeight="1" thickBot="1" x14ac:dyDescent="0.35">
      <c r="A80" s="289"/>
      <c r="B80" s="273"/>
      <c r="C80" s="274"/>
      <c r="D80" s="274"/>
      <c r="E80" s="274"/>
      <c r="F80" s="274"/>
      <c r="G80" s="274"/>
      <c r="H80" s="274"/>
      <c r="I80" s="274"/>
      <c r="J80" s="274"/>
      <c r="K80" s="274"/>
      <c r="L80" s="274"/>
      <c r="M80" s="275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7" customHeight="1" thickBot="1" x14ac:dyDescent="0.35">
      <c r="A81" s="289"/>
      <c r="B81" s="273"/>
      <c r="C81" s="274"/>
      <c r="D81" s="274"/>
      <c r="E81" s="274"/>
      <c r="F81" s="274"/>
      <c r="G81" s="274"/>
      <c r="H81" s="274"/>
      <c r="I81" s="274"/>
      <c r="J81" s="274"/>
      <c r="K81" s="274"/>
      <c r="L81" s="274"/>
      <c r="M81" s="275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" thickBot="1" x14ac:dyDescent="0.35">
      <c r="A82" s="289"/>
      <c r="B82" s="270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2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" thickBot="1" x14ac:dyDescent="0.35">
      <c r="A83" s="289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" thickBot="1" x14ac:dyDescent="0.35">
      <c r="A84" s="289"/>
      <c r="B84" s="267" t="s">
        <v>12</v>
      </c>
      <c r="C84" s="268"/>
      <c r="D84" s="268"/>
      <c r="E84" s="268"/>
      <c r="F84" s="268"/>
      <c r="G84" s="268"/>
      <c r="H84" s="268"/>
      <c r="I84" s="268"/>
      <c r="J84" s="268"/>
      <c r="K84" s="268"/>
      <c r="L84" s="268"/>
      <c r="M84" s="269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" thickBot="1" x14ac:dyDescent="0.35">
      <c r="A85" s="289"/>
      <c r="B85" s="273"/>
      <c r="C85" s="274"/>
      <c r="D85" s="274"/>
      <c r="E85" s="274"/>
      <c r="F85" s="274"/>
      <c r="G85" s="274"/>
      <c r="H85" s="274"/>
      <c r="I85" s="274"/>
      <c r="J85" s="274"/>
      <c r="K85" s="274"/>
      <c r="L85" s="274"/>
      <c r="M85" s="275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" thickBot="1" x14ac:dyDescent="0.35">
      <c r="A86" s="289"/>
      <c r="B86" s="270"/>
      <c r="C86" s="271"/>
      <c r="D86" s="271"/>
      <c r="E86" s="271"/>
      <c r="F86" s="271"/>
      <c r="G86" s="271"/>
      <c r="H86" s="271"/>
      <c r="I86" s="271"/>
      <c r="J86" s="271"/>
      <c r="K86" s="271"/>
      <c r="L86" s="271"/>
      <c r="M86" s="272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" thickBot="1" x14ac:dyDescent="0.35">
      <c r="A87" s="289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7" customHeight="1" thickBot="1" x14ac:dyDescent="0.35">
      <c r="A88" s="289"/>
      <c r="B88" s="267" t="s">
        <v>15</v>
      </c>
      <c r="C88" s="268"/>
      <c r="D88" s="268"/>
      <c r="E88" s="268"/>
      <c r="F88" s="268"/>
      <c r="G88" s="268"/>
      <c r="H88" s="268"/>
      <c r="I88" s="268"/>
      <c r="J88" s="268"/>
      <c r="K88" s="268"/>
      <c r="L88" s="268"/>
      <c r="M88" s="269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" thickBot="1" x14ac:dyDescent="0.35">
      <c r="A89" s="289"/>
      <c r="B89" s="270"/>
      <c r="C89" s="271"/>
      <c r="D89" s="271"/>
      <c r="E89" s="271"/>
      <c r="F89" s="271"/>
      <c r="G89" s="271"/>
      <c r="H89" s="271"/>
      <c r="I89" s="271"/>
      <c r="J89" s="271"/>
      <c r="K89" s="271"/>
      <c r="L89" s="271"/>
      <c r="M89" s="272"/>
      <c r="N89" s="41" t="s">
        <v>16</v>
      </c>
      <c r="O89" s="282">
        <f>SUM(O88:Y88)</f>
        <v>0</v>
      </c>
      <c r="P89" s="283"/>
      <c r="Q89" s="283"/>
      <c r="R89" s="283"/>
      <c r="S89" s="283"/>
      <c r="T89" s="283"/>
      <c r="U89" s="283"/>
      <c r="V89" s="283"/>
      <c r="W89" s="283"/>
      <c r="X89" s="283"/>
      <c r="Y89" s="284"/>
    </row>
    <row r="90" spans="1:25" ht="15" thickBot="1" x14ac:dyDescent="0.35">
      <c r="A90" s="289"/>
      <c r="B90" s="267" t="s">
        <v>17</v>
      </c>
      <c r="C90" s="268"/>
      <c r="D90" s="268"/>
      <c r="E90" s="268"/>
      <c r="F90" s="268"/>
      <c r="G90" s="268"/>
      <c r="H90" s="268"/>
      <c r="I90" s="268"/>
      <c r="J90" s="268"/>
      <c r="K90" s="268"/>
      <c r="L90" s="268"/>
      <c r="M90" s="269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" thickBot="1" x14ac:dyDescent="0.35">
      <c r="A91" s="289"/>
      <c r="B91" s="270"/>
      <c r="C91" s="271"/>
      <c r="D91" s="271"/>
      <c r="E91" s="271"/>
      <c r="F91" s="271"/>
      <c r="G91" s="271"/>
      <c r="H91" s="271"/>
      <c r="I91" s="271"/>
      <c r="J91" s="271"/>
      <c r="K91" s="271"/>
      <c r="L91" s="271"/>
      <c r="M91" s="272"/>
      <c r="N91" s="41" t="s">
        <v>16</v>
      </c>
      <c r="O91" s="282">
        <f>SUM(O90:Y90)</f>
        <v>0</v>
      </c>
      <c r="P91" s="283"/>
      <c r="Q91" s="283"/>
      <c r="R91" s="283"/>
      <c r="S91" s="283"/>
      <c r="T91" s="283"/>
      <c r="U91" s="283"/>
      <c r="V91" s="283"/>
      <c r="W91" s="283"/>
      <c r="X91" s="283"/>
      <c r="Y91" s="284"/>
    </row>
    <row r="92" spans="1:25" ht="14.7" customHeight="1" thickBot="1" x14ac:dyDescent="0.35">
      <c r="A92" s="289"/>
      <c r="B92" s="267" t="s">
        <v>18</v>
      </c>
      <c r="C92" s="268"/>
      <c r="D92" s="268"/>
      <c r="E92" s="268"/>
      <c r="F92" s="268"/>
      <c r="G92" s="268"/>
      <c r="H92" s="268"/>
      <c r="I92" s="268"/>
      <c r="J92" s="268"/>
      <c r="K92" s="268"/>
      <c r="L92" s="268"/>
      <c r="M92" s="269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7" customHeight="1" thickBot="1" x14ac:dyDescent="0.35">
      <c r="A93" s="289"/>
      <c r="B93" s="270"/>
      <c r="C93" s="271"/>
      <c r="D93" s="271"/>
      <c r="E93" s="271"/>
      <c r="F93" s="271"/>
      <c r="G93" s="271"/>
      <c r="H93" s="271"/>
      <c r="I93" s="271"/>
      <c r="J93" s="271"/>
      <c r="K93" s="271"/>
      <c r="L93" s="271"/>
      <c r="M93" s="272"/>
      <c r="N93" s="41" t="s">
        <v>29</v>
      </c>
      <c r="O93" s="279">
        <f>O91-O89</f>
        <v>0</v>
      </c>
      <c r="P93" s="280"/>
      <c r="Q93" s="280"/>
      <c r="R93" s="280"/>
      <c r="S93" s="280"/>
      <c r="T93" s="280"/>
      <c r="U93" s="280"/>
      <c r="V93" s="280"/>
      <c r="W93" s="280"/>
      <c r="X93" s="280"/>
      <c r="Y93" s="281"/>
    </row>
    <row r="94" spans="1:25" ht="15" thickBot="1" x14ac:dyDescent="0.35">
      <c r="A94" s="289"/>
    </row>
    <row r="95" spans="1:25" ht="14.7" customHeight="1" thickBot="1" x14ac:dyDescent="0.35">
      <c r="A95" s="289"/>
      <c r="B95" s="300" t="s">
        <v>25</v>
      </c>
      <c r="C95" s="301"/>
      <c r="D95" s="301"/>
      <c r="E95" s="301"/>
      <c r="F95" s="301"/>
      <c r="G95" s="301"/>
      <c r="H95" s="301"/>
      <c r="I95" s="301"/>
      <c r="J95" s="301"/>
      <c r="K95" s="301"/>
      <c r="L95" s="301"/>
      <c r="M95" s="301"/>
      <c r="N95" s="302"/>
      <c r="O95" s="297" t="s">
        <v>26</v>
      </c>
      <c r="P95" s="298"/>
      <c r="Q95" s="299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3">
      <c r="A96" s="289"/>
      <c r="B96" s="303"/>
      <c r="C96" s="304"/>
      <c r="D96" s="304"/>
      <c r="E96" s="304"/>
      <c r="F96" s="304"/>
      <c r="G96" s="304"/>
      <c r="H96" s="304"/>
      <c r="I96" s="304"/>
      <c r="J96" s="304"/>
      <c r="K96" s="304"/>
      <c r="L96" s="304"/>
      <c r="M96" s="304"/>
      <c r="N96" s="305"/>
      <c r="O96" s="309"/>
      <c r="P96" s="310"/>
      <c r="Q96" s="311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3">
      <c r="A97" s="289"/>
      <c r="B97" s="303"/>
      <c r="C97" s="304"/>
      <c r="D97" s="304"/>
      <c r="E97" s="304"/>
      <c r="F97" s="304"/>
      <c r="G97" s="304"/>
      <c r="H97" s="304"/>
      <c r="I97" s="304"/>
      <c r="J97" s="304"/>
      <c r="K97" s="304"/>
      <c r="L97" s="304"/>
      <c r="M97" s="304"/>
      <c r="N97" s="305"/>
      <c r="O97" s="264"/>
      <c r="P97" s="265"/>
      <c r="Q97" s="266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3">
      <c r="A98" s="289"/>
      <c r="B98" s="303"/>
      <c r="C98" s="304"/>
      <c r="D98" s="304"/>
      <c r="E98" s="304"/>
      <c r="F98" s="304"/>
      <c r="G98" s="304"/>
      <c r="H98" s="304"/>
      <c r="I98" s="304"/>
      <c r="J98" s="304"/>
      <c r="K98" s="304"/>
      <c r="L98" s="304"/>
      <c r="M98" s="304"/>
      <c r="N98" s="305"/>
      <c r="O98" s="264"/>
      <c r="P98" s="265"/>
      <c r="Q98" s="266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3">
      <c r="A99" s="289"/>
      <c r="B99" s="303"/>
      <c r="C99" s="304"/>
      <c r="D99" s="304"/>
      <c r="E99" s="304"/>
      <c r="F99" s="304"/>
      <c r="G99" s="304"/>
      <c r="H99" s="304"/>
      <c r="I99" s="304"/>
      <c r="J99" s="304"/>
      <c r="K99" s="304"/>
      <c r="L99" s="304"/>
      <c r="M99" s="304"/>
      <c r="N99" s="305"/>
      <c r="O99" s="264"/>
      <c r="P99" s="265"/>
      <c r="Q99" s="266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3">
      <c r="A100" s="289"/>
      <c r="B100" s="303"/>
      <c r="C100" s="304"/>
      <c r="D100" s="304"/>
      <c r="E100" s="304"/>
      <c r="F100" s="304"/>
      <c r="G100" s="304"/>
      <c r="H100" s="304"/>
      <c r="I100" s="304"/>
      <c r="J100" s="304"/>
      <c r="K100" s="304"/>
      <c r="L100" s="304"/>
      <c r="M100" s="304"/>
      <c r="N100" s="305"/>
      <c r="O100" s="264"/>
      <c r="P100" s="265"/>
      <c r="Q100" s="266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3">
      <c r="A101" s="289"/>
      <c r="B101" s="303"/>
      <c r="C101" s="304"/>
      <c r="D101" s="304"/>
      <c r="E101" s="304"/>
      <c r="F101" s="304"/>
      <c r="G101" s="304"/>
      <c r="H101" s="304"/>
      <c r="I101" s="304"/>
      <c r="J101" s="304"/>
      <c r="K101" s="304"/>
      <c r="L101" s="304"/>
      <c r="M101" s="304"/>
      <c r="N101" s="305"/>
      <c r="O101" s="264"/>
      <c r="P101" s="265"/>
      <c r="Q101" s="266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5">
      <c r="A102" s="289"/>
      <c r="B102" s="303"/>
      <c r="C102" s="304"/>
      <c r="D102" s="304"/>
      <c r="E102" s="304"/>
      <c r="F102" s="304"/>
      <c r="G102" s="304"/>
      <c r="H102" s="304"/>
      <c r="I102" s="304"/>
      <c r="J102" s="304"/>
      <c r="K102" s="304"/>
      <c r="L102" s="304"/>
      <c r="M102" s="304"/>
      <c r="N102" s="305"/>
      <c r="O102" s="291"/>
      <c r="P102" s="292"/>
      <c r="Q102" s="293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5">
      <c r="A103" s="289"/>
      <c r="B103" s="306"/>
      <c r="C103" s="307"/>
      <c r="D103" s="307"/>
      <c r="E103" s="307"/>
      <c r="F103" s="307"/>
      <c r="G103" s="307"/>
      <c r="H103" s="307"/>
      <c r="I103" s="307"/>
      <c r="J103" s="307"/>
      <c r="K103" s="307"/>
      <c r="L103" s="307"/>
      <c r="M103" s="307"/>
      <c r="N103" s="308"/>
      <c r="O103" s="294" t="s">
        <v>16</v>
      </c>
      <c r="P103" s="295"/>
      <c r="Q103" s="296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" thickBot="1" x14ac:dyDescent="0.35">
      <c r="A104" s="289"/>
    </row>
    <row r="105" spans="1:25" ht="51.75" customHeight="1" thickBot="1" x14ac:dyDescent="0.35">
      <c r="A105" s="290"/>
      <c r="B105" s="297" t="s">
        <v>18</v>
      </c>
      <c r="C105" s="298"/>
      <c r="D105" s="298"/>
      <c r="E105" s="298"/>
      <c r="F105" s="298"/>
      <c r="G105" s="298"/>
      <c r="H105" s="298"/>
      <c r="I105" s="298"/>
      <c r="J105" s="298"/>
      <c r="K105" s="298"/>
      <c r="L105" s="299"/>
      <c r="M105" s="64"/>
      <c r="N105" s="40" t="s">
        <v>16</v>
      </c>
      <c r="O105" s="279">
        <f>O93-SUM(R96:R102)</f>
        <v>0</v>
      </c>
      <c r="P105" s="280"/>
      <c r="Q105" s="280"/>
      <c r="R105" s="280"/>
      <c r="S105" s="280"/>
      <c r="T105" s="280"/>
      <c r="U105" s="281"/>
      <c r="V105" s="143"/>
      <c r="W105" s="143"/>
      <c r="X105" s="143"/>
      <c r="Y105" s="143"/>
    </row>
    <row r="106" spans="1:25" ht="15.75" customHeight="1" x14ac:dyDescent="0.3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3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3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3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3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3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3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3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3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  <mergeCell ref="O2:Y2"/>
    <mergeCell ref="O100:Q100"/>
    <mergeCell ref="O101:Q101"/>
    <mergeCell ref="B92:M93"/>
    <mergeCell ref="B79:M82"/>
    <mergeCell ref="B84:M86"/>
    <mergeCell ref="B88:M89"/>
    <mergeCell ref="B90:M91"/>
  </mergeCells>
  <conditionalFormatting sqref="Z5:Z76">
    <cfRule type="cellIs" dxfId="279" priority="1" operator="lessThan">
      <formula>20</formula>
    </cfRule>
    <cfRule type="cellIs" dxfId="278" priority="2" operator="between">
      <formula>20</formula>
      <formula>29</formula>
    </cfRule>
    <cfRule type="cellIs" dxfId="27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70"/>
    <col min="2" max="2" width="12.44140625" style="70" customWidth="1"/>
    <col min="3" max="3" width="15.33203125" style="70" customWidth="1"/>
    <col min="4" max="4" width="38" style="70" hidden="1" customWidth="1" outlineLevel="1"/>
    <col min="5" max="5" width="15.109375" style="70" hidden="1" customWidth="1" outlineLevel="1"/>
    <col min="6" max="6" width="16.5546875" style="70" hidden="1" customWidth="1" outlineLevel="1"/>
    <col min="7" max="7" width="14.6640625" style="70" hidden="1" customWidth="1" outlineLevel="1"/>
    <col min="8" max="8" width="10.5546875" style="70" hidden="1" customWidth="1" outlineLevel="1"/>
    <col min="9" max="9" width="18.44140625" style="70" hidden="1" customWidth="1" outlineLevel="1"/>
    <col min="10" max="10" width="33.5546875" style="70" hidden="1" customWidth="1" outlineLevel="1"/>
    <col min="11" max="11" width="33.5546875" style="70" customWidth="1" outlineLevel="1"/>
    <col min="12" max="14" width="10.6640625" style="70" customWidth="1"/>
    <col min="15" max="20" width="15.44140625" style="70" customWidth="1"/>
    <col min="21" max="21" width="11.44140625" style="70"/>
    <col min="22" max="22" width="71.44140625" style="71" customWidth="1"/>
    <col min="23" max="16384" width="11.44140625" style="70"/>
  </cols>
  <sheetData>
    <row r="1" spans="1:22" ht="15" thickBot="1" x14ac:dyDescent="0.35"/>
    <row r="2" spans="1:22" ht="29.7" customHeight="1" thickBot="1" x14ac:dyDescent="0.35">
      <c r="B2" s="315" t="s">
        <v>116</v>
      </c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17"/>
      <c r="O2" s="318" t="s">
        <v>11</v>
      </c>
      <c r="P2" s="319"/>
      <c r="Q2" s="319"/>
      <c r="R2" s="319"/>
      <c r="S2" s="319"/>
      <c r="T2" s="320"/>
    </row>
    <row r="3" spans="1:22" s="72" customFormat="1" ht="15" thickBot="1" x14ac:dyDescent="0.35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" thickBot="1" x14ac:dyDescent="0.35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3">
      <c r="A5" s="312"/>
      <c r="B5" s="79" t="s">
        <v>69</v>
      </c>
      <c r="C5" s="80" t="s">
        <v>121</v>
      </c>
      <c r="D5" s="80" t="s">
        <v>122</v>
      </c>
      <c r="E5" s="80" t="s">
        <v>40</v>
      </c>
      <c r="F5" s="80" t="s">
        <v>123</v>
      </c>
      <c r="G5" s="80" t="s">
        <v>124</v>
      </c>
      <c r="H5" s="80" t="s">
        <v>41</v>
      </c>
      <c r="I5" s="81">
        <v>56966477967</v>
      </c>
      <c r="J5" s="82" t="s">
        <v>125</v>
      </c>
      <c r="K5" s="82" t="s">
        <v>70</v>
      </c>
      <c r="L5" s="83" t="s">
        <v>126</v>
      </c>
      <c r="M5" s="83" t="s">
        <v>115</v>
      </c>
      <c r="N5" s="80">
        <f>SUMPRODUCT(Tabla5232[[#This Row],[Naranjas]:[Nueces]],O$28:T$28)</f>
        <v>8000</v>
      </c>
      <c r="O5" s="83">
        <v>1</v>
      </c>
      <c r="P5" s="83">
        <v>0</v>
      </c>
      <c r="Q5" s="83">
        <v>0</v>
      </c>
      <c r="R5" s="83">
        <v>0</v>
      </c>
      <c r="S5" s="83">
        <v>1</v>
      </c>
      <c r="T5" s="83">
        <v>0</v>
      </c>
      <c r="U5" s="83">
        <f>SUM(Tabla5232[[#This Row],[Naranjas]:[Nueces]])</f>
        <v>2</v>
      </c>
      <c r="V5" s="84"/>
    </row>
    <row r="6" spans="1:22" outlineLevel="1" x14ac:dyDescent="0.3">
      <c r="A6" s="313"/>
      <c r="B6" s="85" t="s">
        <v>72</v>
      </c>
      <c r="C6" s="86" t="s">
        <v>65</v>
      </c>
      <c r="D6" s="86" t="s">
        <v>73</v>
      </c>
      <c r="E6" s="86" t="s">
        <v>51</v>
      </c>
      <c r="F6" s="86" t="s">
        <v>74</v>
      </c>
      <c r="G6" s="86" t="s">
        <v>68</v>
      </c>
      <c r="H6" s="86" t="s">
        <v>41</v>
      </c>
      <c r="I6" s="87">
        <v>56957230044</v>
      </c>
      <c r="J6" s="88" t="s">
        <v>75</v>
      </c>
      <c r="K6" s="88" t="s">
        <v>42</v>
      </c>
      <c r="L6" s="89" t="s">
        <v>126</v>
      </c>
      <c r="M6" s="89" t="s">
        <v>115</v>
      </c>
      <c r="N6" s="86">
        <f>SUMPRODUCT(Tabla5232[[#This Row],[Naranjas]:[Nueces]],O$28:T$28)</f>
        <v>15500</v>
      </c>
      <c r="O6" s="89">
        <v>1</v>
      </c>
      <c r="P6" s="89">
        <v>0</v>
      </c>
      <c r="Q6" s="89">
        <v>0</v>
      </c>
      <c r="R6" s="89">
        <v>2</v>
      </c>
      <c r="S6" s="89">
        <v>0</v>
      </c>
      <c r="T6" s="89">
        <v>0</v>
      </c>
      <c r="U6" s="89">
        <f>SUM(Tabla5232[[#This Row],[Naranjas]:[Nueces]])</f>
        <v>3</v>
      </c>
      <c r="V6" s="90"/>
    </row>
    <row r="7" spans="1:22" outlineLevel="1" x14ac:dyDescent="0.3">
      <c r="A7" s="313"/>
      <c r="B7" s="85" t="s">
        <v>117</v>
      </c>
      <c r="C7" s="86" t="s">
        <v>92</v>
      </c>
      <c r="D7" s="86" t="s">
        <v>118</v>
      </c>
      <c r="E7" s="86" t="s">
        <v>51</v>
      </c>
      <c r="F7" s="86" t="s">
        <v>62</v>
      </c>
      <c r="G7" s="86" t="s">
        <v>48</v>
      </c>
      <c r="H7" s="86" t="s">
        <v>119</v>
      </c>
      <c r="I7" s="87">
        <v>56996324787</v>
      </c>
      <c r="J7" s="88" t="s">
        <v>120</v>
      </c>
      <c r="K7" s="88" t="s">
        <v>42</v>
      </c>
      <c r="L7" s="89" t="s">
        <v>126</v>
      </c>
      <c r="M7" s="89" t="s">
        <v>115</v>
      </c>
      <c r="N7" s="86">
        <f>SUMPRODUCT(Tabla5232[[#This Row],[Naranjas]:[Nueces]],O$28:T$28)</f>
        <v>37500</v>
      </c>
      <c r="O7" s="89">
        <v>1</v>
      </c>
      <c r="P7" s="89">
        <v>5</v>
      </c>
      <c r="Q7" s="89">
        <v>0</v>
      </c>
      <c r="R7" s="89">
        <v>1</v>
      </c>
      <c r="S7" s="89">
        <v>1</v>
      </c>
      <c r="T7" s="89">
        <v>0</v>
      </c>
      <c r="U7" s="89">
        <f>SUM(Tabla5232[[#This Row],[Naranjas]:[Nueces]])</f>
        <v>8</v>
      </c>
      <c r="V7" s="90"/>
    </row>
    <row r="8" spans="1:22" outlineLevel="1" x14ac:dyDescent="0.3">
      <c r="A8" s="313"/>
      <c r="B8" s="85" t="s">
        <v>79</v>
      </c>
      <c r="C8" s="86" t="s">
        <v>67</v>
      </c>
      <c r="D8" s="86" t="s">
        <v>80</v>
      </c>
      <c r="E8" s="86" t="s">
        <v>40</v>
      </c>
      <c r="F8" s="86" t="s">
        <v>64</v>
      </c>
      <c r="G8" s="86" t="s">
        <v>48</v>
      </c>
      <c r="H8" s="86" t="s">
        <v>41</v>
      </c>
      <c r="I8" s="87">
        <v>56986194003</v>
      </c>
      <c r="J8" s="88" t="s">
        <v>81</v>
      </c>
      <c r="K8" s="88" t="s">
        <v>58</v>
      </c>
      <c r="L8" s="89" t="s">
        <v>126</v>
      </c>
      <c r="M8" s="89" t="s">
        <v>115</v>
      </c>
      <c r="N8" s="86">
        <f>SUMPRODUCT(Tabla5232[[#This Row],[Naranjas]:[Nueces]],O$28:T$28)</f>
        <v>79900</v>
      </c>
      <c r="O8" s="89">
        <v>0</v>
      </c>
      <c r="P8" s="89">
        <v>17</v>
      </c>
      <c r="Q8" s="89">
        <v>0</v>
      </c>
      <c r="R8" s="89">
        <v>0</v>
      </c>
      <c r="S8" s="89">
        <v>0</v>
      </c>
      <c r="T8" s="89">
        <v>0</v>
      </c>
      <c r="U8" s="89">
        <f>SUM(Tabla5232[[#This Row],[Naranjas]:[Nueces]])</f>
        <v>17</v>
      </c>
      <c r="V8" s="90"/>
    </row>
    <row r="9" spans="1:22" outlineLevel="1" x14ac:dyDescent="0.3">
      <c r="A9" s="313"/>
      <c r="B9" s="85" t="s">
        <v>93</v>
      </c>
      <c r="C9" s="86" t="s">
        <v>94</v>
      </c>
      <c r="D9" s="86" t="s">
        <v>95</v>
      </c>
      <c r="E9" s="86" t="s">
        <v>50</v>
      </c>
      <c r="F9" s="86" t="s">
        <v>96</v>
      </c>
      <c r="G9" s="86" t="s">
        <v>97</v>
      </c>
      <c r="H9" s="86" t="s">
        <v>41</v>
      </c>
      <c r="I9" s="87">
        <v>56962094749</v>
      </c>
      <c r="J9" s="88" t="s">
        <v>98</v>
      </c>
      <c r="K9" s="88" t="s">
        <v>58</v>
      </c>
      <c r="L9" s="89" t="s">
        <v>126</v>
      </c>
      <c r="M9" s="89" t="s">
        <v>115</v>
      </c>
      <c r="N9" s="86">
        <f>SUMPRODUCT(Tabla5232[[#This Row],[Naranjas]:[Nueces]],O$28:T$28)</f>
        <v>31900</v>
      </c>
      <c r="O9" s="89">
        <v>0</v>
      </c>
      <c r="P9" s="89">
        <v>2</v>
      </c>
      <c r="Q9" s="89">
        <v>2</v>
      </c>
      <c r="R9" s="89">
        <v>0</v>
      </c>
      <c r="S9" s="89">
        <v>0</v>
      </c>
      <c r="T9" s="89">
        <v>1</v>
      </c>
      <c r="U9" s="89">
        <f>SUM(Tabla5232[[#This Row],[Naranjas]:[Nueces]])</f>
        <v>5</v>
      </c>
      <c r="V9" s="90"/>
    </row>
    <row r="10" spans="1:22" outlineLevel="1" x14ac:dyDescent="0.3">
      <c r="A10" s="313"/>
      <c r="B10" s="85" t="s">
        <v>109</v>
      </c>
      <c r="C10" s="86" t="s">
        <v>110</v>
      </c>
      <c r="D10" s="86" t="s">
        <v>111</v>
      </c>
      <c r="E10" s="86" t="s">
        <v>40</v>
      </c>
      <c r="F10" s="86" t="s">
        <v>64</v>
      </c>
      <c r="G10" s="86" t="s">
        <v>112</v>
      </c>
      <c r="H10" s="86" t="s">
        <v>41</v>
      </c>
      <c r="I10" s="87">
        <v>56968320616</v>
      </c>
      <c r="J10" s="88" t="s">
        <v>113</v>
      </c>
      <c r="K10" s="88" t="s">
        <v>70</v>
      </c>
      <c r="L10" s="89" t="s">
        <v>126</v>
      </c>
      <c r="M10" s="163" t="s">
        <v>126</v>
      </c>
      <c r="N10" s="86">
        <f>SUMPRODUCT(Tabla5232[[#This Row],[Naranjas]:[Nueces]],O$28:T$28)</f>
        <v>22700</v>
      </c>
      <c r="O10" s="89">
        <v>0</v>
      </c>
      <c r="P10" s="89">
        <v>1</v>
      </c>
      <c r="Q10" s="89">
        <v>0</v>
      </c>
      <c r="R10" s="89">
        <v>3</v>
      </c>
      <c r="S10" s="89">
        <v>0</v>
      </c>
      <c r="T10" s="89">
        <v>0</v>
      </c>
      <c r="U10" s="89">
        <f>SUM(Tabla5232[[#This Row],[Naranjas]:[Nueces]])</f>
        <v>4</v>
      </c>
      <c r="V10" s="90"/>
    </row>
    <row r="11" spans="1:22" outlineLevel="1" x14ac:dyDescent="0.3">
      <c r="A11" s="313"/>
      <c r="B11" s="85" t="s">
        <v>99</v>
      </c>
      <c r="C11" s="86" t="s">
        <v>100</v>
      </c>
      <c r="D11" s="86" t="s">
        <v>101</v>
      </c>
      <c r="E11" s="86" t="s">
        <v>51</v>
      </c>
      <c r="F11" s="86" t="s">
        <v>47</v>
      </c>
      <c r="G11" s="86" t="s">
        <v>68</v>
      </c>
      <c r="H11" s="86" t="s">
        <v>41</v>
      </c>
      <c r="I11" s="87">
        <v>56967289638</v>
      </c>
      <c r="J11" s="88" t="s">
        <v>102</v>
      </c>
      <c r="K11" s="88" t="s">
        <v>70</v>
      </c>
      <c r="L11" s="89" t="s">
        <v>126</v>
      </c>
      <c r="M11" s="163" t="s">
        <v>126</v>
      </c>
      <c r="N11" s="86">
        <f>SUMPRODUCT(Tabla5232[[#This Row],[Naranjas]:[Nueces]],O$28:T$28)</f>
        <v>96000</v>
      </c>
      <c r="O11" s="89">
        <v>5</v>
      </c>
      <c r="P11" s="89">
        <v>5</v>
      </c>
      <c r="Q11" s="89">
        <v>2</v>
      </c>
      <c r="R11" s="89">
        <v>3</v>
      </c>
      <c r="S11" s="89">
        <v>2</v>
      </c>
      <c r="T11" s="89">
        <v>2</v>
      </c>
      <c r="U11" s="89">
        <f>SUM(Tabla5232[[#This Row],[Naranjas]:[Nueces]])</f>
        <v>19</v>
      </c>
      <c r="V11" s="90"/>
    </row>
    <row r="12" spans="1:22" outlineLevel="1" x14ac:dyDescent="0.3">
      <c r="A12" s="313"/>
      <c r="B12" s="85" t="s">
        <v>79</v>
      </c>
      <c r="C12" s="86" t="s">
        <v>106</v>
      </c>
      <c r="D12" s="86" t="s">
        <v>107</v>
      </c>
      <c r="E12" s="86" t="s">
        <v>40</v>
      </c>
      <c r="F12" s="86" t="s">
        <v>64</v>
      </c>
      <c r="G12" s="86" t="s">
        <v>68</v>
      </c>
      <c r="H12" s="86" t="s">
        <v>41</v>
      </c>
      <c r="I12" s="87">
        <v>56975684552</v>
      </c>
      <c r="J12" s="88" t="s">
        <v>108</v>
      </c>
      <c r="K12" s="88" t="s">
        <v>70</v>
      </c>
      <c r="L12" s="89" t="s">
        <v>126</v>
      </c>
      <c r="M12" s="163" t="s">
        <v>126</v>
      </c>
      <c r="N12" s="86">
        <f>SUMPRODUCT(Tabla5232[[#This Row],[Naranjas]:[Nueces]],O$28:T$28)</f>
        <v>59500</v>
      </c>
      <c r="O12" s="89">
        <v>0</v>
      </c>
      <c r="P12" s="89">
        <v>5</v>
      </c>
      <c r="Q12" s="89">
        <v>0</v>
      </c>
      <c r="R12" s="89">
        <v>6</v>
      </c>
      <c r="S12" s="89">
        <v>0</v>
      </c>
      <c r="T12" s="89">
        <v>0</v>
      </c>
      <c r="U12" s="89">
        <f>SUM(Tabla5232[[#This Row],[Naranjas]:[Nueces]])</f>
        <v>11</v>
      </c>
      <c r="V12" s="90"/>
    </row>
    <row r="13" spans="1:22" outlineLevel="1" x14ac:dyDescent="0.3">
      <c r="A13" s="313"/>
      <c r="B13" s="85" t="s">
        <v>71</v>
      </c>
      <c r="C13" s="86" t="s">
        <v>76</v>
      </c>
      <c r="D13" s="86" t="s">
        <v>77</v>
      </c>
      <c r="E13" s="86" t="s">
        <v>40</v>
      </c>
      <c r="F13" s="86" t="s">
        <v>64</v>
      </c>
      <c r="G13" s="86" t="s">
        <v>48</v>
      </c>
      <c r="H13" s="86" t="s">
        <v>41</v>
      </c>
      <c r="I13" s="87">
        <v>56967898535</v>
      </c>
      <c r="J13" s="88" t="s">
        <v>78</v>
      </c>
      <c r="K13" s="88" t="s">
        <v>70</v>
      </c>
      <c r="L13" s="89" t="s">
        <v>126</v>
      </c>
      <c r="M13" s="89" t="s">
        <v>126</v>
      </c>
      <c r="N13" s="86">
        <f>SUMPRODUCT(Tabla5232[[#This Row],[Naranjas]:[Nueces]],O$28:T$28)</f>
        <v>15000</v>
      </c>
      <c r="O13" s="89">
        <v>0</v>
      </c>
      <c r="P13" s="89">
        <v>0</v>
      </c>
      <c r="Q13" s="89">
        <v>0</v>
      </c>
      <c r="R13" s="89">
        <v>1</v>
      </c>
      <c r="S13" s="89">
        <v>2</v>
      </c>
      <c r="T13" s="89">
        <v>0</v>
      </c>
      <c r="U13" s="89">
        <f>SUM(Tabla5232[[#This Row],[Naranjas]:[Nueces]])</f>
        <v>3</v>
      </c>
      <c r="V13" s="90"/>
    </row>
    <row r="14" spans="1:22" outlineLevel="1" x14ac:dyDescent="0.3">
      <c r="A14" s="313"/>
      <c r="B14" s="85" t="s">
        <v>43</v>
      </c>
      <c r="C14" s="86" t="s">
        <v>44</v>
      </c>
      <c r="D14" s="86" t="s">
        <v>45</v>
      </c>
      <c r="E14" s="86" t="s">
        <v>46</v>
      </c>
      <c r="F14" s="86" t="s">
        <v>47</v>
      </c>
      <c r="G14" s="86" t="s">
        <v>48</v>
      </c>
      <c r="H14" s="86" t="s">
        <v>41</v>
      </c>
      <c r="I14" s="87">
        <v>56942723186</v>
      </c>
      <c r="J14" s="88" t="s">
        <v>49</v>
      </c>
      <c r="K14" s="88" t="s">
        <v>42</v>
      </c>
      <c r="L14" s="89" t="s">
        <v>126</v>
      </c>
      <c r="M14" s="89" t="s">
        <v>126</v>
      </c>
      <c r="N14" s="86">
        <f>SUMPRODUCT(Tabla5232[[#This Row],[Naranjas]:[Nueces]],O$28:T$28)</f>
        <v>23600</v>
      </c>
      <c r="O14" s="89">
        <v>1</v>
      </c>
      <c r="P14" s="89">
        <v>3</v>
      </c>
      <c r="Q14" s="89">
        <v>0</v>
      </c>
      <c r="R14" s="89">
        <v>1</v>
      </c>
      <c r="S14" s="89">
        <v>0</v>
      </c>
      <c r="T14" s="89">
        <v>0</v>
      </c>
      <c r="U14" s="89">
        <f>SUM(Tabla5232[[#This Row],[Naranjas]:[Nueces]])</f>
        <v>5</v>
      </c>
      <c r="V14" s="90"/>
    </row>
    <row r="15" spans="1:22" outlineLevel="1" x14ac:dyDescent="0.3">
      <c r="A15" s="313"/>
      <c r="B15" s="85" t="s">
        <v>59</v>
      </c>
      <c r="C15" s="86" t="s">
        <v>60</v>
      </c>
      <c r="D15" s="86" t="s">
        <v>61</v>
      </c>
      <c r="E15" s="86" t="s">
        <v>51</v>
      </c>
      <c r="F15" s="86" t="s">
        <v>62</v>
      </c>
      <c r="G15" s="86" t="s">
        <v>48</v>
      </c>
      <c r="H15" s="86" t="s">
        <v>41</v>
      </c>
      <c r="I15" s="87">
        <v>56999699652</v>
      </c>
      <c r="J15" s="88" t="s">
        <v>63</v>
      </c>
      <c r="K15" s="88" t="s">
        <v>42</v>
      </c>
      <c r="L15" s="89" t="s">
        <v>126</v>
      </c>
      <c r="M15" s="163" t="s">
        <v>126</v>
      </c>
      <c r="N15" s="86">
        <f>SUMPRODUCT(Tabla5232[[#This Row],[Naranjas]:[Nueces]],O$28:T$28)</f>
        <v>16200</v>
      </c>
      <c r="O15" s="89">
        <v>2</v>
      </c>
      <c r="P15" s="89">
        <v>1</v>
      </c>
      <c r="Q15" s="89">
        <v>0</v>
      </c>
      <c r="R15" s="89">
        <v>0</v>
      </c>
      <c r="S15" s="89">
        <v>1</v>
      </c>
      <c r="T15" s="89">
        <v>0</v>
      </c>
      <c r="U15" s="89">
        <f>SUM(Tabla5232[[#This Row],[Naranjas]:[Nueces]])</f>
        <v>4</v>
      </c>
      <c r="V15" s="90"/>
    </row>
    <row r="16" spans="1:22" outlineLevel="1" x14ac:dyDescent="0.3">
      <c r="A16" s="313"/>
      <c r="B16" s="85" t="s">
        <v>82</v>
      </c>
      <c r="C16" s="86" t="s">
        <v>83</v>
      </c>
      <c r="D16" s="86" t="s">
        <v>104</v>
      </c>
      <c r="E16" s="86" t="s">
        <v>51</v>
      </c>
      <c r="F16" s="86" t="s">
        <v>84</v>
      </c>
      <c r="G16" s="86" t="s">
        <v>48</v>
      </c>
      <c r="H16" s="86" t="s">
        <v>41</v>
      </c>
      <c r="I16" s="87">
        <v>56979878976</v>
      </c>
      <c r="J16" s="88" t="s">
        <v>85</v>
      </c>
      <c r="K16" s="88" t="s">
        <v>42</v>
      </c>
      <c r="L16" s="89" t="s">
        <v>126</v>
      </c>
      <c r="M16" s="89" t="s">
        <v>126</v>
      </c>
      <c r="N16" s="86">
        <f>SUMPRODUCT(Tabla5232[[#This Row],[Naranjas]:[Nueces]],O$28:T$28)</f>
        <v>11500</v>
      </c>
      <c r="O16" s="89">
        <v>2</v>
      </c>
      <c r="P16" s="89">
        <v>0</v>
      </c>
      <c r="Q16" s="89">
        <v>0</v>
      </c>
      <c r="R16" s="89">
        <v>0</v>
      </c>
      <c r="S16" s="89">
        <v>1</v>
      </c>
      <c r="T16" s="89">
        <v>0</v>
      </c>
      <c r="U16" s="89">
        <f>SUM(Tabla5232[[#This Row],[Naranjas]:[Nueces]])</f>
        <v>3</v>
      </c>
      <c r="V16" s="90"/>
    </row>
    <row r="17" spans="1:22" outlineLevel="1" x14ac:dyDescent="0.3">
      <c r="A17" s="313"/>
      <c r="B17" s="85" t="s">
        <v>52</v>
      </c>
      <c r="C17" s="86" t="s">
        <v>53</v>
      </c>
      <c r="D17" s="86" t="s">
        <v>54</v>
      </c>
      <c r="E17" s="86" t="s">
        <v>46</v>
      </c>
      <c r="F17" s="86" t="s">
        <v>55</v>
      </c>
      <c r="G17" s="86" t="s">
        <v>56</v>
      </c>
      <c r="H17" s="86" t="s">
        <v>41</v>
      </c>
      <c r="I17" s="87">
        <v>56956481962</v>
      </c>
      <c r="J17" s="88" t="s">
        <v>57</v>
      </c>
      <c r="K17" s="88" t="s">
        <v>58</v>
      </c>
      <c r="L17" s="89" t="s">
        <v>126</v>
      </c>
      <c r="M17" s="163" t="s">
        <v>126</v>
      </c>
      <c r="N17" s="86">
        <f>SUMPRODUCT(Tabla5232[[#This Row],[Naranjas]:[Nueces]],O$28:T$28)</f>
        <v>257000</v>
      </c>
      <c r="O17" s="89">
        <v>12</v>
      </c>
      <c r="P17" s="89">
        <v>20</v>
      </c>
      <c r="Q17" s="89">
        <v>5</v>
      </c>
      <c r="R17" s="89">
        <v>4</v>
      </c>
      <c r="S17" s="89">
        <v>6</v>
      </c>
      <c r="T17" s="89">
        <v>5</v>
      </c>
      <c r="U17" s="89">
        <f>SUM(Tabla5232[[#This Row],[Naranjas]:[Nueces]])</f>
        <v>52</v>
      </c>
      <c r="V17" s="90"/>
    </row>
    <row r="18" spans="1:22" ht="15" outlineLevel="1" thickBot="1" x14ac:dyDescent="0.35">
      <c r="A18" s="314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164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3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" thickBot="1" x14ac:dyDescent="0.35"/>
    <row r="21" spans="1:22" ht="14.7" customHeight="1" thickBot="1" x14ac:dyDescent="0.35">
      <c r="A21" s="321" t="s">
        <v>20</v>
      </c>
      <c r="B21" s="324" t="s">
        <v>7</v>
      </c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6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7" customHeight="1" thickBot="1" x14ac:dyDescent="0.35">
      <c r="A22" s="322"/>
      <c r="B22" s="327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9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7" customHeight="1" thickBot="1" x14ac:dyDescent="0.35">
      <c r="A23" s="322"/>
      <c r="B23" s="327"/>
      <c r="C23" s="328"/>
      <c r="D23" s="328"/>
      <c r="E23" s="328"/>
      <c r="F23" s="328"/>
      <c r="G23" s="328"/>
      <c r="H23" s="328"/>
      <c r="I23" s="328"/>
      <c r="J23" s="328"/>
      <c r="K23" s="328"/>
      <c r="L23" s="328"/>
      <c r="M23" s="329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" thickBot="1" x14ac:dyDescent="0.35">
      <c r="A24" s="322"/>
      <c r="B24" s="330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32"/>
      <c r="N24" s="98" t="s">
        <v>10</v>
      </c>
      <c r="O24" s="105"/>
      <c r="P24" s="91"/>
      <c r="Q24" s="91"/>
      <c r="R24" s="91"/>
      <c r="S24" s="91"/>
      <c r="T24" s="106"/>
    </row>
    <row r="25" spans="1:22" ht="15" thickBot="1" x14ac:dyDescent="0.35">
      <c r="A25" s="322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" thickBot="1" x14ac:dyDescent="0.35">
      <c r="A26" s="322"/>
      <c r="B26" s="324" t="s">
        <v>12</v>
      </c>
      <c r="C26" s="325"/>
      <c r="D26" s="325"/>
      <c r="E26" s="325"/>
      <c r="F26" s="325"/>
      <c r="G26" s="325"/>
      <c r="H26" s="325"/>
      <c r="I26" s="325"/>
      <c r="J26" s="325"/>
      <c r="K26" s="325"/>
      <c r="L26" s="325"/>
      <c r="M26" s="326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" thickBot="1" x14ac:dyDescent="0.35">
      <c r="A27" s="322"/>
      <c r="B27" s="327"/>
      <c r="C27" s="328"/>
      <c r="D27" s="328"/>
      <c r="E27" s="328"/>
      <c r="F27" s="328"/>
      <c r="G27" s="328"/>
      <c r="H27" s="328"/>
      <c r="I27" s="328"/>
      <c r="J27" s="328"/>
      <c r="K27" s="328"/>
      <c r="L27" s="328"/>
      <c r="M27" s="329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" thickBot="1" x14ac:dyDescent="0.35">
      <c r="A28" s="322"/>
      <c r="B28" s="330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M28" s="332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" thickBot="1" x14ac:dyDescent="0.35">
      <c r="A29" s="322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7" customHeight="1" thickBot="1" x14ac:dyDescent="0.35">
      <c r="A30" s="322"/>
      <c r="B30" s="324" t="s">
        <v>15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6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" thickBot="1" x14ac:dyDescent="0.35">
      <c r="A31" s="322"/>
      <c r="B31" s="330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2"/>
      <c r="N31" s="98" t="s">
        <v>16</v>
      </c>
      <c r="O31" s="333">
        <f>SUM(O30:T30)</f>
        <v>502674</v>
      </c>
      <c r="P31" s="334"/>
      <c r="Q31" s="334"/>
      <c r="R31" s="334"/>
      <c r="S31" s="334"/>
      <c r="T31" s="335"/>
    </row>
    <row r="32" spans="1:22" ht="15" thickBot="1" x14ac:dyDescent="0.35">
      <c r="A32" s="322"/>
      <c r="B32" s="324" t="s">
        <v>17</v>
      </c>
      <c r="C32" s="325"/>
      <c r="D32" s="325"/>
      <c r="E32" s="325"/>
      <c r="F32" s="325"/>
      <c r="G32" s="325"/>
      <c r="H32" s="325"/>
      <c r="I32" s="325"/>
      <c r="J32" s="325"/>
      <c r="K32" s="325"/>
      <c r="L32" s="325"/>
      <c r="M32" s="326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" thickBot="1" x14ac:dyDescent="0.35">
      <c r="A33" s="322"/>
      <c r="B33" s="330"/>
      <c r="C33" s="331"/>
      <c r="D33" s="331"/>
      <c r="E33" s="331"/>
      <c r="F33" s="331"/>
      <c r="G33" s="331"/>
      <c r="H33" s="331"/>
      <c r="I33" s="331"/>
      <c r="J33" s="331"/>
      <c r="K33" s="331"/>
      <c r="L33" s="331"/>
      <c r="M33" s="332"/>
      <c r="N33" s="98" t="s">
        <v>16</v>
      </c>
      <c r="O33" s="333">
        <f>SUM(O32:T32)</f>
        <v>868000</v>
      </c>
      <c r="P33" s="334"/>
      <c r="Q33" s="334"/>
      <c r="R33" s="334"/>
      <c r="S33" s="334"/>
      <c r="T33" s="335"/>
    </row>
    <row r="34" spans="1:20" ht="14.7" customHeight="1" thickBot="1" x14ac:dyDescent="0.35">
      <c r="A34" s="322"/>
      <c r="B34" s="324" t="s">
        <v>18</v>
      </c>
      <c r="C34" s="325"/>
      <c r="D34" s="325"/>
      <c r="E34" s="325"/>
      <c r="F34" s="325"/>
      <c r="G34" s="325"/>
      <c r="H34" s="325"/>
      <c r="I34" s="325"/>
      <c r="J34" s="325"/>
      <c r="K34" s="325"/>
      <c r="L34" s="325"/>
      <c r="M34" s="326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7" customHeight="1" thickBot="1" x14ac:dyDescent="0.35">
      <c r="A35" s="322"/>
      <c r="B35" s="330"/>
      <c r="C35" s="331"/>
      <c r="D35" s="331"/>
      <c r="E35" s="331"/>
      <c r="F35" s="331"/>
      <c r="G35" s="331"/>
      <c r="H35" s="331"/>
      <c r="I35" s="331"/>
      <c r="J35" s="331"/>
      <c r="K35" s="331"/>
      <c r="L35" s="331"/>
      <c r="M35" s="332"/>
      <c r="N35" s="98" t="s">
        <v>29</v>
      </c>
      <c r="O35" s="346">
        <f>SUM(O34:T34)</f>
        <v>365326</v>
      </c>
      <c r="P35" s="347"/>
      <c r="Q35" s="347"/>
      <c r="R35" s="347"/>
      <c r="S35" s="347"/>
      <c r="T35" s="348"/>
    </row>
    <row r="36" spans="1:20" ht="15" thickBot="1" x14ac:dyDescent="0.35">
      <c r="A36" s="322"/>
    </row>
    <row r="37" spans="1:20" ht="14.7" customHeight="1" thickBot="1" x14ac:dyDescent="0.35">
      <c r="A37" s="322"/>
      <c r="B37" s="349" t="s">
        <v>25</v>
      </c>
      <c r="C37" s="350"/>
      <c r="D37" s="350"/>
      <c r="E37" s="350"/>
      <c r="F37" s="350"/>
      <c r="G37" s="350"/>
      <c r="H37" s="350"/>
      <c r="I37" s="350"/>
      <c r="J37" s="350"/>
      <c r="K37" s="350"/>
      <c r="L37" s="350"/>
      <c r="M37" s="350"/>
      <c r="N37" s="351"/>
      <c r="O37" s="340" t="s">
        <v>26</v>
      </c>
      <c r="P37" s="342"/>
      <c r="Q37" s="127" t="s">
        <v>27</v>
      </c>
      <c r="R37" s="128"/>
      <c r="S37" s="129"/>
      <c r="T37" s="129"/>
    </row>
    <row r="38" spans="1:20" ht="15" customHeight="1" x14ac:dyDescent="0.3">
      <c r="A38" s="322"/>
      <c r="B38" s="352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54"/>
      <c r="O38" s="358" t="s">
        <v>69</v>
      </c>
      <c r="P38" s="359"/>
      <c r="Q38" s="130">
        <v>30000</v>
      </c>
      <c r="R38" s="131"/>
      <c r="S38" s="132"/>
      <c r="T38" s="132"/>
    </row>
    <row r="39" spans="1:20" ht="15" customHeight="1" x14ac:dyDescent="0.3">
      <c r="A39" s="322"/>
      <c r="B39" s="352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54"/>
      <c r="O39" s="360" t="s">
        <v>114</v>
      </c>
      <c r="P39" s="361"/>
      <c r="Q39" s="133">
        <v>30000</v>
      </c>
      <c r="R39" s="131"/>
      <c r="S39" s="132"/>
      <c r="T39" s="132"/>
    </row>
    <row r="40" spans="1:20" ht="15" customHeight="1" x14ac:dyDescent="0.3">
      <c r="A40" s="322"/>
      <c r="B40" s="352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54"/>
      <c r="O40" s="360" t="s">
        <v>91</v>
      </c>
      <c r="P40" s="361"/>
      <c r="Q40" s="133">
        <v>30000</v>
      </c>
      <c r="R40" s="131"/>
      <c r="S40" s="132"/>
      <c r="T40" s="132"/>
    </row>
    <row r="41" spans="1:20" ht="15" customHeight="1" x14ac:dyDescent="0.3">
      <c r="A41" s="322"/>
      <c r="B41" s="352"/>
      <c r="C41" s="353"/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4"/>
      <c r="O41" s="360" t="s">
        <v>92</v>
      </c>
      <c r="P41" s="361"/>
      <c r="Q41" s="133">
        <v>30000</v>
      </c>
      <c r="R41" s="131"/>
      <c r="S41" s="132"/>
      <c r="T41" s="132"/>
    </row>
    <row r="42" spans="1:20" ht="15" customHeight="1" x14ac:dyDescent="0.3">
      <c r="A42" s="322"/>
      <c r="B42" s="352"/>
      <c r="C42" s="353"/>
      <c r="D42" s="353"/>
      <c r="E42" s="353"/>
      <c r="F42" s="353"/>
      <c r="G42" s="353"/>
      <c r="H42" s="353"/>
      <c r="I42" s="353"/>
      <c r="J42" s="353"/>
      <c r="K42" s="353"/>
      <c r="L42" s="353"/>
      <c r="M42" s="353"/>
      <c r="N42" s="354"/>
      <c r="O42" s="360" t="s">
        <v>90</v>
      </c>
      <c r="P42" s="361"/>
      <c r="Q42" s="133">
        <v>30000</v>
      </c>
      <c r="R42" s="131"/>
      <c r="S42" s="132"/>
      <c r="T42" s="132"/>
    </row>
    <row r="43" spans="1:20" ht="15" customHeight="1" x14ac:dyDescent="0.3">
      <c r="A43" s="322"/>
      <c r="B43" s="352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4"/>
      <c r="O43" s="360"/>
      <c r="P43" s="361"/>
      <c r="Q43" s="133"/>
      <c r="R43" s="131"/>
      <c r="S43" s="132"/>
      <c r="T43" s="132"/>
    </row>
    <row r="44" spans="1:20" ht="15" customHeight="1" thickBot="1" x14ac:dyDescent="0.35">
      <c r="A44" s="322"/>
      <c r="B44" s="352"/>
      <c r="C44" s="353"/>
      <c r="D44" s="353"/>
      <c r="E44" s="353"/>
      <c r="F44" s="353"/>
      <c r="G44" s="353"/>
      <c r="H44" s="353"/>
      <c r="I44" s="353"/>
      <c r="J44" s="353"/>
      <c r="K44" s="353"/>
      <c r="L44" s="353"/>
      <c r="M44" s="353"/>
      <c r="N44" s="354"/>
      <c r="O44" s="336"/>
      <c r="P44" s="337"/>
      <c r="Q44" s="133"/>
      <c r="R44" s="131"/>
      <c r="S44" s="132"/>
      <c r="T44" s="132"/>
    </row>
    <row r="45" spans="1:20" ht="15.75" customHeight="1" thickBot="1" x14ac:dyDescent="0.35">
      <c r="A45" s="322"/>
      <c r="B45" s="355"/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7"/>
      <c r="O45" s="338" t="s">
        <v>16</v>
      </c>
      <c r="P45" s="339"/>
      <c r="Q45" s="134">
        <f>SUM(Q38:Q44)</f>
        <v>150000</v>
      </c>
      <c r="R45" s="135"/>
      <c r="S45" s="132"/>
      <c r="T45" s="132"/>
    </row>
    <row r="46" spans="1:20" ht="15" thickBot="1" x14ac:dyDescent="0.35">
      <c r="A46" s="322"/>
    </row>
    <row r="47" spans="1:20" ht="51.75" customHeight="1" thickBot="1" x14ac:dyDescent="0.35">
      <c r="A47" s="323"/>
      <c r="B47" s="340" t="s">
        <v>18</v>
      </c>
      <c r="C47" s="341"/>
      <c r="D47" s="341"/>
      <c r="E47" s="341"/>
      <c r="F47" s="341"/>
      <c r="G47" s="341"/>
      <c r="H47" s="341"/>
      <c r="I47" s="341"/>
      <c r="J47" s="341"/>
      <c r="K47" s="341"/>
      <c r="L47" s="342"/>
      <c r="M47" s="98"/>
      <c r="N47" s="136" t="s">
        <v>16</v>
      </c>
      <c r="O47" s="343">
        <f>O35-SUM(Q38:Q44)</f>
        <v>215326</v>
      </c>
      <c r="P47" s="344"/>
      <c r="Q47" s="344"/>
      <c r="R47" s="344"/>
      <c r="S47" s="344"/>
      <c r="T47" s="345"/>
    </row>
    <row r="48" spans="1:20" ht="15.75" customHeight="1" x14ac:dyDescent="0.3">
      <c r="A48" s="137"/>
      <c r="P48" s="138"/>
      <c r="Q48" s="138"/>
      <c r="R48" s="138"/>
      <c r="T48" s="139"/>
    </row>
    <row r="49" spans="1:20" ht="15" customHeight="1" x14ac:dyDescent="0.3">
      <c r="A49" s="137"/>
      <c r="P49" s="138"/>
      <c r="Q49" s="138"/>
      <c r="R49" s="138"/>
      <c r="T49" s="140"/>
    </row>
    <row r="50" spans="1:20" ht="15" customHeight="1" x14ac:dyDescent="0.3">
      <c r="P50" s="138"/>
      <c r="Q50" s="138"/>
      <c r="R50" s="138"/>
      <c r="T50" s="140"/>
    </row>
    <row r="51" spans="1:20" ht="15" customHeight="1" x14ac:dyDescent="0.3">
      <c r="P51" s="138"/>
      <c r="Q51" s="138"/>
      <c r="R51" s="138"/>
      <c r="T51" s="140"/>
    </row>
    <row r="52" spans="1:20" ht="15" customHeight="1" x14ac:dyDescent="0.3">
      <c r="P52" s="138"/>
      <c r="Q52" s="138"/>
      <c r="R52" s="138"/>
      <c r="T52" s="140"/>
    </row>
    <row r="53" spans="1:20" ht="15" customHeight="1" x14ac:dyDescent="0.3">
      <c r="P53" s="138"/>
      <c r="Q53" s="138"/>
      <c r="R53" s="138"/>
      <c r="T53" s="140"/>
    </row>
    <row r="54" spans="1:20" ht="15" customHeight="1" x14ac:dyDescent="0.3">
      <c r="P54" s="138"/>
      <c r="Q54" s="138"/>
      <c r="R54" s="138"/>
      <c r="T54" s="140"/>
    </row>
    <row r="55" spans="1:20" ht="15" customHeight="1" x14ac:dyDescent="0.3">
      <c r="P55" s="138"/>
      <c r="Q55" s="138"/>
      <c r="R55" s="138"/>
      <c r="T55" s="140"/>
    </row>
    <row r="56" spans="1:20" ht="15.75" customHeight="1" x14ac:dyDescent="0.3">
      <c r="P56" s="138"/>
      <c r="Q56" s="138"/>
      <c r="R56" s="138"/>
      <c r="T56" s="140"/>
    </row>
  </sheetData>
  <mergeCells count="24">
    <mergeCell ref="B37:N45"/>
    <mergeCell ref="O37:P37"/>
    <mergeCell ref="O38:P38"/>
    <mergeCell ref="O39:P39"/>
    <mergeCell ref="O40:P40"/>
    <mergeCell ref="O41:P41"/>
    <mergeCell ref="O42:P42"/>
    <mergeCell ref="O43:P43"/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</mergeCells>
  <conditionalFormatting sqref="U5:U18">
    <cfRule type="cellIs" dxfId="222" priority="1" operator="lessThan">
      <formula>20</formula>
    </cfRule>
    <cfRule type="cellIs" dxfId="221" priority="2" operator="between">
      <formula>20</formula>
      <formula>29</formula>
    </cfRule>
    <cfRule type="cellIs" dxfId="22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69"/>
    <col min="2" max="2" width="12.44140625" style="169" customWidth="1"/>
    <col min="3" max="3" width="15.33203125" style="169" customWidth="1"/>
    <col min="4" max="4" width="38" style="169" hidden="1" customWidth="1" outlineLevel="1"/>
    <col min="5" max="5" width="15.109375" style="169" hidden="1" customWidth="1" outlineLevel="1"/>
    <col min="6" max="6" width="16.5546875" style="169" hidden="1" customWidth="1" outlineLevel="1"/>
    <col min="7" max="7" width="14.6640625" style="169" hidden="1" customWidth="1" outlineLevel="1"/>
    <col min="8" max="8" width="10.5546875" style="169" hidden="1" customWidth="1" outlineLevel="1"/>
    <col min="9" max="9" width="18.44140625" style="169" hidden="1" customWidth="1" outlineLevel="1"/>
    <col min="10" max="10" width="33.5546875" style="169" hidden="1" customWidth="1" outlineLevel="1"/>
    <col min="11" max="11" width="33.5546875" style="169" customWidth="1" outlineLevel="1"/>
    <col min="12" max="14" width="10.6640625" style="169" customWidth="1"/>
    <col min="15" max="25" width="15.44140625" style="169" customWidth="1"/>
    <col min="26" max="26" width="11.44140625" style="169"/>
    <col min="27" max="27" width="71.44140625" style="170" customWidth="1"/>
    <col min="28" max="16384" width="11.44140625" style="169"/>
  </cols>
  <sheetData>
    <row r="1" spans="1:27" ht="15" thickBot="1" x14ac:dyDescent="0.35"/>
    <row r="2" spans="1:27" ht="29.7" customHeight="1" thickBot="1" x14ac:dyDescent="0.35">
      <c r="B2" s="380" t="s">
        <v>38</v>
      </c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2"/>
      <c r="O2" s="383" t="s">
        <v>11</v>
      </c>
      <c r="P2" s="384"/>
      <c r="Q2" s="384"/>
      <c r="R2" s="384"/>
      <c r="S2" s="384"/>
      <c r="T2" s="384"/>
      <c r="U2" s="384"/>
      <c r="V2" s="384"/>
      <c r="W2" s="384"/>
      <c r="X2" s="384"/>
      <c r="Y2" s="385"/>
    </row>
    <row r="3" spans="1:27" s="171" customFormat="1" ht="15" thickBot="1" x14ac:dyDescent="0.35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103</v>
      </c>
      <c r="T3" s="173" t="s">
        <v>33</v>
      </c>
      <c r="U3" s="173" t="s">
        <v>21</v>
      </c>
      <c r="V3" s="174" t="s">
        <v>127</v>
      </c>
      <c r="W3" s="174" t="s">
        <v>128</v>
      </c>
      <c r="X3" s="174" t="s">
        <v>129</v>
      </c>
      <c r="Y3" s="174" t="s">
        <v>130</v>
      </c>
      <c r="AA3" s="170"/>
    </row>
    <row r="4" spans="1:27" s="175" customFormat="1" ht="15" thickBot="1" x14ac:dyDescent="0.35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105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103</v>
      </c>
      <c r="T4" s="177" t="s">
        <v>33</v>
      </c>
      <c r="U4" s="177" t="s">
        <v>21</v>
      </c>
      <c r="V4" s="177" t="s">
        <v>127</v>
      </c>
      <c r="W4" s="177" t="s">
        <v>128</v>
      </c>
      <c r="X4" s="177" t="s">
        <v>129</v>
      </c>
      <c r="Y4" s="177" t="s">
        <v>130</v>
      </c>
      <c r="Z4" s="177" t="s">
        <v>16</v>
      </c>
      <c r="AA4" s="178" t="s">
        <v>36</v>
      </c>
    </row>
    <row r="5" spans="1:27" ht="14.7" customHeight="1" outlineLevel="1" x14ac:dyDescent="0.3">
      <c r="A5" s="386" t="s">
        <v>39</v>
      </c>
      <c r="B5" s="179" t="s">
        <v>141</v>
      </c>
      <c r="C5" s="180" t="s">
        <v>139</v>
      </c>
      <c r="D5" s="180" t="s">
        <v>140</v>
      </c>
      <c r="E5" s="180" t="s">
        <v>40</v>
      </c>
      <c r="F5" s="180" t="s">
        <v>64</v>
      </c>
      <c r="G5" s="180" t="s">
        <v>124</v>
      </c>
      <c r="H5" s="180" t="s">
        <v>41</v>
      </c>
      <c r="I5" s="181">
        <v>56982328251</v>
      </c>
      <c r="J5" s="182" t="s">
        <v>142</v>
      </c>
      <c r="K5" s="182" t="s">
        <v>70</v>
      </c>
      <c r="L5" s="183" t="s">
        <v>126</v>
      </c>
      <c r="M5" s="183" t="s">
        <v>115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3">
      <c r="A6" s="387"/>
      <c r="B6" s="185" t="s">
        <v>71</v>
      </c>
      <c r="C6" s="186" t="s">
        <v>76</v>
      </c>
      <c r="D6" s="186" t="s">
        <v>77</v>
      </c>
      <c r="E6" s="186" t="s">
        <v>40</v>
      </c>
      <c r="F6" s="186" t="s">
        <v>64</v>
      </c>
      <c r="G6" s="186" t="s">
        <v>48</v>
      </c>
      <c r="H6" s="186" t="s">
        <v>41</v>
      </c>
      <c r="I6" s="187">
        <v>56967898535</v>
      </c>
      <c r="J6" s="188" t="s">
        <v>78</v>
      </c>
      <c r="K6" s="188" t="s">
        <v>70</v>
      </c>
      <c r="L6" s="189" t="s">
        <v>126</v>
      </c>
      <c r="M6" s="189" t="s">
        <v>115</v>
      </c>
      <c r="N6" s="186">
        <f>SUMPRODUCT(Tabla5234[[#This Row],[Naranjas]:[Almendras]],O$36:Y$36)</f>
        <v>33000</v>
      </c>
      <c r="O6" s="189">
        <v>1</v>
      </c>
      <c r="P6" s="189">
        <v>0</v>
      </c>
      <c r="Q6" s="189">
        <v>5</v>
      </c>
      <c r="R6" s="189">
        <v>0</v>
      </c>
      <c r="S6" s="189">
        <v>1</v>
      </c>
      <c r="T6" s="189">
        <v>0</v>
      </c>
      <c r="U6" s="189">
        <v>0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7</v>
      </c>
      <c r="AA6" s="190"/>
    </row>
    <row r="7" spans="1:27" outlineLevel="1" x14ac:dyDescent="0.3">
      <c r="A7" s="387"/>
      <c r="B7" s="185" t="s">
        <v>69</v>
      </c>
      <c r="C7" s="186" t="s">
        <v>121</v>
      </c>
      <c r="D7" s="186" t="s">
        <v>122</v>
      </c>
      <c r="E7" s="186" t="s">
        <v>40</v>
      </c>
      <c r="F7" s="186" t="s">
        <v>123</v>
      </c>
      <c r="G7" s="186" t="s">
        <v>124</v>
      </c>
      <c r="H7" s="186" t="s">
        <v>41</v>
      </c>
      <c r="I7" s="187">
        <v>56966477967</v>
      </c>
      <c r="J7" s="188" t="s">
        <v>125</v>
      </c>
      <c r="K7" s="188" t="s">
        <v>70</v>
      </c>
      <c r="L7" s="189" t="s">
        <v>126</v>
      </c>
      <c r="M7" s="189" t="s">
        <v>115</v>
      </c>
      <c r="N7" s="186">
        <f>SUMPRODUCT(Tabla5234[[#This Row],[Naranjas]:[Almendras]],O$36:Y$36)</f>
        <v>38900</v>
      </c>
      <c r="O7" s="189">
        <v>2</v>
      </c>
      <c r="P7" s="189">
        <v>0</v>
      </c>
      <c r="Q7" s="189">
        <v>2</v>
      </c>
      <c r="R7" s="189">
        <v>0</v>
      </c>
      <c r="S7" s="189">
        <v>0</v>
      </c>
      <c r="T7" s="189">
        <v>0</v>
      </c>
      <c r="U7" s="189">
        <v>1</v>
      </c>
      <c r="V7" s="189">
        <v>0</v>
      </c>
      <c r="W7" s="189">
        <v>1</v>
      </c>
      <c r="X7" s="189">
        <v>1</v>
      </c>
      <c r="Y7" s="189">
        <v>0</v>
      </c>
      <c r="Z7" s="189">
        <f>SUM(Tabla5234[[#This Row],[Naranjas]:[Almendras]])</f>
        <v>7</v>
      </c>
      <c r="AA7" s="190"/>
    </row>
    <row r="8" spans="1:27" outlineLevel="1" x14ac:dyDescent="0.3">
      <c r="A8" s="387"/>
      <c r="B8" s="185" t="s">
        <v>158</v>
      </c>
      <c r="C8" s="186" t="s">
        <v>159</v>
      </c>
      <c r="D8" s="186" t="s">
        <v>160</v>
      </c>
      <c r="E8" s="186" t="s">
        <v>46</v>
      </c>
      <c r="F8" s="186" t="s">
        <v>149</v>
      </c>
      <c r="G8" s="186" t="s">
        <v>124</v>
      </c>
      <c r="H8" s="186" t="s">
        <v>41</v>
      </c>
      <c r="I8" s="187">
        <v>56977684576</v>
      </c>
      <c r="J8" s="188" t="s">
        <v>161</v>
      </c>
      <c r="K8" s="188" t="s">
        <v>42</v>
      </c>
      <c r="L8" s="189" t="s">
        <v>126</v>
      </c>
      <c r="M8" s="189" t="s">
        <v>115</v>
      </c>
      <c r="N8" s="186">
        <f>SUMPRODUCT(Tabla5234[[#This Row],[Naranjas]:[Almendras]],O$36:Y$36)</f>
        <v>50100</v>
      </c>
      <c r="O8" s="189">
        <v>0</v>
      </c>
      <c r="P8" s="189">
        <v>0</v>
      </c>
      <c r="Q8" s="189">
        <v>3</v>
      </c>
      <c r="R8" s="189">
        <v>2</v>
      </c>
      <c r="S8" s="189">
        <v>0</v>
      </c>
      <c r="T8" s="189">
        <v>3</v>
      </c>
      <c r="U8" s="189">
        <v>1</v>
      </c>
      <c r="V8" s="189">
        <v>0</v>
      </c>
      <c r="W8" s="189">
        <v>0</v>
      </c>
      <c r="X8" s="189">
        <v>0</v>
      </c>
      <c r="Y8" s="189">
        <v>0</v>
      </c>
      <c r="Z8" s="189">
        <f>SUM(Tabla5234[[#This Row],[Naranjas]:[Almendras]])</f>
        <v>9</v>
      </c>
      <c r="AA8" s="190"/>
    </row>
    <row r="9" spans="1:27" outlineLevel="1" x14ac:dyDescent="0.3">
      <c r="A9" s="387"/>
      <c r="B9" s="185" t="s">
        <v>144</v>
      </c>
      <c r="C9" s="186" t="s">
        <v>145</v>
      </c>
      <c r="D9" s="186" t="s">
        <v>146</v>
      </c>
      <c r="E9" s="186" t="s">
        <v>51</v>
      </c>
      <c r="F9" s="186" t="s">
        <v>143</v>
      </c>
      <c r="G9" s="186" t="s">
        <v>48</v>
      </c>
      <c r="H9" s="186" t="s">
        <v>41</v>
      </c>
      <c r="I9" s="187">
        <v>56963061299</v>
      </c>
      <c r="J9" s="188" t="s">
        <v>147</v>
      </c>
      <c r="K9" s="188" t="s">
        <v>42</v>
      </c>
      <c r="L9" s="189" t="s">
        <v>126</v>
      </c>
      <c r="M9" s="189" t="s">
        <v>115</v>
      </c>
      <c r="N9" s="186">
        <f>SUMPRODUCT(Tabla5234[[#This Row],[Naranjas]:[Almendras]],O$36:Y$36)</f>
        <v>19900</v>
      </c>
      <c r="O9" s="189">
        <v>3</v>
      </c>
      <c r="P9" s="189">
        <v>0</v>
      </c>
      <c r="Q9" s="189">
        <v>2</v>
      </c>
      <c r="R9" s="189">
        <v>0</v>
      </c>
      <c r="S9" s="189">
        <v>0</v>
      </c>
      <c r="T9" s="189">
        <v>0</v>
      </c>
      <c r="U9" s="189">
        <v>0</v>
      </c>
      <c r="V9" s="189">
        <v>0</v>
      </c>
      <c r="W9" s="189">
        <v>0</v>
      </c>
      <c r="X9" s="189">
        <v>0</v>
      </c>
      <c r="Y9" s="189">
        <v>0</v>
      </c>
      <c r="Z9" s="189">
        <f>SUM(Tabla5234[[#This Row],[Naranjas]:[Almendras]])</f>
        <v>5</v>
      </c>
      <c r="AA9" s="190"/>
    </row>
    <row r="10" spans="1:27" outlineLevel="1" x14ac:dyDescent="0.3">
      <c r="A10" s="387"/>
      <c r="B10" s="191" t="s">
        <v>72</v>
      </c>
      <c r="C10" s="192" t="s">
        <v>65</v>
      </c>
      <c r="D10" s="186" t="s">
        <v>73</v>
      </c>
      <c r="E10" s="186" t="s">
        <v>51</v>
      </c>
      <c r="F10" s="186" t="s">
        <v>74</v>
      </c>
      <c r="G10" s="186" t="s">
        <v>68</v>
      </c>
      <c r="H10" s="186" t="s">
        <v>41</v>
      </c>
      <c r="I10" s="187">
        <v>56957230044</v>
      </c>
      <c r="J10" s="188" t="s">
        <v>75</v>
      </c>
      <c r="K10" s="188" t="s">
        <v>42</v>
      </c>
      <c r="L10" s="189" t="s">
        <v>126</v>
      </c>
      <c r="M10" s="189" t="s">
        <v>115</v>
      </c>
      <c r="N10" s="186">
        <f>SUMPRODUCT(Tabla5234[[#This Row],[Naranjas]:[Almendras]],O$36:Y$36)</f>
        <v>21400</v>
      </c>
      <c r="O10" s="189">
        <v>0</v>
      </c>
      <c r="P10" s="189">
        <v>0</v>
      </c>
      <c r="Q10" s="189">
        <v>2</v>
      </c>
      <c r="R10" s="189">
        <v>0</v>
      </c>
      <c r="S10" s="189">
        <v>2</v>
      </c>
      <c r="T10" s="189">
        <v>0</v>
      </c>
      <c r="U10" s="189">
        <v>0</v>
      </c>
      <c r="V10" s="189">
        <v>0</v>
      </c>
      <c r="W10" s="189">
        <v>0</v>
      </c>
      <c r="X10" s="189">
        <v>0</v>
      </c>
      <c r="Y10" s="189">
        <v>0</v>
      </c>
      <c r="Z10" s="189">
        <f>SUM(Tabla5234[[#This Row],[Naranjas]:[Almendras]])</f>
        <v>4</v>
      </c>
      <c r="AA10" s="190"/>
    </row>
    <row r="11" spans="1:27" outlineLevel="1" x14ac:dyDescent="0.3">
      <c r="A11" s="387"/>
      <c r="B11" s="185" t="s">
        <v>79</v>
      </c>
      <c r="C11" s="186" t="s">
        <v>67</v>
      </c>
      <c r="D11" s="186" t="s">
        <v>80</v>
      </c>
      <c r="E11" s="186" t="s">
        <v>40</v>
      </c>
      <c r="F11" s="186" t="s">
        <v>64</v>
      </c>
      <c r="G11" s="186" t="s">
        <v>48</v>
      </c>
      <c r="H11" s="186" t="s">
        <v>41</v>
      </c>
      <c r="I11" s="187">
        <v>56986194003</v>
      </c>
      <c r="J11" s="188" t="s">
        <v>81</v>
      </c>
      <c r="K11" s="188" t="s">
        <v>58</v>
      </c>
      <c r="L11" s="189" t="s">
        <v>126</v>
      </c>
      <c r="M11" s="189" t="s">
        <v>115</v>
      </c>
      <c r="N11" s="186">
        <f>SUMPRODUCT(Tabla5234[[#This Row],[Naranjas]:[Almendras]],O$36:Y$36)</f>
        <v>192400</v>
      </c>
      <c r="O11" s="189">
        <v>0</v>
      </c>
      <c r="P11" s="189">
        <v>0</v>
      </c>
      <c r="Q11" s="189">
        <v>27</v>
      </c>
      <c r="R11" s="189">
        <v>0</v>
      </c>
      <c r="S11" s="189">
        <v>0</v>
      </c>
      <c r="T11" s="189">
        <v>0</v>
      </c>
      <c r="U11" s="189">
        <v>0</v>
      </c>
      <c r="V11" s="189">
        <v>2</v>
      </c>
      <c r="W11" s="189">
        <v>4</v>
      </c>
      <c r="X11" s="189">
        <v>0</v>
      </c>
      <c r="Y11" s="189">
        <v>3</v>
      </c>
      <c r="Z11" s="189">
        <f>SUM(Tabla5234[[#This Row],[Naranjas]:[Almendras]])</f>
        <v>36</v>
      </c>
      <c r="AA11" s="190"/>
    </row>
    <row r="12" spans="1:27" outlineLevel="1" x14ac:dyDescent="0.3">
      <c r="A12" s="387"/>
      <c r="B12" s="185" t="s">
        <v>153</v>
      </c>
      <c r="C12" s="186" t="s">
        <v>154</v>
      </c>
      <c r="D12" s="186" t="s">
        <v>155</v>
      </c>
      <c r="E12" s="186" t="s">
        <v>156</v>
      </c>
      <c r="F12" s="186" t="s">
        <v>156</v>
      </c>
      <c r="G12" s="186" t="s">
        <v>148</v>
      </c>
      <c r="H12" s="186" t="s">
        <v>41</v>
      </c>
      <c r="I12" s="187">
        <v>56965951459</v>
      </c>
      <c r="J12" s="188" t="s">
        <v>157</v>
      </c>
      <c r="K12" s="188" t="s">
        <v>58</v>
      </c>
      <c r="L12" s="189" t="s">
        <v>126</v>
      </c>
      <c r="M12" s="189" t="s">
        <v>115</v>
      </c>
      <c r="N12" s="186">
        <f>SUMPRODUCT(Tabla5234[[#This Row],[Naranjas]:[Almendras]],O$36:Y$36)</f>
        <v>64300</v>
      </c>
      <c r="O12" s="189">
        <v>4</v>
      </c>
      <c r="P12" s="189">
        <v>0</v>
      </c>
      <c r="Q12" s="189">
        <v>4</v>
      </c>
      <c r="R12" s="189">
        <v>3</v>
      </c>
      <c r="S12" s="189">
        <v>1</v>
      </c>
      <c r="T12" s="189">
        <v>0</v>
      </c>
      <c r="U12" s="189">
        <v>0</v>
      </c>
      <c r="V12" s="189">
        <v>0</v>
      </c>
      <c r="W12" s="189">
        <v>0</v>
      </c>
      <c r="X12" s="189">
        <v>0</v>
      </c>
      <c r="Y12" s="189">
        <v>0</v>
      </c>
      <c r="Z12" s="189">
        <f>SUM(Tabla5234[[#This Row],[Naranjas]:[Almendras]])</f>
        <v>12</v>
      </c>
      <c r="AA12" s="190"/>
    </row>
    <row r="13" spans="1:27" outlineLevel="1" x14ac:dyDescent="0.3">
      <c r="A13" s="387"/>
      <c r="B13" s="185" t="s">
        <v>132</v>
      </c>
      <c r="C13" s="186" t="s">
        <v>133</v>
      </c>
      <c r="D13" s="186" t="s">
        <v>134</v>
      </c>
      <c r="E13" s="186" t="s">
        <v>51</v>
      </c>
      <c r="F13" s="186" t="s">
        <v>84</v>
      </c>
      <c r="G13" s="186" t="s">
        <v>68</v>
      </c>
      <c r="H13" s="186" t="s">
        <v>41</v>
      </c>
      <c r="I13" s="187">
        <v>56955324629</v>
      </c>
      <c r="J13" s="188" t="s">
        <v>135</v>
      </c>
      <c r="K13" s="188" t="s">
        <v>58</v>
      </c>
      <c r="L13" s="189" t="s">
        <v>126</v>
      </c>
      <c r="M13" s="189" t="s">
        <v>115</v>
      </c>
      <c r="N13" s="186">
        <f>SUMPRODUCT(Tabla5234[[#This Row],[Naranjas]:[Almendras]],O$36:Y$36)</f>
        <v>31100</v>
      </c>
      <c r="O13" s="189">
        <v>0</v>
      </c>
      <c r="P13" s="189">
        <v>0</v>
      </c>
      <c r="Q13" s="189">
        <v>3</v>
      </c>
      <c r="R13" s="189">
        <v>1</v>
      </c>
      <c r="S13" s="189">
        <v>0</v>
      </c>
      <c r="T13" s="189">
        <v>0</v>
      </c>
      <c r="U13" s="189">
        <v>0</v>
      </c>
      <c r="V13" s="189">
        <v>0</v>
      </c>
      <c r="W13" s="189">
        <v>1</v>
      </c>
      <c r="X13" s="189">
        <v>0</v>
      </c>
      <c r="Y13" s="189">
        <v>0</v>
      </c>
      <c r="Z13" s="189">
        <f>SUM(Tabla5234[[#This Row],[Naranjas]:[Almendras]])</f>
        <v>5</v>
      </c>
      <c r="AA13" s="190"/>
    </row>
    <row r="14" spans="1:27" outlineLevel="1" x14ac:dyDescent="0.3">
      <c r="A14" s="387"/>
      <c r="B14" s="185" t="s">
        <v>52</v>
      </c>
      <c r="C14" s="186" t="s">
        <v>53</v>
      </c>
      <c r="D14" s="186" t="s">
        <v>54</v>
      </c>
      <c r="E14" s="186" t="s">
        <v>46</v>
      </c>
      <c r="F14" s="186" t="s">
        <v>55</v>
      </c>
      <c r="G14" s="186" t="s">
        <v>56</v>
      </c>
      <c r="H14" s="186" t="s">
        <v>41</v>
      </c>
      <c r="I14" s="187">
        <v>56956481962</v>
      </c>
      <c r="J14" s="188" t="s">
        <v>57</v>
      </c>
      <c r="K14" s="188" t="s">
        <v>58</v>
      </c>
      <c r="L14" s="189" t="s">
        <v>126</v>
      </c>
      <c r="M14" s="189" t="s">
        <v>115</v>
      </c>
      <c r="N14" s="186">
        <f>SUMPRODUCT(Tabla5234[[#This Row],[Naranjas]:[Almendras]],O$36:Y$36)</f>
        <v>26200</v>
      </c>
      <c r="O14" s="189">
        <v>0</v>
      </c>
      <c r="P14" s="189">
        <v>0</v>
      </c>
      <c r="Q14" s="189">
        <v>1</v>
      </c>
      <c r="R14" s="189">
        <v>0</v>
      </c>
      <c r="S14" s="189">
        <v>0</v>
      </c>
      <c r="T14" s="189">
        <v>0</v>
      </c>
      <c r="U14" s="189">
        <v>0</v>
      </c>
      <c r="V14" s="189">
        <v>1</v>
      </c>
      <c r="W14" s="189">
        <v>1</v>
      </c>
      <c r="X14" s="189">
        <v>1</v>
      </c>
      <c r="Y14" s="189">
        <v>0</v>
      </c>
      <c r="Z14" s="189">
        <f>SUM(Tabla5234[[#This Row],[Naranjas]:[Almendras]])</f>
        <v>4</v>
      </c>
      <c r="AA14" s="190"/>
    </row>
    <row r="15" spans="1:27" outlineLevel="1" x14ac:dyDescent="0.3">
      <c r="A15" s="387"/>
      <c r="B15" s="185" t="s">
        <v>79</v>
      </c>
      <c r="C15" s="186" t="s">
        <v>106</v>
      </c>
      <c r="D15" s="186" t="s">
        <v>107</v>
      </c>
      <c r="E15" s="186" t="s">
        <v>40</v>
      </c>
      <c r="F15" s="186" t="s">
        <v>64</v>
      </c>
      <c r="G15" s="186" t="s">
        <v>68</v>
      </c>
      <c r="H15" s="186" t="s">
        <v>41</v>
      </c>
      <c r="I15" s="187">
        <v>56975684552</v>
      </c>
      <c r="J15" s="188" t="s">
        <v>108</v>
      </c>
      <c r="K15" s="188" t="s">
        <v>70</v>
      </c>
      <c r="L15" s="189" t="s">
        <v>126</v>
      </c>
      <c r="M15" s="163" t="s">
        <v>126</v>
      </c>
      <c r="N15" s="186">
        <f>SUMPRODUCT(Tabla5234[[#This Row],[Naranjas]:[Almendras]],O$36:Y$36)</f>
        <v>22700</v>
      </c>
      <c r="O15" s="189">
        <v>0</v>
      </c>
      <c r="P15" s="189">
        <v>0</v>
      </c>
      <c r="Q15" s="189">
        <v>1</v>
      </c>
      <c r="R15" s="189">
        <v>0</v>
      </c>
      <c r="S15" s="189">
        <v>3</v>
      </c>
      <c r="T15" s="189">
        <v>0</v>
      </c>
      <c r="U15" s="189">
        <v>0</v>
      </c>
      <c r="V15" s="189">
        <v>0</v>
      </c>
      <c r="W15" s="189">
        <v>0</v>
      </c>
      <c r="X15" s="189">
        <v>0</v>
      </c>
      <c r="Y15" s="189">
        <v>0</v>
      </c>
      <c r="Z15" s="189">
        <f>SUM(Tabla5234[[#This Row],[Naranjas]:[Almendras]])</f>
        <v>4</v>
      </c>
      <c r="AA15" s="190"/>
    </row>
    <row r="16" spans="1:27" outlineLevel="1" x14ac:dyDescent="0.3">
      <c r="A16" s="387"/>
      <c r="B16" s="185" t="s">
        <v>99</v>
      </c>
      <c r="C16" s="186" t="s">
        <v>100</v>
      </c>
      <c r="D16" s="186" t="s">
        <v>101</v>
      </c>
      <c r="E16" s="186" t="s">
        <v>51</v>
      </c>
      <c r="F16" s="186" t="s">
        <v>47</v>
      </c>
      <c r="G16" s="186" t="s">
        <v>68</v>
      </c>
      <c r="H16" s="186" t="s">
        <v>41</v>
      </c>
      <c r="I16" s="187">
        <v>56967289638</v>
      </c>
      <c r="J16" s="188" t="s">
        <v>102</v>
      </c>
      <c r="K16" s="188" t="s">
        <v>70</v>
      </c>
      <c r="L16" s="189" t="s">
        <v>126</v>
      </c>
      <c r="M16" s="189" t="s">
        <v>126</v>
      </c>
      <c r="N16" s="186">
        <f>SUMPRODUCT(Tabla5234[[#This Row],[Naranjas]:[Almendras]],O$36:Y$36)</f>
        <v>39100</v>
      </c>
      <c r="O16" s="189">
        <v>3</v>
      </c>
      <c r="P16" s="189">
        <v>0</v>
      </c>
      <c r="Q16" s="189">
        <v>3</v>
      </c>
      <c r="R16" s="189">
        <v>1</v>
      </c>
      <c r="S16" s="189">
        <v>1</v>
      </c>
      <c r="T16" s="189">
        <v>0</v>
      </c>
      <c r="U16" s="189">
        <v>0</v>
      </c>
      <c r="V16" s="189">
        <v>0</v>
      </c>
      <c r="W16" s="189">
        <v>0</v>
      </c>
      <c r="X16" s="189">
        <v>0</v>
      </c>
      <c r="Y16" s="189">
        <v>0</v>
      </c>
      <c r="Z16" s="189">
        <f>SUM(Tabla5234[[#This Row],[Naranjas]:[Almendras]])</f>
        <v>8</v>
      </c>
      <c r="AA16" s="190"/>
    </row>
    <row r="17" spans="1:27" outlineLevel="1" x14ac:dyDescent="0.3">
      <c r="A17" s="387"/>
      <c r="B17" s="185" t="s">
        <v>162</v>
      </c>
      <c r="C17" s="186" t="s">
        <v>163</v>
      </c>
      <c r="D17" s="186" t="s">
        <v>164</v>
      </c>
      <c r="E17" s="186" t="s">
        <v>40</v>
      </c>
      <c r="F17" s="186" t="s">
        <v>123</v>
      </c>
      <c r="G17" s="186" t="s">
        <v>165</v>
      </c>
      <c r="H17" s="186" t="s">
        <v>41</v>
      </c>
      <c r="I17" s="187">
        <v>56998246537</v>
      </c>
      <c r="J17" s="188" t="s">
        <v>166</v>
      </c>
      <c r="K17" s="188" t="s">
        <v>42</v>
      </c>
      <c r="L17" s="189" t="s">
        <v>126</v>
      </c>
      <c r="M17" s="163" t="s">
        <v>126</v>
      </c>
      <c r="N17" s="186">
        <f>SUMPRODUCT(Tabla5234[[#This Row],[Naranjas]:[Almendras]],O$36:Y$36)</f>
        <v>26400</v>
      </c>
      <c r="O17" s="189">
        <v>0</v>
      </c>
      <c r="P17" s="189">
        <v>0</v>
      </c>
      <c r="Q17" s="189">
        <v>2</v>
      </c>
      <c r="R17" s="189">
        <v>0</v>
      </c>
      <c r="S17" s="189">
        <v>0</v>
      </c>
      <c r="T17" s="189">
        <v>0</v>
      </c>
      <c r="U17" s="189">
        <v>0</v>
      </c>
      <c r="V17" s="189">
        <v>0</v>
      </c>
      <c r="W17" s="189">
        <v>1</v>
      </c>
      <c r="X17" s="189">
        <v>1</v>
      </c>
      <c r="Y17" s="189">
        <v>0</v>
      </c>
      <c r="Z17" s="189">
        <f>SUM(Tabla5234[[#This Row],[Naranjas]:[Almendras]])</f>
        <v>4</v>
      </c>
      <c r="AA17" s="190"/>
    </row>
    <row r="18" spans="1:27" outlineLevel="1" x14ac:dyDescent="0.3">
      <c r="A18" s="387"/>
      <c r="B18" s="185" t="s">
        <v>82</v>
      </c>
      <c r="C18" s="186" t="s">
        <v>83</v>
      </c>
      <c r="D18" s="186" t="s">
        <v>104</v>
      </c>
      <c r="E18" s="186" t="s">
        <v>51</v>
      </c>
      <c r="F18" s="186" t="s">
        <v>84</v>
      </c>
      <c r="G18" s="186" t="s">
        <v>48</v>
      </c>
      <c r="H18" s="186" t="s">
        <v>41</v>
      </c>
      <c r="I18" s="187">
        <v>56979878976</v>
      </c>
      <c r="J18" s="188" t="s">
        <v>85</v>
      </c>
      <c r="K18" s="188" t="s">
        <v>42</v>
      </c>
      <c r="L18" s="189" t="s">
        <v>126</v>
      </c>
      <c r="M18" s="163" t="s">
        <v>126</v>
      </c>
      <c r="N18" s="186">
        <f>SUMPRODUCT(Tabla5234[[#This Row],[Naranjas]:[Almendras]],O$36:Y$36)</f>
        <v>68100</v>
      </c>
      <c r="O18" s="189">
        <v>3</v>
      </c>
      <c r="P18" s="189">
        <v>0</v>
      </c>
      <c r="Q18" s="189">
        <v>3</v>
      </c>
      <c r="R18" s="189">
        <v>1</v>
      </c>
      <c r="S18" s="189">
        <v>1</v>
      </c>
      <c r="T18" s="189">
        <v>0</v>
      </c>
      <c r="U18" s="189">
        <v>0</v>
      </c>
      <c r="V18" s="189">
        <v>1</v>
      </c>
      <c r="W18" s="189">
        <v>1</v>
      </c>
      <c r="X18" s="189">
        <v>1</v>
      </c>
      <c r="Y18" s="189">
        <v>1</v>
      </c>
      <c r="Z18" s="189">
        <f>SUM(Tabla5234[[#This Row],[Naranjas]:[Almendras]])</f>
        <v>12</v>
      </c>
      <c r="AA18" s="190"/>
    </row>
    <row r="19" spans="1:27" outlineLevel="1" x14ac:dyDescent="0.3">
      <c r="A19" s="387"/>
      <c r="B19" s="191" t="s">
        <v>170</v>
      </c>
      <c r="C19" s="192" t="s">
        <v>171</v>
      </c>
      <c r="D19" s="186">
        <v>0</v>
      </c>
      <c r="E19" s="186">
        <v>0</v>
      </c>
      <c r="F19" s="186">
        <v>0</v>
      </c>
      <c r="G19" s="186" t="s">
        <v>48</v>
      </c>
      <c r="H19" s="186" t="s">
        <v>41</v>
      </c>
      <c r="I19" s="187">
        <v>56977051605</v>
      </c>
      <c r="J19" s="188" t="s">
        <v>172</v>
      </c>
      <c r="K19" s="188" t="s">
        <v>42</v>
      </c>
      <c r="L19" s="189" t="s">
        <v>126</v>
      </c>
      <c r="M19" s="163" t="s">
        <v>126</v>
      </c>
      <c r="N19" s="193">
        <f>SUMPRODUCT(Tabla5234[[#This Row],[Naranjas]:[Almendras]],O$36:Y$36)</f>
        <v>51400</v>
      </c>
      <c r="O19" s="189">
        <v>2</v>
      </c>
      <c r="P19" s="189">
        <v>0</v>
      </c>
      <c r="Q19" s="189">
        <v>2</v>
      </c>
      <c r="R19" s="189">
        <v>0</v>
      </c>
      <c r="S19" s="189">
        <v>1</v>
      </c>
      <c r="T19" s="189">
        <v>0</v>
      </c>
      <c r="U19" s="189">
        <v>0</v>
      </c>
      <c r="V19" s="189">
        <v>1</v>
      </c>
      <c r="W19" s="189">
        <v>1</v>
      </c>
      <c r="X19" s="189">
        <v>1</v>
      </c>
      <c r="Y19" s="189">
        <v>1</v>
      </c>
      <c r="Z19" s="189">
        <f>SUM(Tabla5234[[#This Row],[Naranjas]:[Almendras]])</f>
        <v>9</v>
      </c>
      <c r="AA19" s="190"/>
    </row>
    <row r="20" spans="1:27" outlineLevel="1" x14ac:dyDescent="0.3">
      <c r="A20" s="387"/>
      <c r="B20" s="185" t="s">
        <v>136</v>
      </c>
      <c r="C20" s="186" t="s">
        <v>179</v>
      </c>
      <c r="D20" s="186" t="s">
        <v>137</v>
      </c>
      <c r="E20" s="186" t="s">
        <v>40</v>
      </c>
      <c r="F20" s="186" t="s">
        <v>64</v>
      </c>
      <c r="G20" s="186" t="s">
        <v>48</v>
      </c>
      <c r="H20" s="186" t="s">
        <v>41</v>
      </c>
      <c r="I20" s="187">
        <v>56963033603</v>
      </c>
      <c r="J20" s="188" t="s">
        <v>138</v>
      </c>
      <c r="K20" s="188" t="s">
        <v>42</v>
      </c>
      <c r="L20" s="189" t="s">
        <v>126</v>
      </c>
      <c r="M20" s="189" t="s">
        <v>126</v>
      </c>
      <c r="N20" s="186">
        <f>SUMPRODUCT(Tabla5234[[#This Row],[Naranjas]:[Almendras]],O$36:Y$36)</f>
        <v>35600</v>
      </c>
      <c r="O20" s="189">
        <v>2</v>
      </c>
      <c r="P20" s="189">
        <v>0</v>
      </c>
      <c r="Q20" s="189">
        <v>3</v>
      </c>
      <c r="R20" s="189">
        <v>1</v>
      </c>
      <c r="S20" s="189">
        <v>1</v>
      </c>
      <c r="T20" s="189">
        <v>0</v>
      </c>
      <c r="U20" s="189">
        <v>0</v>
      </c>
      <c r="V20" s="189">
        <v>0</v>
      </c>
      <c r="W20" s="189">
        <v>0</v>
      </c>
      <c r="X20" s="189">
        <v>0</v>
      </c>
      <c r="Y20" s="189">
        <v>0</v>
      </c>
      <c r="Z20" s="189">
        <f>SUM(Tabla5234[[#This Row],[Naranjas]:[Almendras]])</f>
        <v>7</v>
      </c>
      <c r="AA20" s="190"/>
    </row>
    <row r="21" spans="1:27" outlineLevel="1" x14ac:dyDescent="0.3">
      <c r="A21" s="387"/>
      <c r="B21" s="185" t="s">
        <v>43</v>
      </c>
      <c r="C21" s="186" t="s">
        <v>44</v>
      </c>
      <c r="D21" s="186" t="s">
        <v>45</v>
      </c>
      <c r="E21" s="186" t="s">
        <v>46</v>
      </c>
      <c r="F21" s="186" t="s">
        <v>47</v>
      </c>
      <c r="G21" s="186" t="s">
        <v>48</v>
      </c>
      <c r="H21" s="186" t="s">
        <v>41</v>
      </c>
      <c r="I21" s="187">
        <v>56942723186</v>
      </c>
      <c r="J21" s="188" t="s">
        <v>49</v>
      </c>
      <c r="K21" s="188" t="s">
        <v>42</v>
      </c>
      <c r="L21" s="189" t="s">
        <v>126</v>
      </c>
      <c r="M21" s="189" t="s">
        <v>126</v>
      </c>
      <c r="N21" s="186">
        <f>SUMPRODUCT(Tabla5234[[#This Row],[Naranjas]:[Almendras]],O$36:Y$36)</f>
        <v>8200</v>
      </c>
      <c r="O21" s="189">
        <v>1</v>
      </c>
      <c r="P21" s="189">
        <v>0</v>
      </c>
      <c r="Q21" s="189">
        <v>1</v>
      </c>
      <c r="R21" s="189">
        <v>0</v>
      </c>
      <c r="S21" s="189">
        <v>0</v>
      </c>
      <c r="T21" s="189">
        <v>0</v>
      </c>
      <c r="U21" s="189">
        <v>0</v>
      </c>
      <c r="V21" s="189">
        <v>0</v>
      </c>
      <c r="W21" s="189">
        <v>0</v>
      </c>
      <c r="X21" s="189">
        <v>0</v>
      </c>
      <c r="Y21" s="189">
        <v>0</v>
      </c>
      <c r="Z21" s="189">
        <f>SUM(Tabla5234[[#This Row],[Naranjas]:[Almendras]])</f>
        <v>2</v>
      </c>
      <c r="AA21" s="190"/>
    </row>
    <row r="22" spans="1:27" outlineLevel="1" x14ac:dyDescent="0.3">
      <c r="A22" s="387"/>
      <c r="B22" s="191" t="s">
        <v>59</v>
      </c>
      <c r="C22" s="192" t="s">
        <v>60</v>
      </c>
      <c r="D22" s="186" t="s">
        <v>61</v>
      </c>
      <c r="E22" s="186" t="s">
        <v>51</v>
      </c>
      <c r="F22" s="186" t="s">
        <v>62</v>
      </c>
      <c r="G22" s="186" t="s">
        <v>48</v>
      </c>
      <c r="H22" s="186" t="s">
        <v>41</v>
      </c>
      <c r="I22" s="187">
        <v>56999699652</v>
      </c>
      <c r="J22" s="188" t="s">
        <v>63</v>
      </c>
      <c r="K22" s="188" t="s">
        <v>42</v>
      </c>
      <c r="L22" s="189" t="s">
        <v>126</v>
      </c>
      <c r="M22" s="189" t="s">
        <v>126</v>
      </c>
      <c r="N22" s="186">
        <f>SUMPRODUCT(Tabla5234[[#This Row],[Naranjas]:[Almendras]],O$36:Y$36)</f>
        <v>58100</v>
      </c>
      <c r="O22" s="189">
        <v>3</v>
      </c>
      <c r="P22" s="189">
        <v>0</v>
      </c>
      <c r="Q22" s="189">
        <v>3</v>
      </c>
      <c r="R22" s="189">
        <v>1</v>
      </c>
      <c r="S22" s="189">
        <v>2</v>
      </c>
      <c r="T22" s="189">
        <v>0</v>
      </c>
      <c r="U22" s="189">
        <v>0</v>
      </c>
      <c r="V22" s="189">
        <v>1</v>
      </c>
      <c r="W22" s="189">
        <v>1</v>
      </c>
      <c r="X22" s="189">
        <v>0</v>
      </c>
      <c r="Y22" s="189">
        <v>0</v>
      </c>
      <c r="Z22" s="189">
        <f>SUM(Tabla5234[[#This Row],[Naranjas]:[Almendras]])</f>
        <v>11</v>
      </c>
      <c r="AA22" s="190"/>
    </row>
    <row r="23" spans="1:27" outlineLevel="1" x14ac:dyDescent="0.3">
      <c r="A23" s="387"/>
      <c r="B23" s="191" t="s">
        <v>167</v>
      </c>
      <c r="C23" s="192" t="s">
        <v>65</v>
      </c>
      <c r="D23" s="186" t="s">
        <v>168</v>
      </c>
      <c r="E23" s="186" t="s">
        <v>40</v>
      </c>
      <c r="F23" s="186" t="s">
        <v>64</v>
      </c>
      <c r="G23" s="186" t="s">
        <v>66</v>
      </c>
      <c r="H23" s="186" t="s">
        <v>41</v>
      </c>
      <c r="I23" s="187">
        <v>56966640363</v>
      </c>
      <c r="J23" s="188" t="s">
        <v>169</v>
      </c>
      <c r="K23" s="188" t="s">
        <v>58</v>
      </c>
      <c r="L23" s="189" t="s">
        <v>126</v>
      </c>
      <c r="M23" s="163" t="s">
        <v>126</v>
      </c>
      <c r="N23" s="186">
        <f>SUMPRODUCT(Tabla5234[[#This Row],[Naranjas]:[Almendras]],O$36:Y$36)</f>
        <v>39900</v>
      </c>
      <c r="O23" s="189">
        <v>2</v>
      </c>
      <c r="P23" s="189">
        <v>0</v>
      </c>
      <c r="Q23" s="189">
        <v>2</v>
      </c>
      <c r="R23" s="189">
        <v>0</v>
      </c>
      <c r="S23" s="189">
        <v>1</v>
      </c>
      <c r="T23" s="189">
        <v>1</v>
      </c>
      <c r="U23" s="189">
        <v>1</v>
      </c>
      <c r="V23" s="189">
        <v>0</v>
      </c>
      <c r="W23" s="189">
        <v>0</v>
      </c>
      <c r="X23" s="189">
        <v>0</v>
      </c>
      <c r="Y23" s="189">
        <v>1</v>
      </c>
      <c r="Z23" s="189">
        <f>SUM(Tabla5234[[#This Row],[Naranjas]:[Almendras]])</f>
        <v>8</v>
      </c>
      <c r="AA23" s="190"/>
    </row>
    <row r="24" spans="1:27" outlineLevel="1" x14ac:dyDescent="0.3">
      <c r="A24" s="387"/>
      <c r="B24" s="185" t="s">
        <v>150</v>
      </c>
      <c r="C24" s="186" t="s">
        <v>67</v>
      </c>
      <c r="D24" s="186" t="s">
        <v>151</v>
      </c>
      <c r="E24" s="186" t="s">
        <v>46</v>
      </c>
      <c r="F24" s="186" t="s">
        <v>55</v>
      </c>
      <c r="G24" s="186" t="s">
        <v>148</v>
      </c>
      <c r="H24" s="186" t="s">
        <v>41</v>
      </c>
      <c r="I24" s="187">
        <v>56982978895</v>
      </c>
      <c r="J24" s="188" t="s">
        <v>152</v>
      </c>
      <c r="K24" s="188" t="s">
        <v>58</v>
      </c>
      <c r="L24" s="189" t="s">
        <v>126</v>
      </c>
      <c r="M24" s="189" t="s">
        <v>126</v>
      </c>
      <c r="N24" s="186">
        <f>SUMPRODUCT(Tabla5234[[#This Row],[Naranjas]:[Almendras]],O$36:Y$36)</f>
        <v>65600</v>
      </c>
      <c r="O24" s="189">
        <v>1</v>
      </c>
      <c r="P24" s="189">
        <v>0</v>
      </c>
      <c r="Q24" s="189">
        <v>3</v>
      </c>
      <c r="R24" s="189">
        <v>0</v>
      </c>
      <c r="S24" s="189">
        <v>3</v>
      </c>
      <c r="T24" s="189">
        <v>0</v>
      </c>
      <c r="U24" s="189">
        <v>0</v>
      </c>
      <c r="V24" s="189">
        <v>1</v>
      </c>
      <c r="W24" s="189">
        <v>1</v>
      </c>
      <c r="X24" s="189">
        <v>2</v>
      </c>
      <c r="Y24" s="189">
        <v>0</v>
      </c>
      <c r="Z24" s="189">
        <f>SUM(Tabla5234[[#This Row],[Naranjas]:[Almendras]])</f>
        <v>11</v>
      </c>
      <c r="AA24" s="190"/>
    </row>
    <row r="25" spans="1:27" outlineLevel="1" x14ac:dyDescent="0.3">
      <c r="A25" s="387"/>
      <c r="B25" s="185" t="s">
        <v>86</v>
      </c>
      <c r="C25" s="186" t="s">
        <v>87</v>
      </c>
      <c r="D25" s="186" t="s">
        <v>88</v>
      </c>
      <c r="E25" s="186" t="s">
        <v>40</v>
      </c>
      <c r="F25" s="186" t="s">
        <v>64</v>
      </c>
      <c r="G25" s="186" t="s">
        <v>66</v>
      </c>
      <c r="H25" s="186" t="s">
        <v>41</v>
      </c>
      <c r="I25" s="187">
        <v>56952304675</v>
      </c>
      <c r="J25" s="188" t="s">
        <v>89</v>
      </c>
      <c r="K25" s="188" t="s">
        <v>58</v>
      </c>
      <c r="L25" s="189" t="s">
        <v>126</v>
      </c>
      <c r="M25" s="189" t="s">
        <v>126</v>
      </c>
      <c r="N25" s="186">
        <f>SUMPRODUCT(Tabla5234[[#This Row],[Naranjas]:[Almendras]],O$36:Y$36)</f>
        <v>254800</v>
      </c>
      <c r="O25" s="189">
        <v>11</v>
      </c>
      <c r="P25" s="189">
        <v>0</v>
      </c>
      <c r="Q25" s="189">
        <v>9</v>
      </c>
      <c r="R25" s="189">
        <v>5</v>
      </c>
      <c r="S25" s="189">
        <v>7</v>
      </c>
      <c r="T25" s="189">
        <v>3</v>
      </c>
      <c r="U25" s="189">
        <v>1</v>
      </c>
      <c r="V25" s="189">
        <v>5</v>
      </c>
      <c r="W25" s="189">
        <v>2</v>
      </c>
      <c r="X25" s="189">
        <v>1</v>
      </c>
      <c r="Y25" s="189">
        <v>3</v>
      </c>
      <c r="Z25" s="189">
        <f>SUM(Tabla5234[[#This Row],[Naranjas]:[Almendras]])</f>
        <v>47</v>
      </c>
      <c r="AA25" s="190"/>
    </row>
    <row r="26" spans="1:27" ht="15" outlineLevel="1" thickBot="1" x14ac:dyDescent="0.35">
      <c r="A26" s="388"/>
      <c r="B26" s="419" t="s">
        <v>176</v>
      </c>
      <c r="C26" s="420" t="s">
        <v>177</v>
      </c>
      <c r="D26" s="195" t="s">
        <v>173</v>
      </c>
      <c r="E26" s="195" t="s">
        <v>51</v>
      </c>
      <c r="F26" s="195" t="s">
        <v>131</v>
      </c>
      <c r="G26" s="195" t="s">
        <v>56</v>
      </c>
      <c r="H26" s="195" t="s">
        <v>41</v>
      </c>
      <c r="I26" s="196">
        <v>56997267212</v>
      </c>
      <c r="J26" s="197" t="s">
        <v>174</v>
      </c>
      <c r="K26" s="197" t="s">
        <v>178</v>
      </c>
      <c r="L26" s="198" t="s">
        <v>126</v>
      </c>
      <c r="M26" s="163" t="s">
        <v>126</v>
      </c>
      <c r="N26" s="421">
        <f>SUMPRODUCT(Tabla5234[[#This Row],[Naranjas]:[Almendras]],O$36:Y$36)</f>
        <v>90200</v>
      </c>
      <c r="O26" s="198">
        <v>0</v>
      </c>
      <c r="P26" s="198">
        <v>0</v>
      </c>
      <c r="Q26" s="198">
        <v>11</v>
      </c>
      <c r="R26" s="198">
        <v>1</v>
      </c>
      <c r="S26" s="198">
        <v>5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f>SUM(Tabla5234[[#This Row],[Naranjas]:[Almendras]])</f>
        <v>17</v>
      </c>
      <c r="AA26" s="199"/>
    </row>
    <row r="27" spans="1:27" outlineLevel="1" x14ac:dyDescent="0.3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" thickBot="1" x14ac:dyDescent="0.35"/>
    <row r="29" spans="1:27" ht="14.7" customHeight="1" thickBot="1" x14ac:dyDescent="0.35">
      <c r="A29" s="389" t="s">
        <v>20</v>
      </c>
      <c r="B29" s="392" t="s">
        <v>7</v>
      </c>
      <c r="C29" s="393"/>
      <c r="D29" s="393"/>
      <c r="E29" s="393"/>
      <c r="F29" s="393"/>
      <c r="G29" s="393"/>
      <c r="H29" s="393"/>
      <c r="I29" s="393"/>
      <c r="J29" s="393"/>
      <c r="K29" s="393"/>
      <c r="L29" s="393"/>
      <c r="M29" s="394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SUM(Tabla5234[Mani])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7" customHeight="1" thickBot="1" x14ac:dyDescent="0.35">
      <c r="A30" s="390"/>
      <c r="B30" s="395"/>
      <c r="C30" s="396"/>
      <c r="D30" s="396"/>
      <c r="E30" s="396"/>
      <c r="F30" s="396"/>
      <c r="G30" s="396"/>
      <c r="H30" s="396"/>
      <c r="I30" s="396"/>
      <c r="J30" s="396"/>
      <c r="K30" s="396"/>
      <c r="L30" s="396"/>
      <c r="M30" s="397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7" customHeight="1" thickBot="1" x14ac:dyDescent="0.35">
      <c r="A31" s="390"/>
      <c r="B31" s="395"/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7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" thickBot="1" x14ac:dyDescent="0.35">
      <c r="A32" s="390"/>
      <c r="B32" s="398"/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400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" thickBot="1" x14ac:dyDescent="0.35">
      <c r="A33" s="390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" thickBot="1" x14ac:dyDescent="0.35">
      <c r="A34" s="390"/>
      <c r="B34" s="392" t="s">
        <v>12</v>
      </c>
      <c r="C34" s="393"/>
      <c r="D34" s="393"/>
      <c r="E34" s="393"/>
      <c r="F34" s="393"/>
      <c r="G34" s="393"/>
      <c r="H34" s="393"/>
      <c r="I34" s="393"/>
      <c r="J34" s="393"/>
      <c r="K34" s="393"/>
      <c r="L34" s="393"/>
      <c r="M34" s="394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" thickBot="1" x14ac:dyDescent="0.35">
      <c r="A35" s="390"/>
      <c r="B35" s="395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7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" thickBot="1" x14ac:dyDescent="0.35">
      <c r="A36" s="390"/>
      <c r="B36" s="398"/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400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" thickBot="1" x14ac:dyDescent="0.35">
      <c r="A37" s="390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7" customHeight="1" thickBot="1" x14ac:dyDescent="0.35">
      <c r="A38" s="390"/>
      <c r="B38" s="392" t="s">
        <v>15</v>
      </c>
      <c r="C38" s="393"/>
      <c r="D38" s="393"/>
      <c r="E38" s="393"/>
      <c r="F38" s="393"/>
      <c r="G38" s="393"/>
      <c r="H38" s="393"/>
      <c r="I38" s="393"/>
      <c r="J38" s="393"/>
      <c r="K38" s="393"/>
      <c r="L38" s="393"/>
      <c r="M38" s="394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" thickBot="1" x14ac:dyDescent="0.35">
      <c r="A39" s="390"/>
      <c r="B39" s="398"/>
      <c r="C39" s="399"/>
      <c r="D39" s="399"/>
      <c r="E39" s="399"/>
      <c r="F39" s="399"/>
      <c r="G39" s="399"/>
      <c r="H39" s="399"/>
      <c r="I39" s="399"/>
      <c r="J39" s="399"/>
      <c r="K39" s="399"/>
      <c r="L39" s="399"/>
      <c r="M39" s="400"/>
      <c r="N39" s="209" t="s">
        <v>16</v>
      </c>
      <c r="O39" s="401">
        <f>SUM(O38:Y38)</f>
        <v>889406</v>
      </c>
      <c r="P39" s="402"/>
      <c r="Q39" s="402"/>
      <c r="R39" s="402"/>
      <c r="S39" s="402"/>
      <c r="T39" s="402"/>
      <c r="U39" s="402"/>
      <c r="V39" s="402"/>
      <c r="W39" s="402"/>
      <c r="X39" s="402"/>
      <c r="Y39" s="403"/>
    </row>
    <row r="40" spans="1:25" ht="15" thickBot="1" x14ac:dyDescent="0.35">
      <c r="A40" s="390"/>
      <c r="B40" s="392" t="s">
        <v>17</v>
      </c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4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" thickBot="1" x14ac:dyDescent="0.35">
      <c r="A41" s="390"/>
      <c r="B41" s="398"/>
      <c r="C41" s="399"/>
      <c r="D41" s="399"/>
      <c r="E41" s="399"/>
      <c r="F41" s="399"/>
      <c r="G41" s="399"/>
      <c r="H41" s="399"/>
      <c r="I41" s="399"/>
      <c r="J41" s="399"/>
      <c r="K41" s="399"/>
      <c r="L41" s="399"/>
      <c r="M41" s="400"/>
      <c r="N41" s="209" t="s">
        <v>16</v>
      </c>
      <c r="O41" s="401">
        <f>SUM(O40:Y40)</f>
        <v>1303700</v>
      </c>
      <c r="P41" s="402"/>
      <c r="Q41" s="402"/>
      <c r="R41" s="402"/>
      <c r="S41" s="402"/>
      <c r="T41" s="402"/>
      <c r="U41" s="402"/>
      <c r="V41" s="402"/>
      <c r="W41" s="402"/>
      <c r="X41" s="402"/>
      <c r="Y41" s="403"/>
    </row>
    <row r="42" spans="1:25" ht="14.7" customHeight="1" thickBot="1" x14ac:dyDescent="0.35">
      <c r="A42" s="390"/>
      <c r="B42" s="392" t="s">
        <v>18</v>
      </c>
      <c r="C42" s="393"/>
      <c r="D42" s="393"/>
      <c r="E42" s="393"/>
      <c r="F42" s="393"/>
      <c r="G42" s="393"/>
      <c r="H42" s="393"/>
      <c r="I42" s="393"/>
      <c r="J42" s="393"/>
      <c r="K42" s="393"/>
      <c r="L42" s="393"/>
      <c r="M42" s="394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7" customHeight="1" thickBot="1" x14ac:dyDescent="0.35">
      <c r="A43" s="390"/>
      <c r="B43" s="398"/>
      <c r="C43" s="399"/>
      <c r="D43" s="399"/>
      <c r="E43" s="399"/>
      <c r="F43" s="399"/>
      <c r="G43" s="399"/>
      <c r="H43" s="399"/>
      <c r="I43" s="399"/>
      <c r="J43" s="399"/>
      <c r="K43" s="399"/>
      <c r="L43" s="399"/>
      <c r="M43" s="400"/>
      <c r="N43" s="209" t="s">
        <v>29</v>
      </c>
      <c r="O43" s="410">
        <f>O41-O39</f>
        <v>414294</v>
      </c>
      <c r="P43" s="411"/>
      <c r="Q43" s="411"/>
      <c r="R43" s="411"/>
      <c r="S43" s="411"/>
      <c r="T43" s="411"/>
      <c r="U43" s="411"/>
      <c r="V43" s="411"/>
      <c r="W43" s="411"/>
      <c r="X43" s="411"/>
      <c r="Y43" s="412"/>
    </row>
    <row r="44" spans="1:25" ht="15" thickBot="1" x14ac:dyDescent="0.35">
      <c r="A44" s="390"/>
    </row>
    <row r="45" spans="1:25" ht="14.7" customHeight="1" thickBot="1" x14ac:dyDescent="0.35">
      <c r="A45" s="390"/>
      <c r="B45" s="362" t="s">
        <v>25</v>
      </c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4"/>
      <c r="O45" s="371" t="s">
        <v>26</v>
      </c>
      <c r="P45" s="372"/>
      <c r="Q45" s="373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3">
      <c r="A46" s="390"/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7"/>
      <c r="O46" s="374" t="s">
        <v>69</v>
      </c>
      <c r="P46" s="375"/>
      <c r="Q46" s="376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3">
      <c r="A47" s="390"/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7"/>
      <c r="O47" s="377" t="s">
        <v>90</v>
      </c>
      <c r="P47" s="378"/>
      <c r="Q47" s="379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3">
      <c r="A48" s="390"/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7"/>
      <c r="O48" s="377" t="s">
        <v>91</v>
      </c>
      <c r="P48" s="378"/>
      <c r="Q48" s="379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3">
      <c r="A49" s="390"/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7"/>
      <c r="O49" s="377" t="s">
        <v>92</v>
      </c>
      <c r="P49" s="378"/>
      <c r="Q49" s="379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3">
      <c r="A50" s="390"/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7"/>
      <c r="O50" s="377" t="s">
        <v>175</v>
      </c>
      <c r="P50" s="378"/>
      <c r="Q50" s="379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3">
      <c r="A51" s="390"/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7"/>
      <c r="O51" s="377" t="s">
        <v>141</v>
      </c>
      <c r="P51" s="378"/>
      <c r="Q51" s="379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5">
      <c r="A52" s="390"/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7"/>
      <c r="O52" s="404"/>
      <c r="P52" s="405"/>
      <c r="Q52" s="406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5">
      <c r="A53" s="390"/>
      <c r="B53" s="368"/>
      <c r="C53" s="369"/>
      <c r="D53" s="369"/>
      <c r="E53" s="369"/>
      <c r="F53" s="369"/>
      <c r="G53" s="369"/>
      <c r="H53" s="369"/>
      <c r="I53" s="369"/>
      <c r="J53" s="369"/>
      <c r="K53" s="369"/>
      <c r="L53" s="369"/>
      <c r="M53" s="369"/>
      <c r="N53" s="370"/>
      <c r="O53" s="407" t="s">
        <v>16</v>
      </c>
      <c r="P53" s="408"/>
      <c r="Q53" s="409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" thickBot="1" x14ac:dyDescent="0.35">
      <c r="A54" s="390"/>
    </row>
    <row r="55" spans="1:25" ht="51.75" customHeight="1" thickBot="1" x14ac:dyDescent="0.35">
      <c r="A55" s="391"/>
      <c r="B55" s="371" t="s">
        <v>18</v>
      </c>
      <c r="C55" s="372"/>
      <c r="D55" s="372"/>
      <c r="E55" s="372"/>
      <c r="F55" s="372"/>
      <c r="G55" s="372"/>
      <c r="H55" s="372"/>
      <c r="I55" s="372"/>
      <c r="J55" s="372"/>
      <c r="K55" s="372"/>
      <c r="L55" s="373"/>
      <c r="M55" s="209"/>
      <c r="N55" s="246" t="s">
        <v>16</v>
      </c>
      <c r="O55" s="410">
        <f>O43-SUM(R46:R52)</f>
        <v>124294</v>
      </c>
      <c r="P55" s="411"/>
      <c r="Q55" s="411"/>
      <c r="R55" s="411"/>
      <c r="S55" s="411"/>
      <c r="T55" s="411"/>
      <c r="U55" s="412"/>
      <c r="V55" s="247"/>
      <c r="W55" s="247"/>
      <c r="X55" s="247"/>
      <c r="Y55" s="247"/>
    </row>
    <row r="56" spans="1:25" ht="15.75" customHeight="1" x14ac:dyDescent="0.3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3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3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3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3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3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3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3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3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5:Z27">
    <cfRule type="cellIs" dxfId="175" priority="1" operator="lessThan">
      <formula>20</formula>
    </cfRule>
    <cfRule type="cellIs" dxfId="174" priority="2" operator="between">
      <formula>20</formula>
      <formula>29</formula>
    </cfRule>
    <cfRule type="cellIs" dxfId="17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85" t="s">
        <v>38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  <c r="O2" s="261" t="s">
        <v>11</v>
      </c>
      <c r="P2" s="262"/>
      <c r="Q2" s="262"/>
      <c r="R2" s="262"/>
      <c r="S2" s="262"/>
      <c r="T2" s="262"/>
      <c r="U2" s="262"/>
      <c r="V2" s="262"/>
      <c r="W2" s="262"/>
      <c r="X2" s="262"/>
      <c r="Y2" s="263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3" t="s">
        <v>39</v>
      </c>
      <c r="B5" s="255" t="s">
        <v>141</v>
      </c>
      <c r="C5" s="47" t="s">
        <v>139</v>
      </c>
      <c r="D5" s="47" t="s">
        <v>140</v>
      </c>
      <c r="E5" s="47" t="s">
        <v>40</v>
      </c>
      <c r="F5" s="47" t="s">
        <v>64</v>
      </c>
      <c r="G5" s="47" t="s">
        <v>124</v>
      </c>
      <c r="H5" s="47" t="s">
        <v>41</v>
      </c>
      <c r="I5" s="53">
        <v>56982328251</v>
      </c>
      <c r="J5" s="27" t="s">
        <v>142</v>
      </c>
      <c r="K5" s="27" t="s">
        <v>70</v>
      </c>
      <c r="L5" s="52" t="s">
        <v>126</v>
      </c>
      <c r="M5" s="52" t="s">
        <v>115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3">
      <c r="A6" s="414"/>
      <c r="B6" s="256" t="s">
        <v>180</v>
      </c>
      <c r="C6" s="48" t="s">
        <v>181</v>
      </c>
      <c r="D6" s="59" t="s">
        <v>182</v>
      </c>
      <c r="E6" s="59" t="s">
        <v>40</v>
      </c>
      <c r="F6" s="59" t="s">
        <v>64</v>
      </c>
      <c r="G6" s="59" t="s">
        <v>124</v>
      </c>
      <c r="H6" s="59" t="s">
        <v>41</v>
      </c>
      <c r="I6" s="60">
        <v>56974397201</v>
      </c>
      <c r="J6" s="27" t="s">
        <v>183</v>
      </c>
      <c r="K6" s="27" t="s">
        <v>70</v>
      </c>
      <c r="L6" s="52" t="s">
        <v>126</v>
      </c>
      <c r="M6" s="52" t="s">
        <v>115</v>
      </c>
      <c r="N6" s="47">
        <f>SUMPRODUCT(Tabla5236[[#This Row],[Naranjas]:[Almendras]],O$36:Y$36)</f>
        <v>348000</v>
      </c>
      <c r="O6" s="52">
        <v>15</v>
      </c>
      <c r="P6" s="52">
        <v>0</v>
      </c>
      <c r="Q6" s="52">
        <v>30</v>
      </c>
      <c r="R6" s="52">
        <v>7</v>
      </c>
      <c r="S6" s="52">
        <v>7</v>
      </c>
      <c r="T6" s="52">
        <v>8</v>
      </c>
      <c r="U6" s="52">
        <v>0</v>
      </c>
      <c r="V6" s="52">
        <v>2</v>
      </c>
      <c r="W6" s="52">
        <v>3</v>
      </c>
      <c r="X6" s="52">
        <v>1</v>
      </c>
      <c r="Y6" s="52">
        <v>3</v>
      </c>
      <c r="Z6" s="52">
        <f>SUM(Tabla5236[[#This Row],[Naranjas]:[Almendras]])</f>
        <v>76</v>
      </c>
      <c r="AA6" s="58"/>
    </row>
    <row r="7" spans="1:27" outlineLevel="1" x14ac:dyDescent="0.3">
      <c r="A7" s="414"/>
      <c r="B7" s="256" t="s">
        <v>71</v>
      </c>
      <c r="C7" s="48" t="s">
        <v>76</v>
      </c>
      <c r="D7" s="59" t="s">
        <v>77</v>
      </c>
      <c r="E7" s="59" t="s">
        <v>40</v>
      </c>
      <c r="F7" s="59" t="s">
        <v>64</v>
      </c>
      <c r="G7" s="59" t="s">
        <v>48</v>
      </c>
      <c r="H7" s="59" t="s">
        <v>41</v>
      </c>
      <c r="I7" s="60">
        <v>56967898535</v>
      </c>
      <c r="J7" s="27" t="s">
        <v>78</v>
      </c>
      <c r="K7" s="27" t="s">
        <v>70</v>
      </c>
      <c r="L7" s="52" t="s">
        <v>126</v>
      </c>
      <c r="M7" s="52" t="s">
        <v>115</v>
      </c>
      <c r="N7" s="141">
        <f>SUMPRODUCT(Tabla5236[[#This Row],[Naranjas]:[Almendras]],O$36:Y$36)</f>
        <v>44600</v>
      </c>
      <c r="O7" s="52">
        <v>3</v>
      </c>
      <c r="P7" s="52">
        <v>0</v>
      </c>
      <c r="Q7" s="52">
        <v>8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SUM(Tabla5236[[#This Row],[Naranjas]:[Almendras]])</f>
        <v>12</v>
      </c>
      <c r="AA7" s="58"/>
    </row>
    <row r="8" spans="1:27" outlineLevel="1" x14ac:dyDescent="0.3">
      <c r="A8" s="414"/>
      <c r="B8" s="255" t="s">
        <v>204</v>
      </c>
      <c r="C8" s="47" t="s">
        <v>205</v>
      </c>
      <c r="D8" s="47" t="s">
        <v>206</v>
      </c>
      <c r="E8" s="47" t="s">
        <v>46</v>
      </c>
      <c r="F8" s="47" t="s">
        <v>55</v>
      </c>
      <c r="G8" s="47" t="s">
        <v>56</v>
      </c>
      <c r="H8" s="47" t="s">
        <v>41</v>
      </c>
      <c r="I8" s="53">
        <v>56975580528</v>
      </c>
      <c r="J8" s="27" t="s">
        <v>208</v>
      </c>
      <c r="K8" s="27" t="s">
        <v>42</v>
      </c>
      <c r="L8" s="52" t="s">
        <v>126</v>
      </c>
      <c r="M8" s="52" t="s">
        <v>115</v>
      </c>
      <c r="N8" s="47">
        <f>SUMPRODUCT(Tabla5236[[#This Row],[Naranjas]:[Almendras]],O$36:Y$36)</f>
        <v>27400</v>
      </c>
      <c r="O8" s="52">
        <v>1</v>
      </c>
      <c r="P8" s="52">
        <v>0</v>
      </c>
      <c r="Q8" s="52">
        <v>2</v>
      </c>
      <c r="R8" s="52">
        <v>0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1</v>
      </c>
      <c r="Z8" s="52">
        <f>SUM(Tabla5236[[#This Row],[Naranjas]:[Almendras]])</f>
        <v>6</v>
      </c>
      <c r="AA8" s="58"/>
    </row>
    <row r="9" spans="1:27" outlineLevel="1" x14ac:dyDescent="0.3">
      <c r="A9" s="414"/>
      <c r="B9" s="255" t="s">
        <v>186</v>
      </c>
      <c r="C9" s="47" t="s">
        <v>187</v>
      </c>
      <c r="D9" s="47" t="s">
        <v>188</v>
      </c>
      <c r="E9" s="47" t="s">
        <v>46</v>
      </c>
      <c r="F9" s="47" t="s">
        <v>149</v>
      </c>
      <c r="G9" s="47" t="s">
        <v>68</v>
      </c>
      <c r="H9" s="47" t="s">
        <v>41</v>
      </c>
      <c r="I9" s="53">
        <v>56995483434</v>
      </c>
      <c r="J9" s="27" t="s">
        <v>189</v>
      </c>
      <c r="K9" s="27" t="s">
        <v>42</v>
      </c>
      <c r="L9" s="52" t="s">
        <v>126</v>
      </c>
      <c r="M9" s="52" t="s">
        <v>115</v>
      </c>
      <c r="N9" s="47">
        <f>SUMPRODUCT(Tabla5236[[#This Row],[Naranjas]:[Almendras]],O$36:Y$36)</f>
        <v>118800</v>
      </c>
      <c r="O9" s="52">
        <v>2</v>
      </c>
      <c r="P9" s="52">
        <v>0</v>
      </c>
      <c r="Q9" s="52">
        <v>9</v>
      </c>
      <c r="R9" s="52">
        <v>3</v>
      </c>
      <c r="S9" s="52">
        <v>5</v>
      </c>
      <c r="T9" s="52">
        <v>0</v>
      </c>
      <c r="U9" s="52">
        <v>2</v>
      </c>
      <c r="V9" s="52">
        <v>0</v>
      </c>
      <c r="W9" s="52">
        <v>0</v>
      </c>
      <c r="X9" s="52">
        <v>1</v>
      </c>
      <c r="Y9" s="52">
        <v>2</v>
      </c>
      <c r="Z9" s="52">
        <f>SUM(Tabla5236[[#This Row],[Naranjas]:[Almendras]])</f>
        <v>24</v>
      </c>
      <c r="AA9" s="58"/>
    </row>
    <row r="10" spans="1:27" outlineLevel="1" x14ac:dyDescent="0.3">
      <c r="A10" s="414"/>
      <c r="B10" s="255" t="s">
        <v>162</v>
      </c>
      <c r="C10" s="47" t="s">
        <v>163</v>
      </c>
      <c r="D10" s="47" t="s">
        <v>164</v>
      </c>
      <c r="E10" s="47" t="s">
        <v>40</v>
      </c>
      <c r="F10" s="47" t="s">
        <v>123</v>
      </c>
      <c r="G10" s="47" t="s">
        <v>165</v>
      </c>
      <c r="H10" s="47" t="s">
        <v>41</v>
      </c>
      <c r="I10" s="53">
        <v>56998246537</v>
      </c>
      <c r="J10" s="27" t="s">
        <v>166</v>
      </c>
      <c r="K10" s="27" t="s">
        <v>42</v>
      </c>
      <c r="L10" s="52" t="s">
        <v>126</v>
      </c>
      <c r="M10" s="52" t="s">
        <v>115</v>
      </c>
      <c r="N10" s="47">
        <f>SUMPRODUCT(Tabla5236[[#This Row],[Naranjas]:[Almendras]],O$36:Y$36)</f>
        <v>548600</v>
      </c>
      <c r="O10" s="52">
        <v>12</v>
      </c>
      <c r="P10" s="52">
        <v>0</v>
      </c>
      <c r="Q10" s="52">
        <v>38</v>
      </c>
      <c r="R10" s="52">
        <v>8</v>
      </c>
      <c r="S10" s="52">
        <v>24</v>
      </c>
      <c r="T10" s="52">
        <v>8</v>
      </c>
      <c r="U10" s="52">
        <v>3</v>
      </c>
      <c r="V10" s="52">
        <v>6</v>
      </c>
      <c r="W10" s="52">
        <v>6</v>
      </c>
      <c r="X10" s="52">
        <v>6</v>
      </c>
      <c r="Y10" s="52">
        <v>3</v>
      </c>
      <c r="Z10" s="52">
        <f>SUM(Tabla5236[[#This Row],[Naranjas]:[Almendras]])</f>
        <v>114</v>
      </c>
      <c r="AA10" s="58"/>
    </row>
    <row r="11" spans="1:27" outlineLevel="1" x14ac:dyDescent="0.3">
      <c r="A11" s="414"/>
      <c r="B11" s="255" t="s">
        <v>117</v>
      </c>
      <c r="C11" s="47" t="s">
        <v>190</v>
      </c>
      <c r="D11" s="47" t="s">
        <v>191</v>
      </c>
      <c r="E11" s="47" t="s">
        <v>50</v>
      </c>
      <c r="F11" s="47" t="s">
        <v>192</v>
      </c>
      <c r="G11" s="47" t="s">
        <v>193</v>
      </c>
      <c r="H11" s="47" t="s">
        <v>41</v>
      </c>
      <c r="I11" s="53">
        <v>56979987750</v>
      </c>
      <c r="J11" s="27" t="s">
        <v>194</v>
      </c>
      <c r="K11" s="27" t="s">
        <v>58</v>
      </c>
      <c r="L11" s="52" t="s">
        <v>126</v>
      </c>
      <c r="M11" s="52" t="s">
        <v>115</v>
      </c>
      <c r="N11" s="47">
        <f>SUMPRODUCT(Tabla5236[[#This Row],[Naranjas]:[Almendras]],O$36:Y$36)</f>
        <v>86800</v>
      </c>
      <c r="O11" s="52">
        <v>2</v>
      </c>
      <c r="P11" s="52">
        <v>0</v>
      </c>
      <c r="Q11" s="52">
        <v>9</v>
      </c>
      <c r="R11" s="52">
        <v>2</v>
      </c>
      <c r="S11" s="52">
        <v>5</v>
      </c>
      <c r="T11" s="52">
        <v>2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SUM(Tabla5236[[#This Row],[Naranjas]:[Almendras]])</f>
        <v>20</v>
      </c>
      <c r="AA11" s="58"/>
    </row>
    <row r="12" spans="1:27" outlineLevel="1" x14ac:dyDescent="0.3">
      <c r="A12" s="414"/>
      <c r="B12" s="255" t="s">
        <v>79</v>
      </c>
      <c r="C12" s="47" t="s">
        <v>67</v>
      </c>
      <c r="D12" s="47" t="s">
        <v>80</v>
      </c>
      <c r="E12" s="47" t="s">
        <v>40</v>
      </c>
      <c r="F12" s="47" t="s">
        <v>64</v>
      </c>
      <c r="G12" s="47" t="s">
        <v>48</v>
      </c>
      <c r="H12" s="47" t="s">
        <v>41</v>
      </c>
      <c r="I12" s="53">
        <v>56986194003</v>
      </c>
      <c r="J12" s="27" t="s">
        <v>81</v>
      </c>
      <c r="K12" s="27" t="s">
        <v>58</v>
      </c>
      <c r="L12" s="52" t="s">
        <v>126</v>
      </c>
      <c r="M12" s="52" t="s">
        <v>115</v>
      </c>
      <c r="N12" s="47">
        <f>SUMPRODUCT(Tabla5236[[#This Row],[Naranjas]:[Almendras]],O$36:Y$36)</f>
        <v>89400</v>
      </c>
      <c r="O12" s="52">
        <v>0</v>
      </c>
      <c r="P12" s="52">
        <v>0</v>
      </c>
      <c r="Q12" s="52">
        <v>12</v>
      </c>
      <c r="R12" s="52">
        <v>6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SUM(Tabla5236[[#This Row],[Naranjas]:[Almendras]])</f>
        <v>18</v>
      </c>
      <c r="AA12" s="58"/>
    </row>
    <row r="13" spans="1:27" outlineLevel="1" x14ac:dyDescent="0.3">
      <c r="A13" s="414"/>
      <c r="B13" s="255" t="s">
        <v>153</v>
      </c>
      <c r="C13" s="47" t="s">
        <v>154</v>
      </c>
      <c r="D13" s="47" t="s">
        <v>155</v>
      </c>
      <c r="E13" s="47" t="s">
        <v>156</v>
      </c>
      <c r="F13" s="47" t="s">
        <v>156</v>
      </c>
      <c r="G13" s="47" t="s">
        <v>148</v>
      </c>
      <c r="H13" s="47" t="s">
        <v>41</v>
      </c>
      <c r="I13" s="53">
        <v>56965951459</v>
      </c>
      <c r="J13" s="27" t="s">
        <v>157</v>
      </c>
      <c r="K13" s="27" t="s">
        <v>58</v>
      </c>
      <c r="L13" s="52" t="s">
        <v>126</v>
      </c>
      <c r="M13" s="52" t="s">
        <v>115</v>
      </c>
      <c r="N13" s="47">
        <f>SUMPRODUCT(Tabla5236[[#This Row],[Naranjas]:[Almendras]],O$36:Y$36)</f>
        <v>77900</v>
      </c>
      <c r="O13" s="52">
        <v>3</v>
      </c>
      <c r="P13" s="52">
        <v>0</v>
      </c>
      <c r="Q13" s="52">
        <v>7</v>
      </c>
      <c r="R13" s="52">
        <v>1</v>
      </c>
      <c r="S13" s="52">
        <v>2</v>
      </c>
      <c r="T13" s="52">
        <v>1</v>
      </c>
      <c r="U13" s="52">
        <v>1</v>
      </c>
      <c r="V13" s="52">
        <v>0</v>
      </c>
      <c r="W13" s="52">
        <v>0</v>
      </c>
      <c r="X13" s="52">
        <v>1</v>
      </c>
      <c r="Y13" s="52">
        <v>1</v>
      </c>
      <c r="Z13" s="52">
        <f>SUM(Tabla5236[[#This Row],[Naranjas]:[Almendras]])</f>
        <v>17</v>
      </c>
      <c r="AA13" s="58"/>
    </row>
    <row r="14" spans="1:27" outlineLevel="1" x14ac:dyDescent="0.3">
      <c r="A14" s="414"/>
      <c r="B14" s="255" t="s">
        <v>200</v>
      </c>
      <c r="C14" s="47" t="s">
        <v>201</v>
      </c>
      <c r="D14" s="47" t="s">
        <v>202</v>
      </c>
      <c r="E14" s="47" t="s">
        <v>40</v>
      </c>
      <c r="F14" s="47" t="s">
        <v>64</v>
      </c>
      <c r="G14" s="47" t="s">
        <v>198</v>
      </c>
      <c r="H14" s="47" t="s">
        <v>41</v>
      </c>
      <c r="I14" s="53">
        <v>56979891544</v>
      </c>
      <c r="J14" s="27" t="s">
        <v>203</v>
      </c>
      <c r="K14" s="27" t="s">
        <v>58</v>
      </c>
      <c r="L14" s="52" t="s">
        <v>126</v>
      </c>
      <c r="M14" s="52" t="s">
        <v>115</v>
      </c>
      <c r="N14" s="47">
        <f>SUMPRODUCT(Tabla5236[[#This Row],[Naranjas]:[Almendras]],O$36:Y$36)</f>
        <v>63600</v>
      </c>
      <c r="O14" s="52">
        <v>1</v>
      </c>
      <c r="P14" s="52">
        <v>0</v>
      </c>
      <c r="Q14" s="52">
        <v>3</v>
      </c>
      <c r="R14" s="52">
        <v>2</v>
      </c>
      <c r="S14" s="52">
        <v>1</v>
      </c>
      <c r="T14" s="52">
        <v>1</v>
      </c>
      <c r="U14" s="52">
        <v>1</v>
      </c>
      <c r="V14" s="52">
        <v>1</v>
      </c>
      <c r="W14" s="52">
        <v>0</v>
      </c>
      <c r="X14" s="52">
        <v>1</v>
      </c>
      <c r="Y14" s="52">
        <v>1</v>
      </c>
      <c r="Z14" s="52">
        <f>SUM(Tabla5236[[#This Row],[Naranjas]:[Almendras]])</f>
        <v>12</v>
      </c>
      <c r="AA14" s="58"/>
    </row>
    <row r="15" spans="1:27" outlineLevel="1" x14ac:dyDescent="0.3">
      <c r="A15" s="414"/>
      <c r="B15" s="255" t="s">
        <v>86</v>
      </c>
      <c r="C15" s="47" t="s">
        <v>87</v>
      </c>
      <c r="D15" s="47" t="s">
        <v>88</v>
      </c>
      <c r="E15" s="47" t="s">
        <v>40</v>
      </c>
      <c r="F15" s="47" t="s">
        <v>64</v>
      </c>
      <c r="G15" s="47" t="s">
        <v>66</v>
      </c>
      <c r="H15" s="47" t="s">
        <v>41</v>
      </c>
      <c r="I15" s="53">
        <v>56952304675</v>
      </c>
      <c r="J15" s="27" t="s">
        <v>89</v>
      </c>
      <c r="K15" s="27" t="s">
        <v>58</v>
      </c>
      <c r="L15" s="52" t="s">
        <v>126</v>
      </c>
      <c r="M15" s="52" t="s">
        <v>115</v>
      </c>
      <c r="N15" s="47">
        <f>SUMPRODUCT(Tabla5236[[#This Row],[Naranjas]:[Almendras]],O$36:Y$36)</f>
        <v>474700</v>
      </c>
      <c r="O15" s="52">
        <v>16</v>
      </c>
      <c r="P15" s="52">
        <v>0</v>
      </c>
      <c r="Q15" s="52">
        <v>21</v>
      </c>
      <c r="R15" s="52">
        <v>9</v>
      </c>
      <c r="S15" s="52">
        <v>23</v>
      </c>
      <c r="T15" s="52">
        <v>11</v>
      </c>
      <c r="U15" s="52">
        <v>1</v>
      </c>
      <c r="V15" s="52">
        <v>4</v>
      </c>
      <c r="W15" s="52">
        <v>7</v>
      </c>
      <c r="X15" s="52">
        <v>2</v>
      </c>
      <c r="Y15" s="52">
        <v>3</v>
      </c>
      <c r="Z15" s="52">
        <f>SUM(Tabla5236[[#This Row],[Naranjas]:[Almendras]])</f>
        <v>97</v>
      </c>
      <c r="AA15" s="58"/>
    </row>
    <row r="16" spans="1:27" outlineLevel="1" x14ac:dyDescent="0.3">
      <c r="A16" s="414"/>
      <c r="B16" s="256" t="s">
        <v>184</v>
      </c>
      <c r="C16" s="48" t="s">
        <v>185</v>
      </c>
      <c r="D16" s="59">
        <v>0</v>
      </c>
      <c r="E16" s="59">
        <v>0</v>
      </c>
      <c r="F16" s="59">
        <v>0</v>
      </c>
      <c r="G16" s="59">
        <v>0</v>
      </c>
      <c r="H16" s="59" t="s">
        <v>41</v>
      </c>
      <c r="I16" s="60">
        <v>0</v>
      </c>
      <c r="J16" s="27" t="s">
        <v>207</v>
      </c>
      <c r="K16" s="27" t="s">
        <v>58</v>
      </c>
      <c r="L16" s="52" t="s">
        <v>126</v>
      </c>
      <c r="M16" s="52" t="s">
        <v>115</v>
      </c>
      <c r="N16" s="141">
        <f>SUMPRODUCT(Tabla5236[[#This Row],[Naranjas]:[Almendras]],O$36:Y$36)</f>
        <v>157300</v>
      </c>
      <c r="O16" s="52">
        <v>12</v>
      </c>
      <c r="P16" s="52">
        <v>0</v>
      </c>
      <c r="Q16" s="52">
        <v>9</v>
      </c>
      <c r="R16" s="52">
        <v>7</v>
      </c>
      <c r="S16" s="52">
        <v>3</v>
      </c>
      <c r="T16" s="52">
        <v>0</v>
      </c>
      <c r="U16" s="52">
        <v>0</v>
      </c>
      <c r="V16" s="52">
        <v>0</v>
      </c>
      <c r="W16" s="52">
        <v>1</v>
      </c>
      <c r="X16" s="52">
        <v>0</v>
      </c>
      <c r="Y16" s="52">
        <v>1</v>
      </c>
      <c r="Z16" s="52">
        <f>SUM(Tabla5236[[#This Row],[Naranjas]:[Almendras]])</f>
        <v>33</v>
      </c>
      <c r="AA16" s="58"/>
    </row>
    <row r="17" spans="1:27" outlineLevel="1" x14ac:dyDescent="0.3">
      <c r="A17" s="414"/>
      <c r="B17" s="255" t="s">
        <v>52</v>
      </c>
      <c r="C17" s="47" t="s">
        <v>53</v>
      </c>
      <c r="D17" s="47" t="s">
        <v>54</v>
      </c>
      <c r="E17" s="47" t="s">
        <v>46</v>
      </c>
      <c r="F17" s="47" t="s">
        <v>55</v>
      </c>
      <c r="G17" s="47" t="s">
        <v>56</v>
      </c>
      <c r="H17" s="47" t="s">
        <v>41</v>
      </c>
      <c r="I17" s="53">
        <v>56956481962</v>
      </c>
      <c r="J17" s="27" t="s">
        <v>57</v>
      </c>
      <c r="K17" s="27" t="s">
        <v>58</v>
      </c>
      <c r="L17" s="52" t="s">
        <v>126</v>
      </c>
      <c r="M17" s="52" t="s">
        <v>115</v>
      </c>
      <c r="N17" s="47">
        <f>SUMPRODUCT(Tabla5236[[#This Row],[Naranjas]:[Almendras]],O$36:Y$36)</f>
        <v>97400</v>
      </c>
      <c r="O17" s="52">
        <v>3</v>
      </c>
      <c r="P17" s="52">
        <v>0</v>
      </c>
      <c r="Q17" s="52">
        <v>7</v>
      </c>
      <c r="R17" s="52">
        <v>0</v>
      </c>
      <c r="S17" s="52">
        <v>7</v>
      </c>
      <c r="T17" s="52">
        <v>3</v>
      </c>
      <c r="U17" s="52">
        <v>0</v>
      </c>
      <c r="V17" s="52">
        <v>0</v>
      </c>
      <c r="W17" s="52">
        <v>1</v>
      </c>
      <c r="X17" s="52">
        <v>1</v>
      </c>
      <c r="Y17" s="52">
        <v>0</v>
      </c>
      <c r="Z17" s="52">
        <f>SUM(Tabla5236[[#This Row],[Naranjas]:[Almendras]])</f>
        <v>22</v>
      </c>
      <c r="AA17" s="58"/>
    </row>
    <row r="18" spans="1:27" outlineLevel="1" x14ac:dyDescent="0.3">
      <c r="A18" s="414"/>
      <c r="B18" s="255" t="s">
        <v>99</v>
      </c>
      <c r="C18" s="47" t="s">
        <v>100</v>
      </c>
      <c r="D18" s="47" t="s">
        <v>101</v>
      </c>
      <c r="E18" s="47" t="s">
        <v>51</v>
      </c>
      <c r="F18" s="47" t="s">
        <v>47</v>
      </c>
      <c r="G18" s="47" t="s">
        <v>68</v>
      </c>
      <c r="H18" s="47" t="s">
        <v>41</v>
      </c>
      <c r="I18" s="53">
        <v>56967289638</v>
      </c>
      <c r="J18" s="27" t="s">
        <v>102</v>
      </c>
      <c r="K18" s="27" t="s">
        <v>70</v>
      </c>
      <c r="L18" s="52" t="s">
        <v>126</v>
      </c>
      <c r="M18" s="52" t="s">
        <v>126</v>
      </c>
      <c r="N18" s="47">
        <f>SUMPRODUCT(Tabla5236[[#This Row],[Naranjas]:[Almendras]],O$36:Y$36)</f>
        <v>101700</v>
      </c>
      <c r="O18" s="52">
        <v>5</v>
      </c>
      <c r="P18" s="52">
        <v>0</v>
      </c>
      <c r="Q18" s="52">
        <v>6</v>
      </c>
      <c r="R18" s="52">
        <v>1</v>
      </c>
      <c r="S18" s="52">
        <v>2</v>
      </c>
      <c r="T18" s="52">
        <v>1</v>
      </c>
      <c r="U18" s="52">
        <v>1</v>
      </c>
      <c r="V18" s="52">
        <v>1</v>
      </c>
      <c r="W18" s="52">
        <v>1</v>
      </c>
      <c r="X18" s="52">
        <v>1</v>
      </c>
      <c r="Y18" s="52">
        <v>2</v>
      </c>
      <c r="Z18" s="52">
        <f>SUM(Tabla5236[[#This Row],[Naranjas]:[Almendras]])</f>
        <v>21</v>
      </c>
      <c r="AA18" s="58"/>
    </row>
    <row r="19" spans="1:27" outlineLevel="1" x14ac:dyDescent="0.3">
      <c r="A19" s="414"/>
      <c r="B19" s="255" t="s">
        <v>79</v>
      </c>
      <c r="C19" s="47" t="s">
        <v>106</v>
      </c>
      <c r="D19" s="47" t="s">
        <v>107</v>
      </c>
      <c r="E19" s="47" t="s">
        <v>40</v>
      </c>
      <c r="F19" s="47" t="s">
        <v>64</v>
      </c>
      <c r="G19" s="47" t="s">
        <v>68</v>
      </c>
      <c r="H19" s="47" t="s">
        <v>41</v>
      </c>
      <c r="I19" s="53">
        <v>56975684552</v>
      </c>
      <c r="J19" s="27" t="s">
        <v>108</v>
      </c>
      <c r="K19" s="27" t="s">
        <v>70</v>
      </c>
      <c r="L19" s="52" t="s">
        <v>126</v>
      </c>
      <c r="M19" s="52" t="s">
        <v>126</v>
      </c>
      <c r="N19" s="47">
        <f>SUMPRODUCT(Tabla5236[[#This Row],[Naranjas]:[Almendras]],O$36:Y$36)</f>
        <v>35000</v>
      </c>
      <c r="O19" s="52">
        <v>1</v>
      </c>
      <c r="P19" s="52">
        <v>0</v>
      </c>
      <c r="Q19" s="52">
        <v>0</v>
      </c>
      <c r="R19" s="52">
        <v>0</v>
      </c>
      <c r="S19" s="52">
        <v>7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SUM(Tabla5236[[#This Row],[Naranjas]:[Almendras]])</f>
        <v>8</v>
      </c>
      <c r="AA19" s="58"/>
    </row>
    <row r="20" spans="1:27" outlineLevel="1" x14ac:dyDescent="0.3">
      <c r="A20" s="414"/>
      <c r="B20" s="255" t="s">
        <v>82</v>
      </c>
      <c r="C20" s="47" t="s">
        <v>83</v>
      </c>
      <c r="D20" s="47" t="s">
        <v>104</v>
      </c>
      <c r="E20" s="47" t="s">
        <v>51</v>
      </c>
      <c r="F20" s="47" t="s">
        <v>84</v>
      </c>
      <c r="G20" s="47" t="s">
        <v>48</v>
      </c>
      <c r="H20" s="47" t="s">
        <v>41</v>
      </c>
      <c r="I20" s="53">
        <v>56979878976</v>
      </c>
      <c r="J20" s="27" t="s">
        <v>85</v>
      </c>
      <c r="K20" s="27" t="s">
        <v>42</v>
      </c>
      <c r="L20" s="52" t="s">
        <v>126</v>
      </c>
      <c r="M20" s="52" t="s">
        <v>126</v>
      </c>
      <c r="N20" s="47">
        <f>SUMPRODUCT(Tabla5236[[#This Row],[Naranjas]:[Almendras]],O$36:Y$36)</f>
        <v>108600</v>
      </c>
      <c r="O20" s="52">
        <v>5</v>
      </c>
      <c r="P20" s="52">
        <v>0</v>
      </c>
      <c r="Q20" s="52">
        <v>13</v>
      </c>
      <c r="R20" s="52">
        <v>0</v>
      </c>
      <c r="S20" s="52">
        <v>5</v>
      </c>
      <c r="T20" s="52">
        <v>0</v>
      </c>
      <c r="U20" s="52">
        <v>0</v>
      </c>
      <c r="V20" s="52">
        <v>1</v>
      </c>
      <c r="W20" s="52">
        <v>1</v>
      </c>
      <c r="X20" s="52">
        <v>0</v>
      </c>
      <c r="Y20" s="52">
        <v>1</v>
      </c>
      <c r="Z20" s="52">
        <f>SUM(Tabla5236[[#This Row],[Naranjas]:[Almendras]])</f>
        <v>26</v>
      </c>
      <c r="AA20" s="58"/>
    </row>
    <row r="21" spans="1:27" outlineLevel="1" x14ac:dyDescent="0.3">
      <c r="A21" s="414"/>
      <c r="B21" s="255" t="s">
        <v>43</v>
      </c>
      <c r="C21" s="47" t="s">
        <v>44</v>
      </c>
      <c r="D21" s="47" t="s">
        <v>45</v>
      </c>
      <c r="E21" s="47" t="s">
        <v>46</v>
      </c>
      <c r="F21" s="47" t="s">
        <v>47</v>
      </c>
      <c r="G21" s="47" t="s">
        <v>48</v>
      </c>
      <c r="H21" s="47" t="s">
        <v>41</v>
      </c>
      <c r="I21" s="53">
        <v>56942723186</v>
      </c>
      <c r="J21" s="27" t="s">
        <v>49</v>
      </c>
      <c r="K21" s="27" t="s">
        <v>42</v>
      </c>
      <c r="L21" s="52" t="s">
        <v>126</v>
      </c>
      <c r="M21" s="52" t="s">
        <v>126</v>
      </c>
      <c r="N21" s="47">
        <f>SUMPRODUCT(Tabla5236[[#This Row],[Naranjas]:[Almendras]],O$36:Y$36)</f>
        <v>47600</v>
      </c>
      <c r="O21" s="52">
        <v>3</v>
      </c>
      <c r="P21" s="52">
        <v>0</v>
      </c>
      <c r="Q21" s="52">
        <v>3</v>
      </c>
      <c r="R21" s="52">
        <v>0</v>
      </c>
      <c r="S21" s="52">
        <v>1</v>
      </c>
      <c r="T21" s="52">
        <v>0</v>
      </c>
      <c r="U21" s="52">
        <v>1</v>
      </c>
      <c r="V21" s="52">
        <v>0</v>
      </c>
      <c r="W21" s="52">
        <v>1</v>
      </c>
      <c r="X21" s="52">
        <v>0</v>
      </c>
      <c r="Y21" s="52">
        <v>1</v>
      </c>
      <c r="Z21" s="52">
        <f>SUM(Tabla5236[[#This Row],[Naranjas]:[Almendras]])</f>
        <v>10</v>
      </c>
      <c r="AA21" s="58"/>
    </row>
    <row r="22" spans="1:27" outlineLevel="1" x14ac:dyDescent="0.3">
      <c r="A22" s="414"/>
      <c r="B22" s="255" t="s">
        <v>144</v>
      </c>
      <c r="C22" s="47" t="s">
        <v>145</v>
      </c>
      <c r="D22" s="47" t="s">
        <v>146</v>
      </c>
      <c r="E22" s="47" t="s">
        <v>51</v>
      </c>
      <c r="F22" s="47" t="s">
        <v>143</v>
      </c>
      <c r="G22" s="47" t="s">
        <v>48</v>
      </c>
      <c r="H22" s="47" t="s">
        <v>41</v>
      </c>
      <c r="I22" s="53">
        <v>56963061299</v>
      </c>
      <c r="J22" s="27" t="s">
        <v>147</v>
      </c>
      <c r="K22" s="27" t="s">
        <v>42</v>
      </c>
      <c r="L22" s="52" t="s">
        <v>126</v>
      </c>
      <c r="M22" s="52" t="s">
        <v>126</v>
      </c>
      <c r="N22" s="47">
        <f>SUMPRODUCT(Tabla5236[[#This Row],[Naranjas]:[Almendras]],O$36:Y$36)</f>
        <v>33000</v>
      </c>
      <c r="O22" s="52">
        <v>0</v>
      </c>
      <c r="P22" s="52">
        <v>0</v>
      </c>
      <c r="Q22" s="52">
        <v>0</v>
      </c>
      <c r="R22" s="52">
        <v>2</v>
      </c>
      <c r="S22" s="52">
        <v>4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SUM(Tabla5236[[#This Row],[Naranjas]:[Almendras]])</f>
        <v>6</v>
      </c>
      <c r="AA22" s="58"/>
    </row>
    <row r="23" spans="1:27" outlineLevel="1" x14ac:dyDescent="0.3">
      <c r="A23" s="414"/>
      <c r="B23" s="255" t="s">
        <v>170</v>
      </c>
      <c r="C23" s="47" t="s">
        <v>171</v>
      </c>
      <c r="D23" s="47">
        <v>0</v>
      </c>
      <c r="E23" s="47">
        <v>0</v>
      </c>
      <c r="F23" s="47">
        <v>0</v>
      </c>
      <c r="G23" s="47" t="s">
        <v>48</v>
      </c>
      <c r="H23" s="47" t="s">
        <v>41</v>
      </c>
      <c r="I23" s="53">
        <v>56977051605</v>
      </c>
      <c r="J23" s="27" t="s">
        <v>172</v>
      </c>
      <c r="K23" s="27" t="s">
        <v>42</v>
      </c>
      <c r="L23" s="52" t="s">
        <v>126</v>
      </c>
      <c r="M23" s="52" t="s">
        <v>126</v>
      </c>
      <c r="N23" s="47">
        <f>SUMPRODUCT(Tabla5236[[#This Row],[Naranjas]:[Almendras]],O$36:Y$36)</f>
        <v>31600</v>
      </c>
      <c r="O23" s="52">
        <v>2</v>
      </c>
      <c r="P23" s="52">
        <v>0</v>
      </c>
      <c r="Q23" s="52">
        <v>3</v>
      </c>
      <c r="R23" s="52">
        <v>0</v>
      </c>
      <c r="S23" s="52">
        <v>3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f>SUM(Tabla5236[[#This Row],[Naranjas]:[Almendras]])</f>
        <v>8</v>
      </c>
      <c r="AA23" s="58"/>
    </row>
    <row r="24" spans="1:27" outlineLevel="1" x14ac:dyDescent="0.3">
      <c r="A24" s="414"/>
      <c r="B24" s="255" t="s">
        <v>195</v>
      </c>
      <c r="C24" s="47" t="s">
        <v>196</v>
      </c>
      <c r="D24" s="47" t="s">
        <v>197</v>
      </c>
      <c r="E24" s="47" t="s">
        <v>40</v>
      </c>
      <c r="F24" s="47" t="s">
        <v>123</v>
      </c>
      <c r="G24" s="47" t="s">
        <v>198</v>
      </c>
      <c r="H24" s="47" t="s">
        <v>41</v>
      </c>
      <c r="I24" s="53">
        <v>56988587944</v>
      </c>
      <c r="J24" s="27" t="s">
        <v>199</v>
      </c>
      <c r="K24" s="27" t="s">
        <v>58</v>
      </c>
      <c r="L24" s="52" t="s">
        <v>126</v>
      </c>
      <c r="M24" s="52" t="s">
        <v>126</v>
      </c>
      <c r="N24" s="47">
        <f>SUMPRODUCT(Tabla5236[[#This Row],[Naranjas]:[Almendras]],O$36:Y$36)</f>
        <v>93900</v>
      </c>
      <c r="O24" s="52">
        <v>7</v>
      </c>
      <c r="P24" s="52">
        <v>0</v>
      </c>
      <c r="Q24" s="52">
        <v>12</v>
      </c>
      <c r="R24" s="52">
        <v>0</v>
      </c>
      <c r="S24" s="52">
        <v>1</v>
      </c>
      <c r="T24" s="52">
        <v>0</v>
      </c>
      <c r="U24" s="52">
        <v>0</v>
      </c>
      <c r="V24" s="52">
        <v>1</v>
      </c>
      <c r="W24" s="52">
        <v>1</v>
      </c>
      <c r="X24" s="52">
        <v>1</v>
      </c>
      <c r="Y24" s="52">
        <v>0</v>
      </c>
      <c r="Z24" s="52">
        <f>SUM(Tabla5236[[#This Row],[Naranjas]:[Almendras]])</f>
        <v>23</v>
      </c>
      <c r="AA24" s="58"/>
    </row>
    <row r="25" spans="1:27" outlineLevel="1" x14ac:dyDescent="0.3">
      <c r="A25" s="414"/>
      <c r="B25" s="256" t="s">
        <v>167</v>
      </c>
      <c r="C25" s="48" t="s">
        <v>65</v>
      </c>
      <c r="D25" s="59" t="s">
        <v>168</v>
      </c>
      <c r="E25" s="59" t="s">
        <v>40</v>
      </c>
      <c r="F25" s="59" t="s">
        <v>64</v>
      </c>
      <c r="G25" s="59" t="s">
        <v>66</v>
      </c>
      <c r="H25" s="59" t="s">
        <v>41</v>
      </c>
      <c r="I25" s="60">
        <v>56966640363</v>
      </c>
      <c r="J25" s="27" t="s">
        <v>169</v>
      </c>
      <c r="K25" s="27" t="s">
        <v>58</v>
      </c>
      <c r="L25" s="52" t="s">
        <v>126</v>
      </c>
      <c r="M25" s="52" t="s">
        <v>126</v>
      </c>
      <c r="N25" s="141">
        <f>SUMPRODUCT(Tabla5236[[#This Row],[Naranjas]:[Almendras]],O$36:Y$36)</f>
        <v>16700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1</v>
      </c>
      <c r="X25" s="52">
        <v>0</v>
      </c>
      <c r="Y25" s="52">
        <v>0</v>
      </c>
      <c r="Z25" s="52">
        <f>SUM(Tabla5236[[#This Row],[Naranjas]:[Almendras]])</f>
        <v>3</v>
      </c>
      <c r="AA25" s="58"/>
    </row>
    <row r="26" spans="1:27" ht="15" outlineLevel="1" thickBot="1" x14ac:dyDescent="0.35">
      <c r="A26" s="415"/>
      <c r="B26" s="422" t="s">
        <v>150</v>
      </c>
      <c r="C26" s="423" t="s">
        <v>67</v>
      </c>
      <c r="D26" s="423" t="s">
        <v>151</v>
      </c>
      <c r="E26" s="423" t="s">
        <v>46</v>
      </c>
      <c r="F26" s="423" t="s">
        <v>55</v>
      </c>
      <c r="G26" s="423" t="s">
        <v>148</v>
      </c>
      <c r="H26" s="423" t="s">
        <v>41</v>
      </c>
      <c r="I26" s="424">
        <v>56982978895</v>
      </c>
      <c r="J26" s="252" t="s">
        <v>152</v>
      </c>
      <c r="K26" s="252" t="s">
        <v>58</v>
      </c>
      <c r="L26" s="253" t="s">
        <v>126</v>
      </c>
      <c r="M26" s="253" t="s">
        <v>126</v>
      </c>
      <c r="N26" s="423">
        <f>SUMPRODUCT(Tabla5236[[#This Row],[Naranjas]:[Almendras]],O$36:Y$36)</f>
        <v>26900</v>
      </c>
      <c r="O26" s="253">
        <v>0</v>
      </c>
      <c r="P26" s="253">
        <v>0</v>
      </c>
      <c r="Q26" s="253">
        <v>2</v>
      </c>
      <c r="R26" s="253">
        <v>1</v>
      </c>
      <c r="S26" s="253">
        <v>0</v>
      </c>
      <c r="T26" s="253">
        <v>1</v>
      </c>
      <c r="U26" s="253">
        <v>0</v>
      </c>
      <c r="V26" s="253">
        <v>0</v>
      </c>
      <c r="W26" s="253">
        <v>0</v>
      </c>
      <c r="X26" s="253">
        <v>1</v>
      </c>
      <c r="Y26" s="253">
        <v>0</v>
      </c>
      <c r="Z26" s="253">
        <f>SUM(Tabla5236[[#This Row],[Naranjas]:[Almendras]])</f>
        <v>5</v>
      </c>
      <c r="AA26" s="254"/>
    </row>
    <row r="27" spans="1:27" outlineLevel="1" x14ac:dyDescent="0.3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" thickBot="1" x14ac:dyDescent="0.35"/>
    <row r="29" spans="1:27" ht="14.7" customHeight="1" thickBot="1" x14ac:dyDescent="0.35">
      <c r="A29" s="288" t="s">
        <v>20</v>
      </c>
      <c r="B29" s="267" t="s">
        <v>7</v>
      </c>
      <c r="C29" s="268"/>
      <c r="D29" s="268"/>
      <c r="E29" s="268"/>
      <c r="F29" s="268"/>
      <c r="G29" s="268"/>
      <c r="H29" s="268"/>
      <c r="I29" s="268"/>
      <c r="J29" s="268"/>
      <c r="K29" s="268"/>
      <c r="L29" s="268"/>
      <c r="M29" s="269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10</v>
      </c>
      <c r="V29" s="49">
        <f>SUM(Tabla5236[Mani])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7" customHeight="1" thickBot="1" x14ac:dyDescent="0.35">
      <c r="A30" s="289"/>
      <c r="B30" s="273"/>
      <c r="C30" s="274"/>
      <c r="D30" s="274"/>
      <c r="E30" s="274"/>
      <c r="F30" s="274"/>
      <c r="G30" s="274"/>
      <c r="H30" s="274"/>
      <c r="I30" s="274"/>
      <c r="J30" s="274"/>
      <c r="K30" s="274"/>
      <c r="L30" s="274"/>
      <c r="M30" s="275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7" customHeight="1" thickBot="1" x14ac:dyDescent="0.35">
      <c r="A31" s="289"/>
      <c r="B31" s="273"/>
      <c r="C31" s="274"/>
      <c r="D31" s="274"/>
      <c r="E31" s="274"/>
      <c r="F31" s="274"/>
      <c r="G31" s="274"/>
      <c r="H31" s="274"/>
      <c r="I31" s="274"/>
      <c r="J31" s="274"/>
      <c r="K31" s="274"/>
      <c r="L31" s="274"/>
      <c r="M31" s="275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" thickBot="1" x14ac:dyDescent="0.35">
      <c r="A32" s="289"/>
      <c r="B32" s="270"/>
      <c r="C32" s="271"/>
      <c r="D32" s="271"/>
      <c r="E32" s="271"/>
      <c r="F32" s="271"/>
      <c r="G32" s="271"/>
      <c r="H32" s="271"/>
      <c r="I32" s="271"/>
      <c r="J32" s="271"/>
      <c r="K32" s="271"/>
      <c r="L32" s="271"/>
      <c r="M32" s="272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" thickBot="1" x14ac:dyDescent="0.35">
      <c r="A33" s="289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" thickBot="1" x14ac:dyDescent="0.35">
      <c r="A34" s="289"/>
      <c r="B34" s="267" t="s">
        <v>12</v>
      </c>
      <c r="C34" s="268"/>
      <c r="D34" s="268"/>
      <c r="E34" s="268"/>
      <c r="F34" s="268"/>
      <c r="G34" s="268"/>
      <c r="H34" s="268"/>
      <c r="I34" s="268"/>
      <c r="J34" s="268"/>
      <c r="K34" s="268"/>
      <c r="L34" s="268"/>
      <c r="M34" s="269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" thickBot="1" x14ac:dyDescent="0.35">
      <c r="A35" s="289"/>
      <c r="B35" s="273"/>
      <c r="C35" s="274"/>
      <c r="D35" s="274"/>
      <c r="E35" s="274"/>
      <c r="F35" s="274"/>
      <c r="G35" s="274"/>
      <c r="H35" s="274"/>
      <c r="I35" s="274"/>
      <c r="J35" s="274"/>
      <c r="K35" s="274"/>
      <c r="L35" s="274"/>
      <c r="M35" s="275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" thickBot="1" x14ac:dyDescent="0.35">
      <c r="A36" s="289"/>
      <c r="B36" s="270"/>
      <c r="C36" s="271"/>
      <c r="D36" s="271"/>
      <c r="E36" s="271"/>
      <c r="F36" s="271"/>
      <c r="G36" s="271"/>
      <c r="H36" s="271"/>
      <c r="I36" s="271"/>
      <c r="J36" s="271"/>
      <c r="K36" s="271"/>
      <c r="L36" s="271"/>
      <c r="M36" s="272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" thickBot="1" x14ac:dyDescent="0.35">
      <c r="A37" s="289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7" customHeight="1" thickBot="1" x14ac:dyDescent="0.35">
      <c r="A38" s="289"/>
      <c r="B38" s="267" t="s">
        <v>15</v>
      </c>
      <c r="C38" s="268"/>
      <c r="D38" s="268"/>
      <c r="E38" s="268"/>
      <c r="F38" s="268"/>
      <c r="G38" s="268"/>
      <c r="H38" s="268"/>
      <c r="I38" s="268"/>
      <c r="J38" s="268"/>
      <c r="K38" s="268"/>
      <c r="L38" s="268"/>
      <c r="M38" s="269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37500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" thickBot="1" x14ac:dyDescent="0.35">
      <c r="A39" s="289"/>
      <c r="B39" s="270"/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2"/>
      <c r="N39" s="166" t="s">
        <v>16</v>
      </c>
      <c r="O39" s="416">
        <f>SUM(O38:Y38)</f>
        <v>1977054</v>
      </c>
      <c r="P39" s="417"/>
      <c r="Q39" s="417"/>
      <c r="R39" s="417"/>
      <c r="S39" s="417"/>
      <c r="T39" s="417"/>
      <c r="U39" s="417"/>
      <c r="V39" s="417"/>
      <c r="W39" s="417"/>
      <c r="X39" s="417"/>
      <c r="Y39" s="418"/>
    </row>
    <row r="40" spans="1:25" ht="15" thickBot="1" x14ac:dyDescent="0.35">
      <c r="A40" s="289"/>
      <c r="B40" s="267" t="s">
        <v>17</v>
      </c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9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55000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" thickBot="1" x14ac:dyDescent="0.35">
      <c r="A41" s="289"/>
      <c r="B41" s="270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2"/>
      <c r="N41" s="166" t="s">
        <v>16</v>
      </c>
      <c r="O41" s="282">
        <f>SUM(O40:Y40)</f>
        <v>2634000</v>
      </c>
      <c r="P41" s="283"/>
      <c r="Q41" s="283"/>
      <c r="R41" s="283"/>
      <c r="S41" s="283"/>
      <c r="T41" s="283"/>
      <c r="U41" s="283"/>
      <c r="V41" s="283"/>
      <c r="W41" s="283"/>
      <c r="X41" s="283"/>
      <c r="Y41" s="284"/>
    </row>
    <row r="42" spans="1:25" ht="14.7" customHeight="1" thickBot="1" x14ac:dyDescent="0.35">
      <c r="A42" s="289"/>
      <c r="B42" s="267" t="s">
        <v>18</v>
      </c>
      <c r="C42" s="268"/>
      <c r="D42" s="268"/>
      <c r="E42" s="268"/>
      <c r="F42" s="268"/>
      <c r="G42" s="268"/>
      <c r="H42" s="268"/>
      <c r="I42" s="268"/>
      <c r="J42" s="268"/>
      <c r="K42" s="268"/>
      <c r="L42" s="268"/>
      <c r="M42" s="269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17500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7" customHeight="1" thickBot="1" x14ac:dyDescent="0.35">
      <c r="A43" s="289"/>
      <c r="B43" s="270"/>
      <c r="C43" s="271"/>
      <c r="D43" s="271"/>
      <c r="E43" s="271"/>
      <c r="F43" s="271"/>
      <c r="G43" s="271"/>
      <c r="H43" s="271"/>
      <c r="I43" s="271"/>
      <c r="J43" s="271"/>
      <c r="K43" s="271"/>
      <c r="L43" s="271"/>
      <c r="M43" s="272"/>
      <c r="N43" s="166" t="s">
        <v>29</v>
      </c>
      <c r="O43" s="279">
        <f>O41-O39</f>
        <v>656946</v>
      </c>
      <c r="P43" s="280"/>
      <c r="Q43" s="280"/>
      <c r="R43" s="280"/>
      <c r="S43" s="280"/>
      <c r="T43" s="280"/>
      <c r="U43" s="280"/>
      <c r="V43" s="280"/>
      <c r="W43" s="280"/>
      <c r="X43" s="280"/>
      <c r="Y43" s="281"/>
    </row>
    <row r="44" spans="1:25" ht="15" thickBot="1" x14ac:dyDescent="0.35">
      <c r="A44" s="289"/>
    </row>
    <row r="45" spans="1:25" ht="14.7" customHeight="1" thickBot="1" x14ac:dyDescent="0.35">
      <c r="A45" s="289"/>
      <c r="B45" s="300" t="s">
        <v>25</v>
      </c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2"/>
      <c r="O45" s="297" t="s">
        <v>26</v>
      </c>
      <c r="P45" s="298"/>
      <c r="Q45" s="299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3">
      <c r="A46" s="289"/>
      <c r="B46" s="303"/>
      <c r="C46" s="304"/>
      <c r="D46" s="304"/>
      <c r="E46" s="304"/>
      <c r="F46" s="304"/>
      <c r="G46" s="304"/>
      <c r="H46" s="304"/>
      <c r="I46" s="304"/>
      <c r="J46" s="304"/>
      <c r="K46" s="304"/>
      <c r="L46" s="304"/>
      <c r="M46" s="304"/>
      <c r="N46" s="305"/>
      <c r="O46" s="309" t="s">
        <v>90</v>
      </c>
      <c r="P46" s="310"/>
      <c r="Q46" s="311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3">
      <c r="A47" s="289"/>
      <c r="B47" s="303"/>
      <c r="C47" s="304"/>
      <c r="D47" s="304"/>
      <c r="E47" s="304"/>
      <c r="F47" s="304"/>
      <c r="G47" s="304"/>
      <c r="H47" s="304"/>
      <c r="I47" s="304"/>
      <c r="J47" s="304"/>
      <c r="K47" s="304"/>
      <c r="L47" s="304"/>
      <c r="M47" s="304"/>
      <c r="N47" s="305"/>
      <c r="O47" s="264" t="s">
        <v>91</v>
      </c>
      <c r="P47" s="265"/>
      <c r="Q47" s="266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3">
      <c r="A48" s="289"/>
      <c r="B48" s="303"/>
      <c r="C48" s="304"/>
      <c r="D48" s="304"/>
      <c r="E48" s="304"/>
      <c r="F48" s="304"/>
      <c r="G48" s="304"/>
      <c r="H48" s="304"/>
      <c r="I48" s="304"/>
      <c r="J48" s="304"/>
      <c r="K48" s="304"/>
      <c r="L48" s="304"/>
      <c r="M48" s="304"/>
      <c r="N48" s="305"/>
      <c r="O48" s="264" t="s">
        <v>92</v>
      </c>
      <c r="P48" s="265"/>
      <c r="Q48" s="266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3">
      <c r="A49" s="289"/>
      <c r="B49" s="303"/>
      <c r="C49" s="304"/>
      <c r="D49" s="304"/>
      <c r="E49" s="304"/>
      <c r="F49" s="304"/>
      <c r="G49" s="304"/>
      <c r="H49" s="304"/>
      <c r="I49" s="304"/>
      <c r="J49" s="304"/>
      <c r="K49" s="304"/>
      <c r="L49" s="304"/>
      <c r="M49" s="304"/>
      <c r="N49" s="305"/>
      <c r="O49" s="264" t="s">
        <v>209</v>
      </c>
      <c r="P49" s="265"/>
      <c r="Q49" s="266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3">
      <c r="A50" s="289"/>
      <c r="B50" s="303"/>
      <c r="C50" s="304"/>
      <c r="D50" s="304"/>
      <c r="E50" s="304"/>
      <c r="F50" s="304"/>
      <c r="G50" s="304"/>
      <c r="H50" s="304"/>
      <c r="I50" s="304"/>
      <c r="J50" s="304"/>
      <c r="K50" s="304"/>
      <c r="L50" s="304"/>
      <c r="M50" s="304"/>
      <c r="N50" s="305"/>
      <c r="O50" s="264"/>
      <c r="P50" s="265"/>
      <c r="Q50" s="266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3">
      <c r="A51" s="289"/>
      <c r="B51" s="303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5"/>
      <c r="O51" s="264"/>
      <c r="P51" s="265"/>
      <c r="Q51" s="266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5">
      <c r="A52" s="289"/>
      <c r="B52" s="303"/>
      <c r="C52" s="304"/>
      <c r="D52" s="304"/>
      <c r="E52" s="304"/>
      <c r="F52" s="304"/>
      <c r="G52" s="304"/>
      <c r="H52" s="304"/>
      <c r="I52" s="304"/>
      <c r="J52" s="304"/>
      <c r="K52" s="304"/>
      <c r="L52" s="304"/>
      <c r="M52" s="304"/>
      <c r="N52" s="305"/>
      <c r="O52" s="291"/>
      <c r="P52" s="292"/>
      <c r="Q52" s="293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5">
      <c r="A53" s="289"/>
      <c r="B53" s="306"/>
      <c r="C53" s="307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8"/>
      <c r="O53" s="294" t="s">
        <v>16</v>
      </c>
      <c r="P53" s="295"/>
      <c r="Q53" s="296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" thickBot="1" x14ac:dyDescent="0.35">
      <c r="A54" s="289"/>
    </row>
    <row r="55" spans="1:25" ht="51.75" customHeight="1" thickBot="1" x14ac:dyDescent="0.35">
      <c r="A55" s="290"/>
      <c r="B55" s="297" t="s">
        <v>18</v>
      </c>
      <c r="C55" s="298"/>
      <c r="D55" s="298"/>
      <c r="E55" s="298"/>
      <c r="F55" s="298"/>
      <c r="G55" s="298"/>
      <c r="H55" s="298"/>
      <c r="I55" s="298"/>
      <c r="J55" s="298"/>
      <c r="K55" s="298"/>
      <c r="L55" s="299"/>
      <c r="M55" s="166"/>
      <c r="N55" s="165" t="s">
        <v>16</v>
      </c>
      <c r="O55" s="279">
        <f>O43-SUM(R46:R52)</f>
        <v>476946</v>
      </c>
      <c r="P55" s="280"/>
      <c r="Q55" s="280"/>
      <c r="R55" s="280"/>
      <c r="S55" s="280"/>
      <c r="T55" s="280"/>
      <c r="U55" s="281"/>
      <c r="V55" s="143"/>
      <c r="W55" s="143"/>
      <c r="X55" s="143"/>
      <c r="Y55" s="143"/>
    </row>
    <row r="56" spans="1:25" ht="15.75" customHeight="1" x14ac:dyDescent="0.3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3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3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3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3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3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3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3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3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6:Z26">
    <cfRule type="cellIs" dxfId="116" priority="4" operator="lessThan">
      <formula>20</formula>
    </cfRule>
    <cfRule type="cellIs" dxfId="115" priority="5" operator="between">
      <formula>20</formula>
      <formula>29</formula>
    </cfRule>
    <cfRule type="cellIs" dxfId="114" priority="6" operator="greaterThan">
      <formula>29</formula>
    </cfRule>
  </conditionalFormatting>
  <conditionalFormatting sqref="Z5">
    <cfRule type="cellIs" dxfId="113" priority="1" operator="lessThan">
      <formula>20</formula>
    </cfRule>
    <cfRule type="cellIs" dxfId="112" priority="2" operator="between">
      <formula>20</formula>
      <formula>29</formula>
    </cfRule>
    <cfRule type="cellIs" dxfId="111" priority="3" operator="greaterThan">
      <formula>29</formula>
    </cfRule>
  </conditionalFormatting>
  <hyperlinks>
    <hyperlink ref="J16" r:id="rId1" xr:uid="{0F2AA1BB-3F54-40FF-A9AB-78D3786731A5}"/>
    <hyperlink ref="J8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85" t="s">
        <v>38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7"/>
      <c r="O2" s="261" t="s">
        <v>11</v>
      </c>
      <c r="P2" s="262"/>
      <c r="Q2" s="262"/>
      <c r="R2" s="262"/>
      <c r="S2" s="262"/>
      <c r="T2" s="262"/>
      <c r="U2" s="262"/>
      <c r="V2" s="262"/>
      <c r="W2" s="262"/>
      <c r="X2" s="262"/>
      <c r="Y2" s="263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3" t="s">
        <v>39</v>
      </c>
      <c r="B5" s="54" t="s">
        <v>71</v>
      </c>
      <c r="C5" s="51" t="s">
        <v>76</v>
      </c>
      <c r="D5" s="51" t="s">
        <v>77</v>
      </c>
      <c r="E5" s="51" t="s">
        <v>40</v>
      </c>
      <c r="F5" s="51" t="s">
        <v>64</v>
      </c>
      <c r="G5" s="51" t="s">
        <v>48</v>
      </c>
      <c r="H5" s="51" t="s">
        <v>41</v>
      </c>
      <c r="I5" s="55">
        <v>56967898535</v>
      </c>
      <c r="J5" s="26" t="s">
        <v>78</v>
      </c>
      <c r="K5" s="26" t="s">
        <v>70</v>
      </c>
      <c r="L5" s="49" t="s">
        <v>126</v>
      </c>
      <c r="M5" s="52" t="s">
        <v>115</v>
      </c>
      <c r="N5" s="51">
        <f>SUMPRODUCT(Tabla5235[[#This Row],[Naranjas]:[Almendras]],O$21:Y$21)</f>
        <v>3500</v>
      </c>
      <c r="O5" s="52">
        <v>1</v>
      </c>
      <c r="P5" s="52">
        <v>0</v>
      </c>
      <c r="Q5" s="49">
        <v>0</v>
      </c>
      <c r="R5" s="49">
        <v>0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</v>
      </c>
      <c r="AA5" s="57"/>
    </row>
    <row r="6" spans="1:27" outlineLevel="1" x14ac:dyDescent="0.3">
      <c r="A6" s="414"/>
      <c r="B6" s="50" t="s">
        <v>59</v>
      </c>
      <c r="C6" s="48" t="s">
        <v>60</v>
      </c>
      <c r="D6" s="59" t="s">
        <v>61</v>
      </c>
      <c r="E6" s="59" t="s">
        <v>51</v>
      </c>
      <c r="F6" s="59" t="s">
        <v>62</v>
      </c>
      <c r="G6" s="59" t="s">
        <v>48</v>
      </c>
      <c r="H6" s="59" t="s">
        <v>41</v>
      </c>
      <c r="I6" s="60">
        <v>56999699652</v>
      </c>
      <c r="J6" s="27" t="s">
        <v>63</v>
      </c>
      <c r="K6" s="27" t="s">
        <v>42</v>
      </c>
      <c r="L6" s="52" t="s">
        <v>126</v>
      </c>
      <c r="M6" s="52" t="s">
        <v>115</v>
      </c>
      <c r="N6" s="47">
        <f>SUMPRODUCT(Tabla5235[[#This Row],[Naranjas]:[Almendras]],O$21:Y$21)</f>
        <v>19000</v>
      </c>
      <c r="O6" s="52">
        <v>2</v>
      </c>
      <c r="P6" s="52">
        <v>0</v>
      </c>
      <c r="Q6" s="52">
        <v>0</v>
      </c>
      <c r="R6" s="52">
        <v>1</v>
      </c>
      <c r="S6" s="52">
        <v>0</v>
      </c>
      <c r="T6" s="52">
        <v>0</v>
      </c>
      <c r="U6" s="52">
        <v>0</v>
      </c>
      <c r="V6" s="52">
        <v>1</v>
      </c>
      <c r="W6" s="52">
        <v>0</v>
      </c>
      <c r="X6" s="52">
        <v>0</v>
      </c>
      <c r="Y6" s="52">
        <v>0</v>
      </c>
      <c r="Z6" s="52">
        <f>SUM(Tabla5235[[#This Row],[Naranjas]:[Almendras]])</f>
        <v>4</v>
      </c>
      <c r="AA6" s="58"/>
    </row>
    <row r="7" spans="1:27" outlineLevel="1" x14ac:dyDescent="0.3">
      <c r="A7" s="414"/>
      <c r="B7" s="56" t="s">
        <v>210</v>
      </c>
      <c r="C7" s="47" t="s">
        <v>211</v>
      </c>
      <c r="D7" s="47" t="s">
        <v>173</v>
      </c>
      <c r="E7" s="47" t="s">
        <v>51</v>
      </c>
      <c r="F7" s="47" t="s">
        <v>131</v>
      </c>
      <c r="G7" s="47" t="s">
        <v>56</v>
      </c>
      <c r="H7" s="47" t="s">
        <v>41</v>
      </c>
      <c r="I7" s="53">
        <v>56997267212</v>
      </c>
      <c r="J7" s="27" t="s">
        <v>212</v>
      </c>
      <c r="K7" s="27" t="s">
        <v>58</v>
      </c>
      <c r="L7" s="52" t="s">
        <v>126</v>
      </c>
      <c r="M7" s="52" t="s">
        <v>115</v>
      </c>
      <c r="N7" s="47">
        <f>SUMPRODUCT(Tabla5235[[#This Row],[Naranjas]:[Almendras]],O$21:Y$21)</f>
        <v>48200</v>
      </c>
      <c r="O7" s="52">
        <v>0</v>
      </c>
      <c r="P7" s="52">
        <v>0</v>
      </c>
      <c r="Q7" s="52">
        <v>11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SUM(Tabla5235[[#This Row],[Naranjas]:[Almendras]])</f>
        <v>12</v>
      </c>
      <c r="AA7" s="58"/>
    </row>
    <row r="8" spans="1:27" outlineLevel="1" x14ac:dyDescent="0.3">
      <c r="A8" s="414"/>
      <c r="B8" s="56" t="s">
        <v>86</v>
      </c>
      <c r="C8" s="47" t="s">
        <v>87</v>
      </c>
      <c r="D8" s="47" t="s">
        <v>88</v>
      </c>
      <c r="E8" s="47" t="s">
        <v>40</v>
      </c>
      <c r="F8" s="47" t="s">
        <v>64</v>
      </c>
      <c r="G8" s="47" t="s">
        <v>66</v>
      </c>
      <c r="H8" s="47" t="s">
        <v>41</v>
      </c>
      <c r="I8" s="53">
        <v>56952304675</v>
      </c>
      <c r="J8" s="27" t="s">
        <v>89</v>
      </c>
      <c r="K8" s="27" t="s">
        <v>58</v>
      </c>
      <c r="L8" s="52" t="s">
        <v>126</v>
      </c>
      <c r="M8" s="52" t="s">
        <v>115</v>
      </c>
      <c r="N8" s="47">
        <f>SUMPRODUCT(Tabla5235[[#This Row],[Naranjas]:[Almendras]],O$21:Y$21)</f>
        <v>7500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1</v>
      </c>
      <c r="Z8" s="52">
        <f>SUM(Tabla5235[[#This Row],[Naranjas]:[Almendras]])</f>
        <v>1</v>
      </c>
      <c r="AA8" s="58"/>
    </row>
    <row r="9" spans="1:27" outlineLevel="1" x14ac:dyDescent="0.3">
      <c r="A9" s="414"/>
      <c r="B9" s="56" t="s">
        <v>99</v>
      </c>
      <c r="C9" s="47" t="s">
        <v>100</v>
      </c>
      <c r="D9" s="47" t="s">
        <v>101</v>
      </c>
      <c r="E9" s="47" t="s">
        <v>51</v>
      </c>
      <c r="F9" s="47" t="s">
        <v>47</v>
      </c>
      <c r="G9" s="47" t="s">
        <v>68</v>
      </c>
      <c r="H9" s="47" t="s">
        <v>41</v>
      </c>
      <c r="I9" s="53">
        <v>56967289638</v>
      </c>
      <c r="J9" s="27" t="s">
        <v>102</v>
      </c>
      <c r="K9" s="27" t="s">
        <v>70</v>
      </c>
      <c r="L9" s="52" t="s">
        <v>126</v>
      </c>
      <c r="M9" s="52" t="s">
        <v>126</v>
      </c>
      <c r="N9" s="47">
        <f>SUMPRODUCT(Tabla5235[[#This Row],[Naranjas]:[Almendras]],O$21:Y$21)</f>
        <v>47400</v>
      </c>
      <c r="O9" s="52">
        <v>4</v>
      </c>
      <c r="P9" s="52">
        <v>0</v>
      </c>
      <c r="Q9" s="52">
        <v>7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SUM(Tabla5235[[#This Row],[Naranjas]:[Almendras]])</f>
        <v>12</v>
      </c>
      <c r="AA9" s="58"/>
    </row>
    <row r="10" spans="1:27" outlineLevel="1" x14ac:dyDescent="0.3">
      <c r="A10" s="414"/>
      <c r="B10" s="56" t="s">
        <v>43</v>
      </c>
      <c r="C10" s="47" t="s">
        <v>44</v>
      </c>
      <c r="D10" s="47" t="s">
        <v>45</v>
      </c>
      <c r="E10" s="47" t="s">
        <v>46</v>
      </c>
      <c r="F10" s="47" t="s">
        <v>47</v>
      </c>
      <c r="G10" s="47" t="s">
        <v>48</v>
      </c>
      <c r="H10" s="47" t="s">
        <v>41</v>
      </c>
      <c r="I10" s="53">
        <v>56942723186</v>
      </c>
      <c r="J10" s="27" t="s">
        <v>49</v>
      </c>
      <c r="K10" s="27" t="s">
        <v>42</v>
      </c>
      <c r="L10" s="52" t="s">
        <v>126</v>
      </c>
      <c r="M10" s="52" t="s">
        <v>126</v>
      </c>
      <c r="N10" s="47">
        <f>SUMPRODUCT(Tabla5235[[#This Row],[Naranjas]:[Almendras]],O$21:Y$21)</f>
        <v>3500</v>
      </c>
      <c r="O10" s="52">
        <v>1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SUM(Tabla5235[[#This Row],[Naranjas]:[Almendras]])</f>
        <v>1</v>
      </c>
      <c r="AA10" s="58"/>
    </row>
    <row r="11" spans="1:27" ht="15" outlineLevel="1" thickBot="1" x14ac:dyDescent="0.35">
      <c r="A11" s="415"/>
      <c r="B11" s="56" t="s">
        <v>195</v>
      </c>
      <c r="C11" s="47" t="s">
        <v>196</v>
      </c>
      <c r="D11" s="47" t="s">
        <v>197</v>
      </c>
      <c r="E11" s="47" t="s">
        <v>40</v>
      </c>
      <c r="F11" s="47" t="s">
        <v>123</v>
      </c>
      <c r="G11" s="47" t="s">
        <v>198</v>
      </c>
      <c r="H11" s="47" t="s">
        <v>41</v>
      </c>
      <c r="I11" s="53">
        <v>56988587944</v>
      </c>
      <c r="J11" s="27" t="s">
        <v>199</v>
      </c>
      <c r="K11" s="27" t="s">
        <v>58</v>
      </c>
      <c r="L11" s="52" t="s">
        <v>126</v>
      </c>
      <c r="M11" s="52" t="s">
        <v>126</v>
      </c>
      <c r="N11" s="47">
        <f>SUMPRODUCT(Tabla5235[[#This Row],[Naranjas]:[Almendras]],O$21:Y$21)</f>
        <v>36500</v>
      </c>
      <c r="O11" s="52">
        <v>3</v>
      </c>
      <c r="P11" s="52">
        <v>0</v>
      </c>
      <c r="Q11" s="52">
        <v>5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SUM(Tabla5235[[#This Row],[Naranjas]:[Almendras]])</f>
        <v>9</v>
      </c>
      <c r="AA11" s="58"/>
    </row>
    <row r="12" spans="1:27" outlineLevel="1" x14ac:dyDescent="0.3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" thickBot="1" x14ac:dyDescent="0.35"/>
    <row r="14" spans="1:27" ht="14.7" customHeight="1" thickBot="1" x14ac:dyDescent="0.35">
      <c r="A14" s="288" t="s">
        <v>20</v>
      </c>
      <c r="B14" s="267" t="s">
        <v>7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9"/>
      <c r="N14" s="258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SUM(Tabla5235[Mani])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7" customHeight="1" thickBot="1" x14ac:dyDescent="0.35">
      <c r="A15" s="289"/>
      <c r="B15" s="273"/>
      <c r="C15" s="274"/>
      <c r="D15" s="274"/>
      <c r="E15" s="274"/>
      <c r="F15" s="274"/>
      <c r="G15" s="274"/>
      <c r="H15" s="274"/>
      <c r="I15" s="274"/>
      <c r="J15" s="274"/>
      <c r="K15" s="274"/>
      <c r="L15" s="274"/>
      <c r="M15" s="275"/>
      <c r="N15" s="258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7" customHeight="1" thickBot="1" x14ac:dyDescent="0.35">
      <c r="A16" s="289"/>
      <c r="B16" s="273"/>
      <c r="C16" s="274"/>
      <c r="D16" s="274"/>
      <c r="E16" s="274"/>
      <c r="F16" s="274"/>
      <c r="G16" s="274"/>
      <c r="H16" s="274"/>
      <c r="I16" s="274"/>
      <c r="J16" s="274"/>
      <c r="K16" s="274"/>
      <c r="L16" s="274"/>
      <c r="M16" s="275"/>
      <c r="N16" s="258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" thickBot="1" x14ac:dyDescent="0.35">
      <c r="A17" s="289"/>
      <c r="B17" s="270"/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2"/>
      <c r="N17" s="258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" thickBot="1" x14ac:dyDescent="0.35">
      <c r="A18" s="289"/>
      <c r="B18" s="259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" thickBot="1" x14ac:dyDescent="0.35">
      <c r="A19" s="289"/>
      <c r="B19" s="267" t="s">
        <v>12</v>
      </c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9"/>
      <c r="N19" s="258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" thickBot="1" x14ac:dyDescent="0.35">
      <c r="A20" s="289"/>
      <c r="B20" s="273"/>
      <c r="C20" s="274"/>
      <c r="D20" s="274"/>
      <c r="E20" s="274"/>
      <c r="F20" s="274"/>
      <c r="G20" s="274"/>
      <c r="H20" s="274"/>
      <c r="I20" s="274"/>
      <c r="J20" s="274"/>
      <c r="K20" s="274"/>
      <c r="L20" s="274"/>
      <c r="M20" s="275"/>
      <c r="N20" s="258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" thickBot="1" x14ac:dyDescent="0.35">
      <c r="A21" s="289"/>
      <c r="B21" s="270"/>
      <c r="C21" s="271"/>
      <c r="D21" s="271"/>
      <c r="E21" s="271"/>
      <c r="F21" s="271"/>
      <c r="G21" s="271"/>
      <c r="H21" s="271"/>
      <c r="I21" s="271"/>
      <c r="J21" s="271"/>
      <c r="K21" s="271"/>
      <c r="L21" s="271"/>
      <c r="M21" s="272"/>
      <c r="N21" s="258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" thickBot="1" x14ac:dyDescent="0.35">
      <c r="A22" s="289"/>
      <c r="B22" s="259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7" customHeight="1" thickBot="1" x14ac:dyDescent="0.35">
      <c r="A23" s="289"/>
      <c r="B23" s="267" t="s">
        <v>15</v>
      </c>
      <c r="C23" s="268"/>
      <c r="D23" s="268"/>
      <c r="E23" s="268"/>
      <c r="F23" s="268"/>
      <c r="G23" s="268"/>
      <c r="H23" s="268"/>
      <c r="I23" s="268"/>
      <c r="J23" s="268"/>
      <c r="K23" s="268"/>
      <c r="L23" s="268"/>
      <c r="M23" s="269"/>
      <c r="N23" s="258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" thickBot="1" x14ac:dyDescent="0.35">
      <c r="A24" s="289"/>
      <c r="B24" s="270"/>
      <c r="C24" s="271"/>
      <c r="D24" s="271"/>
      <c r="E24" s="271"/>
      <c r="F24" s="271"/>
      <c r="G24" s="271"/>
      <c r="H24" s="271"/>
      <c r="I24" s="271"/>
      <c r="J24" s="271"/>
      <c r="K24" s="271"/>
      <c r="L24" s="271"/>
      <c r="M24" s="272"/>
      <c r="N24" s="258" t="s">
        <v>16</v>
      </c>
      <c r="O24" s="282">
        <f>SUM(O23:Y23)</f>
        <v>137264</v>
      </c>
      <c r="P24" s="283"/>
      <c r="Q24" s="283"/>
      <c r="R24" s="283"/>
      <c r="S24" s="283"/>
      <c r="T24" s="283"/>
      <c r="U24" s="283"/>
      <c r="V24" s="283"/>
      <c r="W24" s="283"/>
      <c r="X24" s="283"/>
      <c r="Y24" s="284"/>
    </row>
    <row r="25" spans="1:25" ht="15" thickBot="1" x14ac:dyDescent="0.35">
      <c r="A25" s="289"/>
      <c r="B25" s="267" t="s">
        <v>17</v>
      </c>
      <c r="C25" s="268"/>
      <c r="D25" s="268"/>
      <c r="E25" s="268"/>
      <c r="F25" s="268"/>
      <c r="G25" s="268"/>
      <c r="H25" s="268"/>
      <c r="I25" s="268"/>
      <c r="J25" s="268"/>
      <c r="K25" s="268"/>
      <c r="L25" s="268"/>
      <c r="M25" s="269"/>
      <c r="N25" s="258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" thickBot="1" x14ac:dyDescent="0.35">
      <c r="A26" s="289"/>
      <c r="B26" s="270"/>
      <c r="C26" s="271"/>
      <c r="D26" s="271"/>
      <c r="E26" s="271"/>
      <c r="F26" s="271"/>
      <c r="G26" s="271"/>
      <c r="H26" s="271"/>
      <c r="I26" s="271"/>
      <c r="J26" s="271"/>
      <c r="K26" s="271"/>
      <c r="L26" s="271"/>
      <c r="M26" s="272"/>
      <c r="N26" s="258" t="s">
        <v>16</v>
      </c>
      <c r="O26" s="282">
        <f>SUM(O25:Y25)</f>
        <v>165600</v>
      </c>
      <c r="P26" s="283"/>
      <c r="Q26" s="283"/>
      <c r="R26" s="283"/>
      <c r="S26" s="283"/>
      <c r="T26" s="283"/>
      <c r="U26" s="283"/>
      <c r="V26" s="283"/>
      <c r="W26" s="283"/>
      <c r="X26" s="283"/>
      <c r="Y26" s="284"/>
    </row>
    <row r="27" spans="1:25" ht="14.7" customHeight="1" thickBot="1" x14ac:dyDescent="0.35">
      <c r="A27" s="289"/>
      <c r="B27" s="267" t="s">
        <v>18</v>
      </c>
      <c r="C27" s="268"/>
      <c r="D27" s="268"/>
      <c r="E27" s="268"/>
      <c r="F27" s="268"/>
      <c r="G27" s="268"/>
      <c r="H27" s="268"/>
      <c r="I27" s="268"/>
      <c r="J27" s="268"/>
      <c r="K27" s="268"/>
      <c r="L27" s="268"/>
      <c r="M27" s="269"/>
      <c r="N27" s="258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7" customHeight="1" thickBot="1" x14ac:dyDescent="0.35">
      <c r="A28" s="289"/>
      <c r="B28" s="270"/>
      <c r="C28" s="271"/>
      <c r="D28" s="271"/>
      <c r="E28" s="271"/>
      <c r="F28" s="271"/>
      <c r="G28" s="271"/>
      <c r="H28" s="271"/>
      <c r="I28" s="271"/>
      <c r="J28" s="271"/>
      <c r="K28" s="271"/>
      <c r="L28" s="271"/>
      <c r="M28" s="272"/>
      <c r="N28" s="258" t="s">
        <v>29</v>
      </c>
      <c r="O28" s="279">
        <f>O26-O24</f>
        <v>28336</v>
      </c>
      <c r="P28" s="280"/>
      <c r="Q28" s="280"/>
      <c r="R28" s="280"/>
      <c r="S28" s="280"/>
      <c r="T28" s="280"/>
      <c r="U28" s="280"/>
      <c r="V28" s="280"/>
      <c r="W28" s="280"/>
      <c r="X28" s="280"/>
      <c r="Y28" s="281"/>
    </row>
    <row r="29" spans="1:25" ht="15" thickBot="1" x14ac:dyDescent="0.35">
      <c r="A29" s="289"/>
    </row>
    <row r="30" spans="1:25" ht="14.7" customHeight="1" thickBot="1" x14ac:dyDescent="0.35">
      <c r="A30" s="289"/>
      <c r="B30" s="300" t="s">
        <v>25</v>
      </c>
      <c r="C30" s="301"/>
      <c r="D30" s="301"/>
      <c r="E30" s="301"/>
      <c r="F30" s="301"/>
      <c r="G30" s="301"/>
      <c r="H30" s="301"/>
      <c r="I30" s="301"/>
      <c r="J30" s="301"/>
      <c r="K30" s="301"/>
      <c r="L30" s="301"/>
      <c r="M30" s="301"/>
      <c r="N30" s="302"/>
      <c r="O30" s="297" t="s">
        <v>26</v>
      </c>
      <c r="P30" s="298"/>
      <c r="Q30" s="299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3">
      <c r="A31" s="289"/>
      <c r="B31" s="303"/>
      <c r="C31" s="304"/>
      <c r="D31" s="304"/>
      <c r="E31" s="304"/>
      <c r="F31" s="304"/>
      <c r="G31" s="304"/>
      <c r="H31" s="304"/>
      <c r="I31" s="304"/>
      <c r="J31" s="304"/>
      <c r="K31" s="304"/>
      <c r="L31" s="304"/>
      <c r="M31" s="304"/>
      <c r="N31" s="305"/>
      <c r="O31" s="309"/>
      <c r="P31" s="310"/>
      <c r="Q31" s="311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3">
      <c r="A32" s="289"/>
      <c r="B32" s="303"/>
      <c r="C32" s="304"/>
      <c r="D32" s="304"/>
      <c r="E32" s="304"/>
      <c r="F32" s="304"/>
      <c r="G32" s="304"/>
      <c r="H32" s="304"/>
      <c r="I32" s="304"/>
      <c r="J32" s="304"/>
      <c r="K32" s="304"/>
      <c r="L32" s="304"/>
      <c r="M32" s="304"/>
      <c r="N32" s="305"/>
      <c r="O32" s="264"/>
      <c r="P32" s="265"/>
      <c r="Q32" s="266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3">
      <c r="A33" s="289"/>
      <c r="B33" s="303"/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305"/>
      <c r="O33" s="264"/>
      <c r="P33" s="265"/>
      <c r="Q33" s="266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3">
      <c r="A34" s="289"/>
      <c r="B34" s="303"/>
      <c r="C34" s="304"/>
      <c r="D34" s="304"/>
      <c r="E34" s="304"/>
      <c r="F34" s="304"/>
      <c r="G34" s="304"/>
      <c r="H34" s="304"/>
      <c r="I34" s="304"/>
      <c r="J34" s="304"/>
      <c r="K34" s="304"/>
      <c r="L34" s="304"/>
      <c r="M34" s="304"/>
      <c r="N34" s="305"/>
      <c r="O34" s="264"/>
      <c r="P34" s="265"/>
      <c r="Q34" s="266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3">
      <c r="A35" s="289"/>
      <c r="B35" s="303"/>
      <c r="C35" s="304"/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5"/>
      <c r="O35" s="264"/>
      <c r="P35" s="265"/>
      <c r="Q35" s="266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3">
      <c r="A36" s="289"/>
      <c r="B36" s="303"/>
      <c r="C36" s="304"/>
      <c r="D36" s="304"/>
      <c r="E36" s="304"/>
      <c r="F36" s="304"/>
      <c r="G36" s="304"/>
      <c r="H36" s="304"/>
      <c r="I36" s="304"/>
      <c r="J36" s="304"/>
      <c r="K36" s="304"/>
      <c r="L36" s="304"/>
      <c r="M36" s="304"/>
      <c r="N36" s="305"/>
      <c r="O36" s="264"/>
      <c r="P36" s="265"/>
      <c r="Q36" s="266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5">
      <c r="A37" s="289"/>
      <c r="B37" s="303"/>
      <c r="C37" s="304"/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5"/>
      <c r="O37" s="291"/>
      <c r="P37" s="292"/>
      <c r="Q37" s="293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5">
      <c r="A38" s="289"/>
      <c r="B38" s="306"/>
      <c r="C38" s="307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8"/>
      <c r="O38" s="294" t="s">
        <v>16</v>
      </c>
      <c r="P38" s="295"/>
      <c r="Q38" s="296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" thickBot="1" x14ac:dyDescent="0.35">
      <c r="A39" s="289"/>
    </row>
    <row r="40" spans="1:25" ht="51.75" customHeight="1" thickBot="1" x14ac:dyDescent="0.35">
      <c r="A40" s="290"/>
      <c r="B40" s="297" t="s">
        <v>18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9"/>
      <c r="M40" s="258"/>
      <c r="N40" s="257" t="s">
        <v>16</v>
      </c>
      <c r="O40" s="279">
        <f>O28-SUM(R31:R37)</f>
        <v>28336</v>
      </c>
      <c r="P40" s="280"/>
      <c r="Q40" s="280"/>
      <c r="R40" s="280"/>
      <c r="S40" s="280"/>
      <c r="T40" s="280"/>
      <c r="U40" s="281"/>
      <c r="V40" s="143"/>
      <c r="W40" s="143"/>
      <c r="X40" s="143"/>
      <c r="Y40" s="143"/>
    </row>
    <row r="41" spans="1:25" ht="15.75" customHeight="1" x14ac:dyDescent="0.3">
      <c r="A41" s="30"/>
      <c r="P41" s="28"/>
      <c r="Q41" s="28"/>
      <c r="R41" s="28"/>
      <c r="S41" s="28"/>
      <c r="U41" s="260"/>
      <c r="V41" s="260"/>
      <c r="W41" s="260"/>
      <c r="X41" s="260"/>
      <c r="Y41" s="260"/>
    </row>
    <row r="42" spans="1:25" ht="15" customHeight="1" x14ac:dyDescent="0.3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3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3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3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3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3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3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3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B30:N38"/>
    <mergeCell ref="O30:Q30"/>
    <mergeCell ref="O31:Q31"/>
    <mergeCell ref="O32:Q32"/>
    <mergeCell ref="O33:Q33"/>
    <mergeCell ref="O34:Q34"/>
    <mergeCell ref="O35:Q35"/>
    <mergeCell ref="O36:Q36"/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  <mergeCell ref="O37:Q37"/>
    <mergeCell ref="O38:Q38"/>
    <mergeCell ref="B40:L40"/>
    <mergeCell ref="O40:U40"/>
    <mergeCell ref="B27:M28"/>
    <mergeCell ref="O28:Y28"/>
  </mergeCells>
  <conditionalFormatting sqref="Z5:Z11">
    <cfRule type="cellIs" dxfId="56" priority="1" operator="lessThan">
      <formula>20</formula>
    </cfRule>
    <cfRule type="cellIs" dxfId="55" priority="2" operator="between">
      <formula>20</formula>
      <formula>29</formula>
    </cfRule>
    <cfRule type="cellIs" dxfId="5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2017-11-06T00:52:09Z</dcterms:modified>
</cp:coreProperties>
</file>