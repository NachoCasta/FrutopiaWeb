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1" xr2:uid="{00000000-000D-0000-FFFF-FFFF00000000}"/>
  </bookViews>
  <sheets>
    <sheet name="Pedido base (copiar esta hoja)" sheetId="3" r:id="rId1"/>
    <sheet name="Viernes 6" sheetId="10" r:id="rId2"/>
  </sheets>
  <externalReferences>
    <externalReference r:id="rId3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" i="10" l="1"/>
  <c r="N9" i="10"/>
  <c r="U14" i="10" l="1"/>
  <c r="U9" i="10"/>
  <c r="N10" i="10" l="1"/>
  <c r="Q45" i="10" l="1"/>
  <c r="R27" i="10"/>
  <c r="R26" i="10" s="1"/>
  <c r="T26" i="10"/>
  <c r="S26" i="10"/>
  <c r="Q26" i="10"/>
  <c r="P26" i="10"/>
  <c r="O26" i="10"/>
  <c r="T21" i="10"/>
  <c r="T23" i="10" s="1"/>
  <c r="S21" i="10"/>
  <c r="S23" i="10" s="1"/>
  <c r="R21" i="10"/>
  <c r="R32" i="10" s="1"/>
  <c r="Q21" i="10"/>
  <c r="Q23" i="10" s="1"/>
  <c r="P21" i="10"/>
  <c r="P32" i="10" s="1"/>
  <c r="O21" i="10"/>
  <c r="O23" i="10" s="1"/>
  <c r="U13" i="10"/>
  <c r="N13" i="10"/>
  <c r="U12" i="10"/>
  <c r="N12" i="10"/>
  <c r="U11" i="10"/>
  <c r="N11" i="10"/>
  <c r="U18" i="10"/>
  <c r="N18" i="10"/>
  <c r="U8" i="10"/>
  <c r="N8" i="10"/>
  <c r="U17" i="10"/>
  <c r="N17" i="10"/>
  <c r="U7" i="10"/>
  <c r="N7" i="10"/>
  <c r="U10" i="10"/>
  <c r="U16" i="10"/>
  <c r="N16" i="10"/>
  <c r="U6" i="10"/>
  <c r="N6" i="10"/>
  <c r="U5" i="10"/>
  <c r="N5" i="10"/>
  <c r="U15" i="10"/>
  <c r="N15" i="10"/>
  <c r="S30" i="10" l="1"/>
  <c r="P23" i="10"/>
  <c r="R23" i="10"/>
  <c r="P30" i="10"/>
  <c r="P34" i="10" s="1"/>
  <c r="S32" i="10"/>
  <c r="Q30" i="10"/>
  <c r="Q32" i="10"/>
  <c r="R30" i="10"/>
  <c r="R34" i="10" s="1"/>
  <c r="T30" i="10"/>
  <c r="T32" i="10"/>
  <c r="O30" i="10"/>
  <c r="O32" i="10"/>
  <c r="N72" i="3"/>
  <c r="N71" i="3"/>
  <c r="N70" i="3"/>
  <c r="N69" i="3"/>
  <c r="N68" i="3"/>
  <c r="Q34" i="10" l="1"/>
  <c r="O31" i="10"/>
  <c r="S34" i="10"/>
  <c r="T34" i="10"/>
  <c r="O34" i="10"/>
  <c r="O33" i="10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O35" i="10" l="1"/>
  <c r="O47" i="10" s="1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V69" i="3" l="1"/>
  <c r="V70" i="3"/>
  <c r="V72" i="3"/>
  <c r="V71" i="3"/>
  <c r="S81" i="3" l="1"/>
  <c r="S75" i="3"/>
  <c r="S77" i="3" s="1"/>
  <c r="S80" i="3"/>
  <c r="S84" i="3" l="1"/>
  <c r="S86" i="3"/>
  <c r="S88" i="3" l="1"/>
  <c r="V68" i="3" l="1"/>
  <c r="V65" i="3" l="1"/>
  <c r="V66" i="3"/>
  <c r="V67" i="3"/>
  <c r="V59" i="3"/>
  <c r="V61" i="3"/>
  <c r="V63" i="3"/>
  <c r="V64" i="3"/>
  <c r="V60" i="3" l="1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B5" i="3" l="1"/>
  <c r="C5" i="3"/>
  <c r="R99" i="3"/>
  <c r="U80" i="3"/>
  <c r="T80" i="3"/>
  <c r="R80" i="3"/>
  <c r="Q80" i="3"/>
  <c r="P80" i="3"/>
  <c r="O80" i="3"/>
  <c r="U75" i="3"/>
  <c r="T75" i="3"/>
  <c r="R75" i="3"/>
  <c r="P75" i="3"/>
  <c r="P77" i="3" s="1"/>
  <c r="K5" i="3"/>
  <c r="J5" i="3"/>
  <c r="I5" i="3"/>
  <c r="H5" i="3"/>
  <c r="G5" i="3"/>
  <c r="F5" i="3"/>
  <c r="E5" i="3"/>
  <c r="D5" i="3"/>
  <c r="O75" i="3"/>
  <c r="T84" i="3" l="1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 l="1"/>
  <c r="U88" i="3"/>
  <c r="R88" i="3"/>
  <c r="O88" i="3"/>
  <c r="P88" i="3"/>
  <c r="Q77" i="3"/>
  <c r="Q84" i="3"/>
  <c r="O85" i="3" s="1"/>
  <c r="Q86" i="3"/>
  <c r="O87" i="3" s="1"/>
  <c r="Q88" i="3" l="1"/>
  <c r="O89" i="3" l="1"/>
  <c r="O101" i="3" s="1"/>
</calcChain>
</file>

<file path=xl/sharedStrings.xml><?xml version="1.0" encoding="utf-8"?>
<sst xmlns="http://schemas.openxmlformats.org/spreadsheetml/2006/main" count="271" uniqueCount="129">
  <si>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</si>
  <si>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</si>
  <si>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</si>
  <si>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</si>
  <si>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</si>
  <si>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</si>
  <si>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</si>
  <si>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</si>
  <si>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</si>
  <si>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</si>
  <si>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</si>
  <si>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</si>
  <si>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</si>
  <si>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</si>
  <si>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</si>
  <si>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</si>
  <si>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</si>
  <si>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</si>
  <si>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</si>
  <si>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</si>
  <si>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</si>
  <si>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</si>
  <si>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</si>
  <si>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</si>
  <si>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</si>
  <si>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</si>
  <si>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</si>
  <si>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</si>
  <si>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</si>
  <si>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</si>
  <si>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</si>
  <si>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</si>
  <si>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</si>
  <si>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</si>
  <si>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</si>
  <si>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</si>
  <si>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</si>
  <si>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</si>
  <si>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</si>
  <si>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</si>
  <si>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</si>
  <si>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</si>
  <si>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</si>
  <si>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</si>
  <si>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</si>
  <si>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</si>
  <si>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</si>
  <si>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</si>
  <si>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</si>
  <si>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</si>
  <si>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</si>
  <si>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</si>
  <si>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</si>
  <si>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</si>
  <si>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</si>
  <si>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</si>
  <si>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</si>
  <si>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</si>
  <si>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</si>
  <si>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</si>
  <si>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</si>
  <si>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</si>
  <si>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</si>
  <si>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</si>
  <si>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</si>
  <si>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</si>
  <si>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</si>
  <si>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</si>
  <si>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</si>
  <si>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</si>
  <si>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</si>
  <si>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</si>
  <si>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</si>
  <si>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</si>
  <si>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</si>
  <si>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</si>
  <si>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</si>
  <si>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</si>
  <si>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</si>
  <si>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</si>
  <si>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</si>
  <si>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</si>
  <si>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</si>
  <si>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</si>
  <si>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</si>
  <si>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</si>
  <si>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</si>
  <si>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</si>
  <si>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</si>
  <si>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</si>
  <si>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</si>
  <si>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</si>
  <si>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</si>
  <si>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</si>
  <si>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</si>
  <si>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</si>
  <si>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</si>
  <si>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</si>
  <si>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</si>
  <si>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</si>
  <si>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</si>
  <si>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</si>
  <si>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</si>
  <si>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</si>
  <si>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</si>
  <si>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</si>
  <si>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</si>
  <si>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</si>
  <si>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</si>
  <si>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</si>
  <si>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</si>
  <si>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</si>
  <si>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</si>
  <si>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</si>
  <si>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</si>
  <si>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</si>
  <si>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</si>
  <si>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Falta que se lleve las paltas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</si>
  <si>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</si>
  <si>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</si>
  <si>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</si>
  <si>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</si>
  <si>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</si>
  <si>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</si>
  <si>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</si>
  <si>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</si>
  <si>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</si>
  <si>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</si>
  <si>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PARCIAL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</si>
</sst>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2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37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264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0" fillId="0" borderId="12" xfId="0" applyFont="1" applyBorder="1"/>
    <xf numFmtId="164" fontId="10" fillId="0" borderId="13" xfId="0" applyFont="1" applyBorder="1"/>
    <xf numFmtId="164" fontId="10" fillId="0" borderId="16" xfId="0" applyFont="1" applyBorder="1"/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Paul</v>
          </cell>
          <cell r="B7" t="str">
            <v>Brenner</v>
          </cell>
          <cell r="C7" t="str">
            <v>San Jose De La Sierra 1105</v>
          </cell>
          <cell r="D7" t="str">
            <v>Las Condes</v>
          </cell>
          <cell r="E7" t="str">
            <v>Quinchamali</v>
          </cell>
          <cell r="F7" t="str">
            <v>UDD</v>
          </cell>
          <cell r="G7" t="str">
            <v>JEFE</v>
          </cell>
          <cell r="H7">
            <v>56955324629</v>
          </cell>
          <cell r="I7" t="str">
            <v>paulmartinbrenner@hotmail.com</v>
          </cell>
          <cell r="J7" t="str">
            <v>Lukas Quense</v>
          </cell>
        </row>
        <row r="8">
          <cell r="A8" t="str">
            <v>Alvaro</v>
          </cell>
          <cell r="B8" t="str">
            <v>Caeviedes</v>
          </cell>
          <cell r="C8" t="str">
            <v>Cerro El Paico 9756</v>
          </cell>
          <cell r="D8" t="str">
            <v>Lo Barnechea</v>
          </cell>
          <cell r="E8" t="str">
            <v>Los Trapenses</v>
          </cell>
          <cell r="F8" t="str">
            <v>UC</v>
          </cell>
          <cell r="G8" t="str">
            <v>JEFE</v>
          </cell>
          <cell r="H8">
            <v>56963033603</v>
          </cell>
          <cell r="I8" t="str">
            <v>acaeviedes@uc.cl</v>
          </cell>
          <cell r="J8" t="str">
            <v>Joaquin Eichholz</v>
          </cell>
        </row>
        <row r="9">
          <cell r="A9" t="str">
            <v>Ignacio</v>
          </cell>
          <cell r="B9" t="str">
            <v>Castañeda</v>
          </cell>
          <cell r="C9" t="str">
            <v>Punta de Aguilas Norte 9300 Casa 12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SOCIO</v>
          </cell>
          <cell r="H9">
            <v>56982328250</v>
          </cell>
          <cell r="I9" t="str">
            <v>icastanedaw@gmail.com</v>
          </cell>
          <cell r="J9" t="str">
            <v>Ignacio Castañeda</v>
          </cell>
        </row>
        <row r="10">
          <cell r="A10" t="str">
            <v>Majo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UAndes</v>
          </cell>
          <cell r="G10" t="str">
            <v>JEFE</v>
          </cell>
          <cell r="H10">
            <v>56982328251</v>
          </cell>
          <cell r="I10" t="str">
            <v>mjcastaneda@miuandes.cl</v>
          </cell>
          <cell r="J10" t="str">
            <v>Ignacio Castañeda</v>
          </cell>
        </row>
        <row r="11">
          <cell r="A11" t="str">
            <v>Vicky</v>
          </cell>
          <cell r="B11" t="str">
            <v>Chaparro</v>
          </cell>
          <cell r="C11" t="str">
            <v>Carolina Rabat 780 Casa 8</v>
          </cell>
          <cell r="D11" t="str">
            <v>Vitacura</v>
          </cell>
          <cell r="E11" t="str">
            <v>Santa Maria</v>
          </cell>
          <cell r="F11" t="str">
            <v>UDD</v>
          </cell>
          <cell r="G11" t="str">
            <v>JEFE</v>
          </cell>
          <cell r="H11">
            <v>56968348679</v>
          </cell>
          <cell r="I11" t="str">
            <v>mchaparroh@udd.cl</v>
          </cell>
          <cell r="J11" t="str">
            <v>Ignacio Castañeda</v>
          </cell>
        </row>
        <row r="12">
          <cell r="A12" t="str">
            <v>Antonia</v>
          </cell>
          <cell r="B12" t="str">
            <v>Cisternas</v>
          </cell>
          <cell r="C12" t="str">
            <v>Calle Parque 12700 Casa 38</v>
          </cell>
          <cell r="D12" t="str">
            <v>Lo Barnechea</v>
          </cell>
          <cell r="E12" t="str">
            <v>Los Trapenses</v>
          </cell>
          <cell r="G12" t="str">
            <v>JEFE</v>
          </cell>
          <cell r="H12">
            <v>56944346775</v>
          </cell>
          <cell r="I12" t="str">
            <v>antocisternas@hotmail.com</v>
          </cell>
          <cell r="J12" t="str">
            <v>Lukas Quense</v>
          </cell>
        </row>
        <row r="13">
          <cell r="A13" t="str">
            <v>Josefa</v>
          </cell>
          <cell r="B13" t="str">
            <v>Covarrubias</v>
          </cell>
          <cell r="C13" t="str">
            <v>Camino Las Flores 12163</v>
          </cell>
          <cell r="D13" t="str">
            <v>Las Condes</v>
          </cell>
          <cell r="E13" t="str">
            <v>San Carlos</v>
          </cell>
          <cell r="F13" t="str">
            <v>Saint George</v>
          </cell>
          <cell r="G13" t="str">
            <v>JEFE</v>
          </cell>
          <cell r="H13">
            <v>56995346870</v>
          </cell>
          <cell r="I13" t="str">
            <v>josefacovarrubias@gmail.com</v>
          </cell>
          <cell r="J13" t="str">
            <v>Joaquin Eichholz</v>
          </cell>
        </row>
        <row r="14">
          <cell r="A14" t="str">
            <v>Florencia</v>
          </cell>
          <cell r="B14" t="str">
            <v>Croxatto</v>
          </cell>
          <cell r="C14" t="str">
            <v>Los Olivos 12179</v>
          </cell>
          <cell r="D14" t="str">
            <v>Las Condes</v>
          </cell>
          <cell r="E14" t="str">
            <v>San Carlos</v>
          </cell>
          <cell r="F14" t="str">
            <v>UC</v>
          </cell>
          <cell r="G14" t="str">
            <v>JEFE</v>
          </cell>
          <cell r="H14">
            <v>56963061299</v>
          </cell>
          <cell r="I14" t="str">
            <v>fcroxatto@uc.cl</v>
          </cell>
          <cell r="J14" t="str">
            <v>Joaquin Eichholz</v>
          </cell>
        </row>
        <row r="15">
          <cell r="A15" t="str">
            <v>Joaquin</v>
          </cell>
          <cell r="B15" t="str">
            <v>Daly</v>
          </cell>
          <cell r="C15" t="str">
            <v>Polo 1 de Manquehue Casa 112</v>
          </cell>
          <cell r="D15" t="str">
            <v>Chicureo</v>
          </cell>
          <cell r="E15" t="str">
            <v>Piedra Roja</v>
          </cell>
          <cell r="F15" t="str">
            <v>CSA</v>
          </cell>
          <cell r="G15" t="str">
            <v>JEFE</v>
          </cell>
          <cell r="H15">
            <v>56979987750</v>
          </cell>
          <cell r="I15" t="str">
            <v>dalyjoaquin@gmail.com</v>
          </cell>
          <cell r="J15" t="str">
            <v>Lukas Quense</v>
          </cell>
        </row>
        <row r="16">
          <cell r="A16" t="str">
            <v>Dominique</v>
          </cell>
          <cell r="B16" t="str">
            <v>Daroch</v>
          </cell>
          <cell r="C16" t="str">
            <v>El Algarrobal 2 Casa U2</v>
          </cell>
          <cell r="D16" t="str">
            <v>Chicureo</v>
          </cell>
          <cell r="E16" t="str">
            <v>Vespucio</v>
          </cell>
          <cell r="F16" t="str">
            <v>Highlands</v>
          </cell>
          <cell r="G16" t="str">
            <v>JEFE</v>
          </cell>
          <cell r="H16">
            <v>56974474437</v>
          </cell>
          <cell r="I16" t="str">
            <v>dominique_daroch@hotmail.com</v>
          </cell>
          <cell r="J16" t="str">
            <v>Ignacio Castañeda</v>
          </cell>
        </row>
        <row r="17">
          <cell r="A17" t="str">
            <v>Camila</v>
          </cell>
          <cell r="B17" t="str">
            <v>De La Sotta</v>
          </cell>
          <cell r="C17" t="str">
            <v>Jose de Moraleda 4837</v>
          </cell>
          <cell r="D17" t="str">
            <v>Las Condes</v>
          </cell>
          <cell r="E17" t="str">
            <v>Vespucio</v>
          </cell>
          <cell r="F17" t="str">
            <v>UDD</v>
          </cell>
          <cell r="G17" t="str">
            <v>JEFE</v>
          </cell>
          <cell r="H17">
            <v>56967289638</v>
          </cell>
          <cell r="I17" t="str">
            <v>camila.delasotta@gmail.com</v>
          </cell>
          <cell r="J17" t="str">
            <v>Ignacio Castañeda</v>
          </cell>
        </row>
        <row r="18">
          <cell r="A18" t="str">
            <v>Javi</v>
          </cell>
          <cell r="B18" t="str">
            <v>Del Rio</v>
          </cell>
          <cell r="C18" t="str">
            <v>Valle del monasterio 2664</v>
          </cell>
          <cell r="D18" t="str">
            <v>Lo Barnechea</v>
          </cell>
          <cell r="E18" t="str">
            <v>Los Trapenses</v>
          </cell>
          <cell r="F18" t="str">
            <v>UC</v>
          </cell>
          <cell r="G18" t="str">
            <v>JEFE</v>
          </cell>
          <cell r="H18">
            <v>56967898535</v>
          </cell>
          <cell r="I18" t="str">
            <v>jpdelrio@uc.cl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Constanza</v>
          </cell>
          <cell r="B20" t="str">
            <v>Delfau</v>
          </cell>
          <cell r="C20" t="str">
            <v>Calle Parque 12700 Casa 1</v>
          </cell>
          <cell r="D20" t="str">
            <v>Lo Barnechea</v>
          </cell>
          <cell r="E20" t="str">
            <v>La Dehesa</v>
          </cell>
          <cell r="F20" t="str">
            <v>UC</v>
          </cell>
          <cell r="G20" t="str">
            <v>JEFE</v>
          </cell>
          <cell r="H20">
            <v>56991889995</v>
          </cell>
          <cell r="I20" t="str">
            <v>conidelfau@gmail.com</v>
          </cell>
          <cell r="J20" t="str">
            <v>Ignacio Castañeda</v>
          </cell>
        </row>
        <row r="21">
          <cell r="A21" t="str">
            <v>Pilar</v>
          </cell>
          <cell r="B21" t="str">
            <v>Edwards</v>
          </cell>
          <cell r="C21" t="str">
            <v>El Roquerio 2028</v>
          </cell>
          <cell r="D21" t="str">
            <v>Lo Barnechea</v>
          </cell>
          <cell r="E21" t="str">
            <v>Los Trapenses</v>
          </cell>
          <cell r="F21" t="str">
            <v>UDD</v>
          </cell>
          <cell r="G21" t="str">
            <v>JEFE</v>
          </cell>
          <cell r="H21">
            <v>56983708702</v>
          </cell>
          <cell r="I21" t="str">
            <v>piliedwards@gmail.com</v>
          </cell>
          <cell r="J21" t="str">
            <v>Joaquin Eichholz</v>
          </cell>
        </row>
        <row r="22">
          <cell r="A22" t="str">
            <v>Joaquin</v>
          </cell>
          <cell r="B22" t="str">
            <v>Eichholz</v>
          </cell>
          <cell r="C22" t="str">
            <v>Estrella Del Norte 980 Dpto 154</v>
          </cell>
          <cell r="D22" t="str">
            <v>Las Condes</v>
          </cell>
          <cell r="E22" t="str">
            <v>Alto Las Condes</v>
          </cell>
          <cell r="F22" t="str">
            <v>UC</v>
          </cell>
          <cell r="G22" t="str">
            <v>SOCIO</v>
          </cell>
          <cell r="H22">
            <v>56996324787</v>
          </cell>
          <cell r="I22" t="str">
            <v>joaquin.eichholz@gmail.com</v>
          </cell>
          <cell r="J22" t="str">
            <v>Joaquin Eichholz</v>
          </cell>
        </row>
        <row r="23">
          <cell r="A23" t="str">
            <v>Maria Jesus</v>
          </cell>
          <cell r="B23" t="str">
            <v>Elias</v>
          </cell>
          <cell r="C23" t="str">
            <v>Manquehue Norte 555</v>
          </cell>
          <cell r="D23" t="str">
            <v>Las Condes</v>
          </cell>
          <cell r="E23" t="str">
            <v>Manquehue</v>
          </cell>
          <cell r="F23" t="str">
            <v>UDD</v>
          </cell>
          <cell r="G23" t="str">
            <v>JEFE</v>
          </cell>
          <cell r="H23">
            <v>56958589916</v>
          </cell>
          <cell r="I23" t="str">
            <v>meliasm@udd.cl</v>
          </cell>
          <cell r="J23" t="str">
            <v>Lukas Quense</v>
          </cell>
        </row>
        <row r="24">
          <cell r="A24" t="str">
            <v>Rafael</v>
          </cell>
          <cell r="B24" t="str">
            <v>Errazuriz</v>
          </cell>
          <cell r="C24" t="str">
            <v>Pasaje La Aurora 1883</v>
          </cell>
          <cell r="D24" t="str">
            <v>Vitacura</v>
          </cell>
          <cell r="E24" t="str">
            <v>Estoril</v>
          </cell>
          <cell r="F24" t="str">
            <v>UDD</v>
          </cell>
          <cell r="G24" t="str">
            <v>JEFE</v>
          </cell>
          <cell r="H24">
            <v>56995483434</v>
          </cell>
          <cell r="I24" t="str">
            <v>rerrazurizf@udd.cl</v>
          </cell>
          <cell r="J24" t="str">
            <v>Joaquin Eichholz</v>
          </cell>
        </row>
        <row r="25">
          <cell r="A25" t="str">
            <v>Isidora</v>
          </cell>
          <cell r="B25" t="str">
            <v>Fernandez</v>
          </cell>
          <cell r="C25" t="str">
            <v>Casa De Piedra 2628</v>
          </cell>
          <cell r="D25" t="str">
            <v>Las Condes</v>
          </cell>
          <cell r="E25" t="str">
            <v>San Carlos</v>
          </cell>
          <cell r="F25" t="str">
            <v>UAndes</v>
          </cell>
          <cell r="G25" t="str">
            <v>JEFE</v>
          </cell>
          <cell r="H25">
            <v>56997550244</v>
          </cell>
          <cell r="I25" t="str">
            <v>ifernandez1@miuandes.cl</v>
          </cell>
          <cell r="J25" t="str">
            <v>Joaquin Eichholz</v>
          </cell>
        </row>
        <row r="26">
          <cell r="A26" t="str">
            <v>Maria Luisa</v>
          </cell>
          <cell r="B26" t="str">
            <v>Fernandez</v>
          </cell>
          <cell r="C26" t="str">
            <v>La Invernada 7005</v>
          </cell>
          <cell r="D26" t="str">
            <v>Vitacura</v>
          </cell>
          <cell r="E26" t="str">
            <v>Santa Maria</v>
          </cell>
          <cell r="F26" t="str">
            <v>UCH</v>
          </cell>
          <cell r="G26" t="str">
            <v>JEFE</v>
          </cell>
          <cell r="H26">
            <v>56982978895</v>
          </cell>
          <cell r="I26" t="str">
            <v>guisa97@hotmail.com</v>
          </cell>
          <cell r="J26" t="str">
            <v>Lukas Quense</v>
          </cell>
        </row>
        <row r="27">
          <cell r="A27" t="str">
            <v>Rodrigo</v>
          </cell>
          <cell r="B27" t="str">
            <v>Fernandez</v>
          </cell>
          <cell r="C27" t="str">
            <v>Las Hualtatas 4555 Casa 9</v>
          </cell>
          <cell r="D27" t="str">
            <v>Lo Barnechea</v>
          </cell>
          <cell r="E27" t="str">
            <v>Los Trapenses</v>
          </cell>
          <cell r="F27" t="str">
            <v>UC</v>
          </cell>
          <cell r="G27" t="str">
            <v>JEFE</v>
          </cell>
          <cell r="H27">
            <v>56986194003</v>
          </cell>
          <cell r="I27" t="str">
            <v>rfernandezdelrio@uc.cl</v>
          </cell>
          <cell r="J27" t="str">
            <v>Lukas Quense</v>
          </cell>
        </row>
        <row r="28">
          <cell r="A28" t="str">
            <v>Tere</v>
          </cell>
          <cell r="B28" t="str">
            <v>Fernandez</v>
          </cell>
          <cell r="C28" t="str">
            <v>Las Torcazas 3080</v>
          </cell>
          <cell r="D28" t="str">
            <v>Chicureo</v>
          </cell>
          <cell r="E28" t="str">
            <v>Colina</v>
          </cell>
          <cell r="F28" t="str">
            <v>Highlands</v>
          </cell>
          <cell r="G28" t="str">
            <v>JEFE</v>
          </cell>
          <cell r="H28">
            <v>56965542496</v>
          </cell>
          <cell r="I28" t="str">
            <v>terefernandez99@yahoo.com</v>
          </cell>
          <cell r="J28" t="str">
            <v>Lukas Quense</v>
          </cell>
        </row>
        <row r="29">
          <cell r="A29" t="str">
            <v>Diego</v>
          </cell>
          <cell r="B29" t="str">
            <v>Figueroa</v>
          </cell>
          <cell r="C29" t="str">
            <v>Las Lavandulas 10006</v>
          </cell>
          <cell r="D29" t="str">
            <v>Las Condes</v>
          </cell>
          <cell r="E29" t="str">
            <v>San Carlos</v>
          </cell>
          <cell r="G29" t="str">
            <v>JEFE</v>
          </cell>
          <cell r="H29">
            <v>56979579233</v>
          </cell>
          <cell r="I29" t="str">
            <v>diegofiba2@gmail.com</v>
          </cell>
          <cell r="J29" t="str">
            <v>Joaquin Eichholz</v>
          </cell>
        </row>
        <row r="30">
          <cell r="A30" t="str">
            <v>Matias</v>
          </cell>
          <cell r="B30" t="str">
            <v>Flores</v>
          </cell>
          <cell r="C30" t="str">
            <v>Condominio Sta Teresita P14 Sta Ester De Liray</v>
          </cell>
          <cell r="D30" t="str">
            <v>Chicureo</v>
          </cell>
          <cell r="E30" t="str">
            <v>Lo Pinto</v>
          </cell>
          <cell r="F30" t="str">
            <v>UDD</v>
          </cell>
          <cell r="G30" t="str">
            <v>JEFE</v>
          </cell>
          <cell r="H30">
            <v>56986351953</v>
          </cell>
          <cell r="I30" t="str">
            <v>matifloresdonetch@hotmail.com</v>
          </cell>
          <cell r="J30" t="str">
            <v>Ignacio Castañeda</v>
          </cell>
        </row>
        <row r="31">
          <cell r="A31" t="str">
            <v>Benjamin</v>
          </cell>
          <cell r="B31" t="str">
            <v>Hartmann</v>
          </cell>
          <cell r="C31" t="str">
            <v>Camino Otonal 1368 Casa 6</v>
          </cell>
          <cell r="D31" t="str">
            <v>Las Condes</v>
          </cell>
          <cell r="E31" t="str">
            <v>San Carlos</v>
          </cell>
          <cell r="F31" t="str">
            <v>UC</v>
          </cell>
          <cell r="G31" t="str">
            <v>JEFE</v>
          </cell>
          <cell r="H31">
            <v>56982958975</v>
          </cell>
          <cell r="I31" t="str">
            <v>hartmann12@gmail.com</v>
          </cell>
          <cell r="J31" t="str">
            <v>Ignacio Castañeda</v>
          </cell>
        </row>
        <row r="32">
          <cell r="A32" t="str">
            <v>Mauricio</v>
          </cell>
          <cell r="B32" t="str">
            <v>Hernandez</v>
          </cell>
          <cell r="C32" t="str">
            <v>Julia Bernstein 607 Casa G-40</v>
          </cell>
          <cell r="D32" t="str">
            <v>La Reina</v>
          </cell>
          <cell r="E32" t="str">
            <v>La Reina</v>
          </cell>
          <cell r="F32" t="str">
            <v>UCH</v>
          </cell>
          <cell r="G32" t="str">
            <v>JEFE</v>
          </cell>
          <cell r="H32">
            <v>56965951459</v>
          </cell>
          <cell r="I32" t="str">
            <v>mauhernand@fen.uchile.cl</v>
          </cell>
          <cell r="J32" t="str">
            <v>Lukas Quense</v>
          </cell>
        </row>
        <row r="33">
          <cell r="A33" t="str">
            <v>Andres</v>
          </cell>
          <cell r="B33" t="str">
            <v>Infante</v>
          </cell>
          <cell r="C33" t="str">
            <v>Camino De Las Ermitas 3804</v>
          </cell>
          <cell r="D33" t="str">
            <v>Lo Barnechea</v>
          </cell>
          <cell r="E33" t="str">
            <v>Los Trapenses</v>
          </cell>
          <cell r="F33" t="str">
            <v>UAI</v>
          </cell>
          <cell r="G33" t="str">
            <v>JEFE</v>
          </cell>
          <cell r="H33">
            <v>56979891544</v>
          </cell>
          <cell r="I33" t="str">
            <v>andres_infanter@hotmail.com</v>
          </cell>
          <cell r="J33" t="str">
            <v>Lukas Quense</v>
          </cell>
        </row>
        <row r="34">
          <cell r="A34" t="str">
            <v>Cata</v>
          </cell>
          <cell r="B34" t="str">
            <v>Izcue</v>
          </cell>
          <cell r="C34" t="str">
            <v>Los Pumas 11996</v>
          </cell>
          <cell r="D34" t="str">
            <v>Las Condes</v>
          </cell>
          <cell r="E34" t="str">
            <v>San Carlos</v>
          </cell>
          <cell r="F34" t="str">
            <v>Los Andes</v>
          </cell>
          <cell r="G34" t="str">
            <v>JEFE</v>
          </cell>
          <cell r="H34">
            <v>56995952212</v>
          </cell>
          <cell r="I34" t="str">
            <v>cataizcue@gmail.com</v>
          </cell>
          <cell r="J34" t="str">
            <v>Lukas Quense</v>
          </cell>
        </row>
        <row r="35">
          <cell r="A35" t="str">
            <v>Margarita</v>
          </cell>
          <cell r="B35" t="str">
            <v>Joglar</v>
          </cell>
          <cell r="C35" t="str">
            <v>Camino Los Trapenses 4860 Casa 9</v>
          </cell>
          <cell r="D35" t="str">
            <v>Lo Barnechea</v>
          </cell>
          <cell r="E35" t="str">
            <v>Los Trapenses</v>
          </cell>
          <cell r="G35" t="str">
            <v>JEFE</v>
          </cell>
          <cell r="H35">
            <v>56963124612</v>
          </cell>
          <cell r="I35" t="str">
            <v>magui.joglar22@gmail.com</v>
          </cell>
          <cell r="J35" t="str">
            <v>Lukas Quense</v>
          </cell>
        </row>
        <row r="36">
          <cell r="A36" t="str">
            <v>Ric</v>
          </cell>
          <cell r="B36" t="str">
            <v>Jungk</v>
          </cell>
          <cell r="C36" t="str">
            <v>Pasaje Pie Andino 4209A</v>
          </cell>
          <cell r="D36" t="str">
            <v>Lo Barnechea</v>
          </cell>
          <cell r="E36" t="str">
            <v>La Dehesa</v>
          </cell>
          <cell r="F36" t="str">
            <v>UAndes</v>
          </cell>
          <cell r="G36" t="str">
            <v>JEFE</v>
          </cell>
          <cell r="H36">
            <v>56966477967</v>
          </cell>
          <cell r="I36" t="str">
            <v>rtjungk@miuandes.cl</v>
          </cell>
          <cell r="J36" t="str">
            <v>Ignacio Castañeda</v>
          </cell>
        </row>
        <row r="37">
          <cell r="A37" t="str">
            <v>Matias</v>
          </cell>
          <cell r="B37" t="str">
            <v>Krumm</v>
          </cell>
          <cell r="C37" t="str">
            <v>La Cienaga 12315</v>
          </cell>
          <cell r="D37" t="str">
            <v>Lo Barnechea</v>
          </cell>
          <cell r="E37" t="str">
            <v>La Dehesa</v>
          </cell>
          <cell r="F37" t="str">
            <v>UAI</v>
          </cell>
          <cell r="G37" t="str">
            <v>JEFE</v>
          </cell>
          <cell r="H37">
            <v>56988587944</v>
          </cell>
          <cell r="I37" t="str">
            <v>matiask7@gmail.com</v>
          </cell>
          <cell r="J37" t="str">
            <v>Lukas Quense</v>
          </cell>
        </row>
        <row r="38">
          <cell r="A38" t="str">
            <v>Juan Diego</v>
          </cell>
          <cell r="B38" t="str">
            <v>Lyon</v>
          </cell>
          <cell r="C38" t="str">
            <v>Las Hualtatas 10725</v>
          </cell>
          <cell r="D38" t="str">
            <v>Vitacura</v>
          </cell>
          <cell r="E38" t="str">
            <v>Estoril</v>
          </cell>
          <cell r="F38" t="str">
            <v>UAndes</v>
          </cell>
          <cell r="G38" t="str">
            <v>JEFE</v>
          </cell>
          <cell r="H38">
            <v>56977684576</v>
          </cell>
          <cell r="I38" t="str">
            <v>juandiegolyon@gmail.com</v>
          </cell>
          <cell r="J38" t="str">
            <v>Joaquin Eichholz</v>
          </cell>
        </row>
        <row r="39">
          <cell r="A39" t="str">
            <v>Bernardita</v>
          </cell>
          <cell r="B39" t="str">
            <v>Mackenney</v>
          </cell>
          <cell r="C39" t="str">
            <v>La Fontana 11221</v>
          </cell>
          <cell r="D39" t="str">
            <v>Las Condes</v>
          </cell>
          <cell r="E39" t="str">
            <v>San Carlos</v>
          </cell>
          <cell r="F39" t="str">
            <v>UC</v>
          </cell>
          <cell r="G39" t="str">
            <v>JEFE</v>
          </cell>
          <cell r="H39">
            <v>56978785698</v>
          </cell>
          <cell r="I39" t="str">
            <v>bmackenney@uc.cl</v>
          </cell>
          <cell r="J39" t="str">
            <v>Joaquin Eichholz</v>
          </cell>
        </row>
        <row r="40">
          <cell r="A40" t="str">
            <v>Michella</v>
          </cell>
          <cell r="B40" t="str">
            <v>Mascarello</v>
          </cell>
          <cell r="C40" t="str">
            <v>Quinchamali 14336</v>
          </cell>
          <cell r="D40" t="str">
            <v>Las Condes</v>
          </cell>
          <cell r="E40" t="str">
            <v>Quinchamali</v>
          </cell>
          <cell r="F40" t="str">
            <v>UC</v>
          </cell>
          <cell r="G40" t="str">
            <v>JEFE</v>
          </cell>
          <cell r="H40">
            <v>56979878976</v>
          </cell>
          <cell r="I40" t="str">
            <v>miki.mascarello@gmail.com</v>
          </cell>
          <cell r="J40" t="str">
            <v>Joaquin Eichholz</v>
          </cell>
        </row>
        <row r="41">
          <cell r="A41" t="str">
            <v>Vicente</v>
          </cell>
          <cell r="B41" t="str">
            <v>Mayol</v>
          </cell>
          <cell r="C41" t="str">
            <v>Paseo Pie Andino 6500 Casa O</v>
          </cell>
          <cell r="D41" t="str">
            <v>Lo Barnechea</v>
          </cell>
          <cell r="E41" t="str">
            <v>Los Trapenses</v>
          </cell>
          <cell r="F41" t="str">
            <v>Monte Tabor</v>
          </cell>
          <cell r="G41" t="str">
            <v>JEFE</v>
          </cell>
          <cell r="H41">
            <v>56978189115</v>
          </cell>
          <cell r="I41" t="str">
            <v>vmayol@live.cl</v>
          </cell>
          <cell r="J41" t="str">
            <v>Lukas Quense</v>
          </cell>
        </row>
        <row r="42">
          <cell r="A42" t="str">
            <v>Jesu</v>
          </cell>
          <cell r="B42" t="str">
            <v>Mckay</v>
          </cell>
          <cell r="C42" t="str">
            <v>Blvd Jardin De Los Pajaros 4700 Casa 5</v>
          </cell>
          <cell r="D42" t="str">
            <v>Lo Barnechea</v>
          </cell>
          <cell r="E42" t="str">
            <v>Los Trapenses</v>
          </cell>
          <cell r="F42" t="str">
            <v>CLA</v>
          </cell>
          <cell r="G42" t="str">
            <v>JEFE</v>
          </cell>
          <cell r="H42">
            <v>56971837517</v>
          </cell>
          <cell r="I42" t="str">
            <v>jesumckayg@hotmail.com</v>
          </cell>
          <cell r="J42" t="str">
            <v>Joaquin Eichholz</v>
          </cell>
        </row>
        <row r="43">
          <cell r="A43" t="str">
            <v>Ignacio</v>
          </cell>
          <cell r="B43" t="str">
            <v>Montt</v>
          </cell>
          <cell r="C43" t="str">
            <v>Rio Maule 475</v>
          </cell>
          <cell r="D43" t="str">
            <v>Las Condes</v>
          </cell>
          <cell r="E43" t="str">
            <v>Estoril</v>
          </cell>
          <cell r="G43" t="str">
            <v>JEFE</v>
          </cell>
          <cell r="H43">
            <v>56954243532</v>
          </cell>
          <cell r="I43" t="str">
            <v>imontt@miuandes.cl</v>
          </cell>
          <cell r="J43" t="str">
            <v>Joaquin Eichholz</v>
          </cell>
        </row>
        <row r="44">
          <cell r="A44" t="str">
            <v>Rodrigo</v>
          </cell>
          <cell r="B44" t="str">
            <v>Morales</v>
          </cell>
          <cell r="C44" t="str">
            <v>Los Trapenses 3230</v>
          </cell>
          <cell r="D44" t="str">
            <v>Lo Barnechea</v>
          </cell>
          <cell r="E44" t="str">
            <v>Los Trapenses</v>
          </cell>
          <cell r="F44" t="str">
            <v>UDD</v>
          </cell>
          <cell r="G44" t="str">
            <v>JEFE</v>
          </cell>
          <cell r="H44">
            <v>56975684552</v>
          </cell>
          <cell r="I44" t="str">
            <v>morales.villar25@gmail.com</v>
          </cell>
          <cell r="J44" t="str">
            <v>Ignacio Castañeda</v>
          </cell>
        </row>
        <row r="45">
          <cell r="A45" t="str">
            <v>Ignacio</v>
          </cell>
          <cell r="B45" t="str">
            <v>Morales</v>
          </cell>
          <cell r="C45" t="str">
            <v>Cristobal Colon 4696 Dpto 1403</v>
          </cell>
          <cell r="D45" t="str">
            <v>Las Condes</v>
          </cell>
          <cell r="E45" t="str">
            <v>Colon</v>
          </cell>
          <cell r="F45" t="str">
            <v>UC</v>
          </cell>
          <cell r="G45" t="str">
            <v>JEFE</v>
          </cell>
          <cell r="H45">
            <v>56993024442</v>
          </cell>
          <cell r="I45" t="str">
            <v>ibmorales@uc.cl</v>
          </cell>
          <cell r="J45" t="str">
            <v>Lukas Quense</v>
          </cell>
        </row>
        <row r="46">
          <cell r="A46" t="str">
            <v>Josefina</v>
          </cell>
          <cell r="B46" t="str">
            <v>Nazer</v>
          </cell>
          <cell r="C46" t="str">
            <v>Camino del ayuntamiento 2087</v>
          </cell>
          <cell r="D46" t="str">
            <v>Lo Barnechea</v>
          </cell>
          <cell r="E46" t="str">
            <v>La Dehesa</v>
          </cell>
          <cell r="F46" t="str">
            <v>Newland</v>
          </cell>
          <cell r="G46" t="str">
            <v>JEFE</v>
          </cell>
          <cell r="H46">
            <v>56998246537</v>
          </cell>
          <cell r="I46" t="str">
            <v>cotenazer@hotmail.com</v>
          </cell>
          <cell r="J46" t="str">
            <v>Joaquin Eichholz</v>
          </cell>
        </row>
        <row r="47">
          <cell r="A47" t="str">
            <v>Raimundo</v>
          </cell>
          <cell r="B47" t="str">
            <v>Opazo</v>
          </cell>
          <cell r="C47" t="str">
            <v>Av Contralmirante Fernandez Vial 10455</v>
          </cell>
          <cell r="D47" t="str">
            <v>Lo Barnechea</v>
          </cell>
          <cell r="E47" t="str">
            <v>Los Trapenses</v>
          </cell>
          <cell r="F47" t="str">
            <v>Monte Tabor</v>
          </cell>
          <cell r="G47" t="str">
            <v>JEFE</v>
          </cell>
          <cell r="H47">
            <v>56952304675</v>
          </cell>
          <cell r="I47" t="str">
            <v>opazoraimundo@gmail.com</v>
          </cell>
          <cell r="J47" t="str">
            <v>Lukas Quense</v>
          </cell>
        </row>
        <row r="48">
          <cell r="A48" t="str">
            <v>Trinidad</v>
          </cell>
          <cell r="B48" t="str">
            <v>Ossa</v>
          </cell>
          <cell r="C48" t="str">
            <v>Escribano Diego Rutal 2471</v>
          </cell>
          <cell r="D48" t="str">
            <v>Vitacura</v>
          </cell>
          <cell r="E48" t="str">
            <v>Vespucio</v>
          </cell>
          <cell r="G48" t="str">
            <v>JEFE</v>
          </cell>
          <cell r="H48">
            <v>56978647106</v>
          </cell>
          <cell r="I48" t="str">
            <v>trinidadossag@gmail.com</v>
          </cell>
          <cell r="J48" t="str">
            <v>Ignacio Castañeda</v>
          </cell>
        </row>
        <row r="49">
          <cell r="A49" t="str">
            <v>Sofia</v>
          </cell>
          <cell r="B49" t="str">
            <v>Ovalle</v>
          </cell>
          <cell r="C49" t="str">
            <v>Manuel Guzman Maturana 1900 Casa 9</v>
          </cell>
          <cell r="D49" t="str">
            <v>Lo Barnechea</v>
          </cell>
          <cell r="E49" t="str">
            <v>Los Trapenses</v>
          </cell>
          <cell r="F49" t="str">
            <v>UDD</v>
          </cell>
          <cell r="G49" t="str">
            <v>JEFE</v>
          </cell>
          <cell r="H49">
            <v>56987143347</v>
          </cell>
          <cell r="I49" t="str">
            <v>maovallel@udd.cl</v>
          </cell>
          <cell r="J49" t="str">
            <v>Lukas Quense</v>
          </cell>
        </row>
        <row r="50">
          <cell r="A50" t="str">
            <v>Francesco</v>
          </cell>
          <cell r="B50" t="str">
            <v>Pamparana</v>
          </cell>
          <cell r="C50" t="str">
            <v>Parque Las Garzas 16, Condominio Las Banadadas</v>
          </cell>
          <cell r="D50" t="str">
            <v>Chicureo</v>
          </cell>
          <cell r="E50" t="str">
            <v>Piedra Roja</v>
          </cell>
          <cell r="F50" t="str">
            <v>UDD</v>
          </cell>
          <cell r="G50" t="str">
            <v>JEFE</v>
          </cell>
          <cell r="H50">
            <v>56984695829</v>
          </cell>
          <cell r="I50" t="str">
            <v>pancho.pamparana@gmail.com</v>
          </cell>
          <cell r="J50" t="str">
            <v>Lukas Quense</v>
          </cell>
        </row>
        <row r="51">
          <cell r="A51" t="str">
            <v>Trinidad</v>
          </cell>
          <cell r="B51" t="str">
            <v>Pereira</v>
          </cell>
          <cell r="C51" t="str">
            <v>Punta de Aguilas 4311</v>
          </cell>
          <cell r="D51" t="str">
            <v>Lo Barnechea</v>
          </cell>
          <cell r="E51" t="str">
            <v>Los Trapenses</v>
          </cell>
          <cell r="F51" t="str">
            <v>UAB</v>
          </cell>
          <cell r="G51" t="str">
            <v>JEFE</v>
          </cell>
          <cell r="H51">
            <v>56968320616</v>
          </cell>
          <cell r="I51" t="str">
            <v>trinipereira@gmail.com</v>
          </cell>
          <cell r="J51" t="str">
            <v>Ignacio Castañeda</v>
          </cell>
        </row>
        <row r="52">
          <cell r="A52" t="str">
            <v>Agustina</v>
          </cell>
          <cell r="B52" t="str">
            <v>Pineda</v>
          </cell>
          <cell r="C52" t="str">
            <v>Artigas 643</v>
          </cell>
          <cell r="D52" t="str">
            <v>Vitacura</v>
          </cell>
          <cell r="E52" t="str">
            <v>Santa Maria</v>
          </cell>
          <cell r="F52" t="str">
            <v>Pacifico</v>
          </cell>
          <cell r="G52" t="str">
            <v>JEFE</v>
          </cell>
          <cell r="H52">
            <v>56991997991</v>
          </cell>
          <cell r="I52" t="str">
            <v>agustina-pineda@hotmail.com</v>
          </cell>
          <cell r="J52" t="str">
            <v>Lukas Quense</v>
          </cell>
        </row>
        <row r="53">
          <cell r="A53" t="str">
            <v>Benjamin</v>
          </cell>
          <cell r="B53" t="str">
            <v>Piña</v>
          </cell>
          <cell r="C53" t="str">
            <v>La Cienaga 12184</v>
          </cell>
          <cell r="D53" t="str">
            <v>Lo Barnechea</v>
          </cell>
          <cell r="E53" t="str">
            <v>La Dehesa</v>
          </cell>
          <cell r="F53" t="str">
            <v>Uandes</v>
          </cell>
          <cell r="G53" t="str">
            <v>JEFE</v>
          </cell>
          <cell r="H53">
            <v>56974529859</v>
          </cell>
          <cell r="I53" t="str">
            <v>pina.benjamin@gmail.com</v>
          </cell>
          <cell r="J53" t="str">
            <v>Ignacio Castañeda</v>
          </cell>
        </row>
        <row r="54">
          <cell r="A54" t="str">
            <v>Lukas</v>
          </cell>
          <cell r="B54" t="str">
            <v>Quense</v>
          </cell>
          <cell r="C54" t="str">
            <v>Cerro Cortadera 9897</v>
          </cell>
          <cell r="D54" t="str">
            <v>Lo Barnechea</v>
          </cell>
          <cell r="E54" t="str">
            <v>Los Trapenses</v>
          </cell>
          <cell r="F54" t="str">
            <v>UC</v>
          </cell>
          <cell r="G54" t="str">
            <v>SOCIO</v>
          </cell>
          <cell r="H54">
            <v>56987217393</v>
          </cell>
          <cell r="I54" t="str">
            <v>lukas.quense@gmail.com</v>
          </cell>
          <cell r="J54" t="str">
            <v>Lukas Quense</v>
          </cell>
        </row>
        <row r="55">
          <cell r="A55" t="str">
            <v>Josefina</v>
          </cell>
          <cell r="B55" t="str">
            <v>Quiroga</v>
          </cell>
          <cell r="C55" t="str">
            <v>Santa Rita 1017</v>
          </cell>
          <cell r="D55" t="str">
            <v>Las Condes</v>
          </cell>
          <cell r="E55" t="str">
            <v>San Carlos</v>
          </cell>
          <cell r="F55" t="str">
            <v>UC</v>
          </cell>
          <cell r="G55" t="str">
            <v>JEFE</v>
          </cell>
          <cell r="H55">
            <v>56981207671</v>
          </cell>
          <cell r="I55" t="str">
            <v>josefinaquiroga7@hotmail.com</v>
          </cell>
          <cell r="J55" t="str">
            <v>Ignacio Castañeda</v>
          </cell>
        </row>
        <row r="56">
          <cell r="A56" t="str">
            <v>Rafa</v>
          </cell>
          <cell r="B56" t="str">
            <v>Quiroga</v>
          </cell>
          <cell r="C56" t="str">
            <v>Santa Rita 1017</v>
          </cell>
          <cell r="D56" t="str">
            <v>Las Condes</v>
          </cell>
          <cell r="E56" t="str">
            <v>San Carlos</v>
          </cell>
          <cell r="F56" t="str">
            <v>CPH</v>
          </cell>
          <cell r="G56" t="str">
            <v>JEFE</v>
          </cell>
          <cell r="H56">
            <v>56995408498</v>
          </cell>
          <cell r="I56" t="str">
            <v>rafaquiroga7@gmail.com</v>
          </cell>
          <cell r="J56" t="str">
            <v>Ignacio Castañeda</v>
          </cell>
        </row>
        <row r="57">
          <cell r="A57" t="str">
            <v>Barbara</v>
          </cell>
          <cell r="B57" t="str">
            <v>Rodriguez</v>
          </cell>
          <cell r="C57" t="str">
            <v>Raimapu 6744</v>
          </cell>
          <cell r="D57" t="str">
            <v>Vitacura</v>
          </cell>
          <cell r="E57" t="str">
            <v>Santa Maria</v>
          </cell>
          <cell r="F57" t="str">
            <v>Aleman</v>
          </cell>
          <cell r="G57" t="str">
            <v>JEFE</v>
          </cell>
          <cell r="H57">
            <v>56956481962</v>
          </cell>
          <cell r="I57" t="str">
            <v>barodriguez@dsstgo.cl</v>
          </cell>
          <cell r="J57" t="str">
            <v>Lukas Quense</v>
          </cell>
        </row>
        <row r="58">
          <cell r="A58" t="str">
            <v>Fede</v>
          </cell>
          <cell r="B58" t="str">
            <v>Schilling</v>
          </cell>
          <cell r="C58" t="str">
            <v>Laura Tromben 5754</v>
          </cell>
          <cell r="D58" t="str">
            <v>Vitacura</v>
          </cell>
          <cell r="E58" t="str">
            <v>Manquehue</v>
          </cell>
          <cell r="F58" t="str">
            <v>Aleman</v>
          </cell>
          <cell r="G58" t="str">
            <v>JEFE</v>
          </cell>
          <cell r="H58">
            <v>56979980568</v>
          </cell>
          <cell r="I58" t="str">
            <v>federico.schilling@gmail.com</v>
          </cell>
          <cell r="J58" t="str">
            <v>Lukas Quense</v>
          </cell>
        </row>
        <row r="59">
          <cell r="A59" t="str">
            <v>Carola</v>
          </cell>
          <cell r="B59" t="str">
            <v>Schumann</v>
          </cell>
          <cell r="C59" t="str">
            <v>Pedro Canisio 1103 Dpto 142</v>
          </cell>
          <cell r="D59" t="str">
            <v>Vitacura</v>
          </cell>
          <cell r="E59" t="str">
            <v>Manquehue</v>
          </cell>
          <cell r="F59" t="str">
            <v>UAI</v>
          </cell>
          <cell r="G59" t="str">
            <v>JEFE</v>
          </cell>
          <cell r="H59">
            <v>56998263560</v>
          </cell>
          <cell r="I59" t="str">
            <v>cschumann@alumnos.uai.cl</v>
          </cell>
          <cell r="J59" t="str">
            <v>Ignacio Castañeda</v>
          </cell>
        </row>
        <row r="60">
          <cell r="A60" t="str">
            <v>Cata</v>
          </cell>
          <cell r="B60" t="str">
            <v>Tondreau</v>
          </cell>
          <cell r="C60" t="str">
            <v>Francisco de Aguirre 4155</v>
          </cell>
          <cell r="D60" t="str">
            <v>Vitacura</v>
          </cell>
          <cell r="E60" t="str">
            <v>Vespucio</v>
          </cell>
          <cell r="F60" t="str">
            <v>UC</v>
          </cell>
          <cell r="G60" t="str">
            <v>JEFE</v>
          </cell>
          <cell r="H60">
            <v>56942723186</v>
          </cell>
          <cell r="I60" t="str">
            <v>catalinatp_97@hotmail.com</v>
          </cell>
          <cell r="J60" t="str">
            <v>Joaquin Eichholz</v>
          </cell>
        </row>
        <row r="61">
          <cell r="A61" t="str">
            <v>Iñaki</v>
          </cell>
          <cell r="B61" t="str">
            <v>Tramontana</v>
          </cell>
          <cell r="C61" t="str">
            <v>Los Algarrobos 3 Casa 28</v>
          </cell>
          <cell r="D61" t="str">
            <v>Chicureo</v>
          </cell>
          <cell r="E61" t="str">
            <v>Piedra Roja</v>
          </cell>
          <cell r="F61" t="str">
            <v>UDD</v>
          </cell>
          <cell r="G61" t="str">
            <v>JEFE</v>
          </cell>
          <cell r="H61">
            <v>56996310424</v>
          </cell>
          <cell r="I61" t="str">
            <v>Itramontanae@udd.cl</v>
          </cell>
          <cell r="J61" t="str">
            <v>Lukas Quense</v>
          </cell>
        </row>
        <row r="62">
          <cell r="A62" t="str">
            <v>Juan</v>
          </cell>
          <cell r="B62" t="str">
            <v>Undurraga</v>
          </cell>
          <cell r="C62" t="str">
            <v>Huilquehue 4367</v>
          </cell>
          <cell r="D62" t="str">
            <v>Lo Barnechea</v>
          </cell>
          <cell r="E62" t="str">
            <v>Los Trapenses</v>
          </cell>
          <cell r="F62" t="str">
            <v>UAndes</v>
          </cell>
          <cell r="G62" t="str">
            <v>JEFE</v>
          </cell>
          <cell r="H62">
            <v>56974397201</v>
          </cell>
          <cell r="I62" t="str">
            <v>jundurraga3@miuandes.cl</v>
          </cell>
          <cell r="J62" t="str">
            <v>Ignacio Castañeda</v>
          </cell>
        </row>
        <row r="63">
          <cell r="A63" t="str">
            <v>Cristobal</v>
          </cell>
          <cell r="B63" t="str">
            <v>Valdes</v>
          </cell>
          <cell r="C63" t="str">
            <v>Los Queltehues 11524</v>
          </cell>
          <cell r="D63" t="str">
            <v>Lo Barnechea</v>
          </cell>
          <cell r="E63" t="str">
            <v>Los Trapenses</v>
          </cell>
          <cell r="F63" t="str">
            <v>Cordillera</v>
          </cell>
          <cell r="G63" t="str">
            <v>JEFE</v>
          </cell>
          <cell r="H63">
            <v>56964829508</v>
          </cell>
          <cell r="I63" t="str">
            <v>cristobalvaldes99@gmail.com</v>
          </cell>
          <cell r="J63" t="str">
            <v>Lukas Quense</v>
          </cell>
        </row>
        <row r="64">
          <cell r="A64" t="str">
            <v>Antonia</v>
          </cell>
          <cell r="B64" t="str">
            <v>Valencia</v>
          </cell>
          <cell r="C64" t="str">
            <v>Las Campanas 681, Hacienda Chicureo</v>
          </cell>
          <cell r="D64" t="str">
            <v>Chicureo</v>
          </cell>
          <cell r="E64" t="str">
            <v>Piedra Roja</v>
          </cell>
          <cell r="F64" t="str">
            <v>UAndes</v>
          </cell>
          <cell r="G64" t="str">
            <v>JEFE</v>
          </cell>
          <cell r="H64">
            <v>56979769748</v>
          </cell>
          <cell r="I64" t="str">
            <v>antovalencia@mac.com</v>
          </cell>
          <cell r="J64" t="str">
            <v>Joaquin Eichholz</v>
          </cell>
        </row>
        <row r="65">
          <cell r="A65" t="str">
            <v>Jesu</v>
          </cell>
          <cell r="B65" t="str">
            <v>Valenzuela</v>
          </cell>
          <cell r="C65" t="str">
            <v>Bombay 8825</v>
          </cell>
          <cell r="D65" t="str">
            <v>Las Condes</v>
          </cell>
          <cell r="E65" t="str">
            <v>Alto Las Condes</v>
          </cell>
          <cell r="F65" t="str">
            <v>UC</v>
          </cell>
          <cell r="G65" t="str">
            <v>JEFE</v>
          </cell>
          <cell r="H65">
            <v>56999699652</v>
          </cell>
          <cell r="I65" t="str">
            <v>mjvalenzuela3@uc.cl</v>
          </cell>
          <cell r="J65" t="str">
            <v>Joaquin Eichholz</v>
          </cell>
        </row>
        <row r="66">
          <cell r="A66" t="str">
            <v>Pablo</v>
          </cell>
          <cell r="B66" t="str">
            <v>Vial</v>
          </cell>
          <cell r="C66" t="str">
            <v>Pachica 8279</v>
          </cell>
          <cell r="D66" t="str">
            <v>Las Condes</v>
          </cell>
          <cell r="E66" t="str">
            <v>Colon</v>
          </cell>
          <cell r="F66" t="str">
            <v>UDD</v>
          </cell>
          <cell r="G66" t="str">
            <v>JEFE</v>
          </cell>
          <cell r="H66">
            <v>56957230044</v>
          </cell>
          <cell r="I66" t="str">
            <v>pabcontrerasm@udd.cl</v>
          </cell>
          <cell r="J66" t="str">
            <v>Joaquin Eichholz</v>
          </cell>
        </row>
        <row r="67">
          <cell r="A67" t="str">
            <v>Pedro</v>
          </cell>
          <cell r="B67" t="str">
            <v>Vial</v>
          </cell>
          <cell r="C67" t="str">
            <v>Padre Ted Huard 4144</v>
          </cell>
          <cell r="D67" t="str">
            <v>Lo Barnechea</v>
          </cell>
          <cell r="E67" t="str">
            <v>Los Trapenses</v>
          </cell>
          <cell r="F67" t="str">
            <v>Monte Tabor</v>
          </cell>
          <cell r="G67" t="str">
            <v>JEFE</v>
          </cell>
          <cell r="H67">
            <v>56966640363</v>
          </cell>
          <cell r="I67" t="str">
            <v>pedrovialbo@gmail.com</v>
          </cell>
          <cell r="J67" t="str">
            <v>Lukas Quense</v>
          </cell>
        </row>
        <row r="68">
          <cell r="A68" t="str">
            <v>Paula</v>
          </cell>
          <cell r="B68" t="str">
            <v>Villela</v>
          </cell>
          <cell r="C68" t="str">
            <v>Camino La Fuente 2174</v>
          </cell>
          <cell r="D68" t="str">
            <v>Las Condes</v>
          </cell>
          <cell r="E68" t="str">
            <v>San Carlos</v>
          </cell>
          <cell r="G68" t="str">
            <v>JEFE</v>
          </cell>
          <cell r="H68">
            <v>56957850035</v>
          </cell>
          <cell r="I68" t="str">
            <v>pvillelacaerols@gmail.com</v>
          </cell>
          <cell r="J68" t="str">
            <v>Joaquin Eichholz</v>
          </cell>
        </row>
        <row r="69">
          <cell r="A69" t="str">
            <v>Gabriel</v>
          </cell>
          <cell r="B69" t="str">
            <v>Villela</v>
          </cell>
          <cell r="C69" t="str">
            <v>Las Estrellas 14043</v>
          </cell>
          <cell r="D69" t="str">
            <v>Las Condes</v>
          </cell>
          <cell r="E69" t="str">
            <v>Quinchamali</v>
          </cell>
          <cell r="F69" t="str">
            <v>TIPS</v>
          </cell>
          <cell r="G69" t="str">
            <v>JEFE</v>
          </cell>
          <cell r="H69">
            <v>56973979384</v>
          </cell>
          <cell r="I69" t="str">
            <v>gk.alaluf@icloud.com</v>
          </cell>
          <cell r="J69" t="str">
            <v>Lukas Quense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92" headerRowBorderDxfId="91" tableBorderDxfId="90" totalsRowBorderDxfId="89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88">
      <calculatedColumnFormula>[1]Personas!A2</calculatedColumnFormula>
    </tableColumn>
    <tableColumn id="2" xr3:uid="{00000000-0010-0000-0000-000002000000}" name="Apellido" dataDxfId="87" totalsRowDxfId="86">
      <calculatedColumnFormula>[1]Personas!B2</calculatedColumnFormula>
    </tableColumn>
    <tableColumn id="3" xr3:uid="{00000000-0010-0000-0000-000003000000}" name="Direccion" dataDxfId="85" totalsRowDxfId="84">
      <calculatedColumnFormula>[1]Personas!C2</calculatedColumnFormula>
    </tableColumn>
    <tableColumn id="4" xr3:uid="{00000000-0010-0000-0000-000004000000}" name="Comuna" dataDxfId="83" totalsRowDxfId="82">
      <calculatedColumnFormula>[1]Personas!D2</calculatedColumnFormula>
    </tableColumn>
    <tableColumn id="20" xr3:uid="{00000000-0010-0000-0000-000014000000}" name="Sector" dataDxfId="81" totalsRowDxfId="80">
      <calculatedColumnFormula>[1]Personas!E2</calculatedColumnFormula>
    </tableColumn>
    <tableColumn id="21" xr3:uid="{00000000-0010-0000-0000-000015000000}" name="Universidad" dataDxfId="79" totalsRowDxfId="78">
      <calculatedColumnFormula>[1]Personas!F2</calculatedColumnFormula>
    </tableColumn>
    <tableColumn id="22" xr3:uid="{00000000-0010-0000-0000-000016000000}" name="Cargo" dataDxfId="77" totalsRowDxfId="76">
      <calculatedColumnFormula>[1]Personas!G2</calculatedColumnFormula>
    </tableColumn>
    <tableColumn id="19" xr3:uid="{00000000-0010-0000-0000-000013000000}" name="Telefono" dataDxfId="75" totalsRowDxfId="74">
      <calculatedColumnFormula>[1]Personas!H2</calculatedColumnFormula>
    </tableColumn>
    <tableColumn id="12" xr3:uid="{00000000-0010-0000-0000-00000C000000}" name="Mail" dataDxfId="73" totalsRowDxfId="72" dataCellStyle="Millares">
      <calculatedColumnFormula>[1]Personas!I2</calculatedColumnFormula>
    </tableColumn>
    <tableColumn id="29" xr3:uid="{00000000-0010-0000-0000-00001D000000}" name="Encargado" dataDxfId="71" totalsRowDxfId="70" dataCellStyle="Millares">
      <calculatedColumnFormula>[1]Personas!J2</calculatedColumnFormula>
    </tableColumn>
    <tableColumn id="28" xr3:uid="{00000000-0010-0000-0000-00001C000000}" name="Entregado" dataDxfId="69" totalsRowDxfId="68"/>
    <tableColumn id="11" xr3:uid="{EA03B5A3-0D22-4235-8B84-5BCED3FE14DE}" name="Pagado" dataDxfId="67" totalsRowDxfId="66"/>
    <tableColumn id="5" xr3:uid="{00000000-0010-0000-0000-000005000000}" name="Deuda" dataDxfId="65" totalsRowDxfId="64">
      <calculatedColumnFormula>SUMPRODUCT(Tabla523[[#This Row],[Naranjas]:[Nueces]],O$82:U$82)</calculatedColumnFormula>
    </tableColumn>
    <tableColumn id="7" xr3:uid="{00000000-0010-0000-0000-000007000000}" name="Naranjas" dataDxfId="63" totalsRowDxfId="62"/>
    <tableColumn id="8" xr3:uid="{00000000-0010-0000-0000-000008000000}" name="Mandarinas" dataDxfId="61" totalsRowDxfId="60"/>
    <tableColumn id="9" xr3:uid="{00000000-0010-0000-0000-000009000000}" name="Paltas" dataDxfId="59" totalsRowDxfId="58"/>
    <tableColumn id="10" xr3:uid="{00000000-0010-0000-0000-00000A000000}" name="Quesos" dataDxfId="57" totalsRowDxfId="56"/>
    <tableColumn id="6" xr3:uid="{156812BB-FB47-4F5F-AC79-944CA52078EE}" name="Frutillas" dataDxfId="55" totalsRowDxfId="54"/>
    <tableColumn id="13" xr3:uid="{00000000-0010-0000-0000-00000D000000}" name="Tomate Cherry" dataDxfId="53" totalsRowDxfId="52"/>
    <tableColumn id="14" xr3:uid="{00000000-0010-0000-0000-00000E000000}" name="Nueces" dataDxfId="51" totalsRowDxfId="50"/>
    <tableColumn id="23" xr3:uid="{00000000-0010-0000-0000-000017000000}" name="Total" dataDxfId="49">
      <calculatedColumnFormula>SUM(Tabla523[[#This Row],[Naranjas]:[Nueces]])</calculatedColumnFormula>
    </tableColumn>
    <tableColumn id="30" xr3:uid="{00000000-0010-0000-0000-00001E000000}" name="Comentario" dataDxfId="48" totalsRowDxfId="4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8" totalsRowShown="0" headerRowDxfId="43" headerRowBorderDxfId="42" tableBorderDxfId="41" totalsRowBorderDxfId="40">
  <autoFilter ref="B4:V18" xr:uid="{00000000-0009-0000-0100-000002000000}"/>
  <sortState ref="B5:V18">
    <sortCondition ref="M4:M18"/>
  </sortState>
  <tableColumns count="21">
    <tableColumn id="1" xr3:uid="{B3FF1B63-732B-4C6C-A9C0-1C9BC2375DEE}" name="Nombre" dataDxfId="39"/>
    <tableColumn id="2" xr3:uid="{177C2DF3-7AE0-471C-B576-1E1AD53CBF94}" name="Apellido" dataDxfId="38" totalsRowDxfId="37"/>
    <tableColumn id="3" xr3:uid="{49FFF0CC-EA7E-4FD1-B356-A8EF81C80B53}" name="Direccion" dataDxfId="36" totalsRowDxfId="35"/>
    <tableColumn id="4" xr3:uid="{946CB6B0-C4D8-4E55-BE41-F7DD2C146676}" name="Comuna" dataDxfId="34" totalsRowDxfId="33"/>
    <tableColumn id="20" xr3:uid="{D275C66D-7827-4096-9408-1D200EB745CB}" name="Sector" dataDxfId="32" totalsRowDxfId="31"/>
    <tableColumn id="21" xr3:uid="{C88B535C-4DAE-4477-BAEA-8D8A0760F6FB}" name="Universidad" dataDxfId="30" totalsRowDxfId="29"/>
    <tableColumn id="22" xr3:uid="{56314F06-F2E1-417E-A2CA-4C41C19AE357}" name="Cargo" dataDxfId="28" totalsRowDxfId="27"/>
    <tableColumn id="19" xr3:uid="{B460B9CB-B861-4700-8F01-B5F679C40C7E}" name="Telefono" dataDxfId="26" totalsRowDxfId="25"/>
    <tableColumn id="12" xr3:uid="{FE9D2455-7BDB-4E96-99D4-F1DFA2BB3743}" name="Mail" dataDxfId="24" totalsRowDxfId="23" dataCellStyle="Millares"/>
    <tableColumn id="29" xr3:uid="{0E0C6DC1-C827-4E2D-BFA1-18D4B2C7D7EC}" name="Encargado" dataDxfId="22" totalsRowDxfId="21" dataCellStyle="Millares"/>
    <tableColumn id="28" xr3:uid="{B8434868-864C-4444-B750-F34FEF6EF554}" name="Entregado" dataDxfId="20" totalsRowDxfId="19"/>
    <tableColumn id="11" xr3:uid="{E908BCA8-389D-4340-ADC2-14F7E67E1346}" name="Pagado" dataDxfId="18" totalsRowDxfId="17"/>
    <tableColumn id="5" xr3:uid="{F3641326-26AC-49F3-9FC4-D7E20A1713B2}" name="Deuda" dataDxfId="16" totalsRowDxfId="15">
      <calculatedColumnFormula>SUMPRODUCT(Tabla5232[[#This Row],[Naranjas]:[Nueces]],O$84:T$84)</calculatedColumnFormula>
    </tableColumn>
    <tableColumn id="7" xr3:uid="{29049E1C-E362-468E-989C-1B2EF56236B4}" name="Naranjas" dataDxfId="14" totalsRowDxfId="13"/>
    <tableColumn id="9" xr3:uid="{44905327-FDE0-484D-B327-49323B5FD442}" name="Paltas" dataDxfId="12" totalsRowDxfId="11"/>
    <tableColumn id="10" xr3:uid="{47764D6F-F66A-490E-BB17-992E91D2DD85}" name="Quesos" dataDxfId="10" totalsRowDxfId="9"/>
    <tableColumn id="6" xr3:uid="{A1B4D37E-E751-4C8C-A1B4-E189E104A56A}" name="Frutillas" dataDxfId="8" totalsRowDxfId="7"/>
    <tableColumn id="13" xr3:uid="{A6895C05-C4D1-4760-A8C7-AF1A6CCB989F}" name="Tomate Cherry" dataDxfId="6" totalsRowDxfId="5"/>
    <tableColumn id="14" xr3:uid="{55AF1BEA-6BB4-4AB1-B8B6-73A6D93F69AD}" name="Nueces" dataDxfId="4" totalsRowDxfId="3"/>
    <tableColumn id="23" xr3:uid="{B2A4C93D-AC6F-46F9-9657-D0EBDAE4D57C}" name="Total" dataDxfId="2">
      <calculatedColumnFormula>SUM(Tabla5232[[#This Row],[Naranjas]:[Nueces]])</calculatedColumnFormula>
    </tableColumn>
    <tableColumn id="30" xr3:uid="{8C3ADF64-E92D-4CB8-A281-6B44C17699F2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64" activePane="bottomRight" state="frozen"/>
      <selection pane="topRight" activeCell="D1" sqref="D1"/>
      <selection pane="bottomLeft" activeCell="A5" sqref="A5"/>
      <selection pane="bottomRight" activeCell="O85" sqref="O85:U86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77734375" customWidth="1" collapsed="1"/>
    <col min="13" max="14" width="10.77734375" customWidth="1"/>
    <col min="15" max="21" width="15.44140625" customWidth="1"/>
    <col min="23" max="23" width="71.44140625" style="54" customWidth="1"/>
  </cols>
  <sheetData>
    <row r="1" spans="1:23" ht="15" thickBot="1" x14ac:dyDescent="0.35"/>
    <row r="2" spans="1:23" ht="29.7" customHeight="1" thickBot="1" x14ac:dyDescent="0.35">
      <c r="B2" s="173" t="s">
        <v>38</v>
      </c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5"/>
      <c r="O2" s="176" t="s">
        <v>11</v>
      </c>
      <c r="P2" s="177"/>
      <c r="Q2" s="177"/>
      <c r="R2" s="177"/>
      <c r="S2" s="177"/>
      <c r="T2" s="177"/>
      <c r="U2" s="178"/>
    </row>
    <row r="3" spans="1:23" s="1" customFormat="1" ht="15" thickBot="1" x14ac:dyDescent="0.35">
      <c r="L3" s="51"/>
      <c r="M3" s="51"/>
      <c r="N3" s="51"/>
      <c r="O3" s="28" t="s">
        <v>30</v>
      </c>
      <c r="P3" s="28" t="s">
        <v>31</v>
      </c>
      <c r="Q3" s="28" t="s">
        <v>5</v>
      </c>
      <c r="R3" s="28" t="s">
        <v>32</v>
      </c>
      <c r="S3" s="28" t="s">
        <v>103</v>
      </c>
      <c r="T3" s="28" t="s">
        <v>33</v>
      </c>
      <c r="U3" s="28" t="s">
        <v>21</v>
      </c>
      <c r="W3" s="54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22</v>
      </c>
      <c r="H4" s="33" t="s">
        <v>4</v>
      </c>
      <c r="I4" s="33" t="s">
        <v>23</v>
      </c>
      <c r="J4" s="33" t="s">
        <v>24</v>
      </c>
      <c r="K4" s="33" t="s">
        <v>35</v>
      </c>
      <c r="L4" s="33" t="s">
        <v>34</v>
      </c>
      <c r="M4" s="33" t="s">
        <v>37</v>
      </c>
      <c r="N4" s="33" t="s">
        <v>105</v>
      </c>
      <c r="O4" s="85" t="s">
        <v>30</v>
      </c>
      <c r="P4" s="85" t="s">
        <v>31</v>
      </c>
      <c r="Q4" s="85" t="s">
        <v>5</v>
      </c>
      <c r="R4" s="85" t="s">
        <v>32</v>
      </c>
      <c r="S4" s="86" t="s">
        <v>103</v>
      </c>
      <c r="T4" s="86" t="s">
        <v>33</v>
      </c>
      <c r="U4" s="86" t="s">
        <v>21</v>
      </c>
      <c r="V4" s="34" t="s">
        <v>16</v>
      </c>
      <c r="W4" s="59" t="s">
        <v>36</v>
      </c>
    </row>
    <row r="5" spans="1:23" ht="14.7" customHeight="1" outlineLevel="1" x14ac:dyDescent="0.3">
      <c r="A5" s="167" t="s">
        <v>39</v>
      </c>
      <c r="B5" s="69" t="str">
        <f>[1]Personas!A2</f>
        <v>Amalia</v>
      </c>
      <c r="C5" s="66" t="str">
        <f>[1]Personas!B2</f>
        <v>Abogabir</v>
      </c>
      <c r="D5" s="66" t="str">
        <f>[1]Personas!C2</f>
        <v>Condominio El Algarrobal 2 Casa Z-95</v>
      </c>
      <c r="E5" s="66" t="str">
        <f>[1]Personas!D2</f>
        <v>Chicureo</v>
      </c>
      <c r="F5" s="66" t="str">
        <f>[1]Personas!E2</f>
        <v>Piedra Roja</v>
      </c>
      <c r="G5" s="66" t="str">
        <f>[1]Personas!F2</f>
        <v>CLSA</v>
      </c>
      <c r="H5" s="66" t="str">
        <f>[1]Personas!G2</f>
        <v>JEFE</v>
      </c>
      <c r="I5" s="70">
        <f>[1]Personas!H2</f>
        <v>56982328250</v>
      </c>
      <c r="J5" s="40" t="str">
        <f>[1]Personas!I2</f>
        <v>amalia.abr@gmail.com</v>
      </c>
      <c r="K5" s="40" t="str">
        <f>[1]Personas!J2</f>
        <v>Joaquin Eichholz</v>
      </c>
      <c r="L5" s="64"/>
      <c r="M5" s="64"/>
      <c r="N5" s="62">
        <f>SUMPRODUCT(Tabla523[[#This Row],[Naranjas]:[Nueces]],O$82:U$82)</f>
        <v>0</v>
      </c>
      <c r="O5" s="64"/>
      <c r="P5" s="64"/>
      <c r="Q5" s="64"/>
      <c r="R5" s="64"/>
      <c r="S5" s="64"/>
      <c r="T5" s="64"/>
      <c r="U5" s="64"/>
      <c r="V5" s="64">
        <f>SUM(Tabla523[[#This Row],[Naranjas]:[Nueces]])</f>
        <v>0</v>
      </c>
      <c r="W5" s="72"/>
    </row>
    <row r="6" spans="1:23" outlineLevel="1" x14ac:dyDescent="0.3">
      <c r="A6" s="168"/>
      <c r="B6" s="71" t="str">
        <f>[1]Personas!A3</f>
        <v>Maida</v>
      </c>
      <c r="C6" s="62" t="str">
        <f>[1]Personas!B3</f>
        <v>Andrews</v>
      </c>
      <c r="D6" s="62" t="str">
        <f>[1]Personas!C3</f>
        <v>Martin De Zamora 5245, Torre 2, Dpto 52</v>
      </c>
      <c r="E6" s="62" t="str">
        <f>[1]Personas!D3</f>
        <v>Las Condes</v>
      </c>
      <c r="F6" s="62" t="str">
        <f>[1]Personas!E3</f>
        <v>Manquehue</v>
      </c>
      <c r="G6" s="62" t="str">
        <f>[1]Personas!F3</f>
        <v>VMA</v>
      </c>
      <c r="H6" s="62" t="str">
        <f>[1]Personas!G3</f>
        <v>JEFE</v>
      </c>
      <c r="I6" s="68">
        <f>[1]Personas!H3</f>
        <v>56954219968</v>
      </c>
      <c r="J6" s="41" t="str">
        <f>[1]Personas!I3</f>
        <v>maidaandrews25@gmail.com</v>
      </c>
      <c r="K6" s="41" t="str">
        <f>[1]Personas!J3</f>
        <v>Joaquin Eichholz</v>
      </c>
      <c r="L6" s="67"/>
      <c r="M6" s="67"/>
      <c r="N6" s="62">
        <f>SUMPRODUCT(Tabla523[[#This Row],[Naranjas]:[Nueces]],O$82:U$82)</f>
        <v>0</v>
      </c>
      <c r="O6" s="67"/>
      <c r="P6" s="67"/>
      <c r="Q6" s="67"/>
      <c r="R6" s="67"/>
      <c r="S6" s="67"/>
      <c r="T6" s="67"/>
      <c r="U6" s="67"/>
      <c r="V6" s="67">
        <f>SUM(Tabla523[[#This Row],[Naranjas]:[Nueces]])</f>
        <v>0</v>
      </c>
      <c r="W6" s="73"/>
    </row>
    <row r="7" spans="1:23" outlineLevel="1" x14ac:dyDescent="0.3">
      <c r="A7" s="168"/>
      <c r="B7" s="71" t="str">
        <f>[1]Personas!A4</f>
        <v>Gabriel</v>
      </c>
      <c r="C7" s="62" t="str">
        <f>[1]Personas!B4</f>
        <v>Araneda</v>
      </c>
      <c r="D7" s="62" t="str">
        <f>[1]Personas!C4</f>
        <v>Apoquindo 6797 Dpto 203-3</v>
      </c>
      <c r="E7" s="62" t="str">
        <f>[1]Personas!D4</f>
        <v>Las Condes</v>
      </c>
      <c r="F7" s="62" t="str">
        <f>[1]Personas!E4</f>
        <v>Manquehue</v>
      </c>
      <c r="G7" s="62" t="str">
        <f>[1]Personas!F4</f>
        <v>UDD</v>
      </c>
      <c r="H7" s="62" t="str">
        <f>[1]Personas!G4</f>
        <v>JEFE</v>
      </c>
      <c r="I7" s="68">
        <f>[1]Personas!H4</f>
        <v>56976237859</v>
      </c>
      <c r="J7" s="41" t="str">
        <f>[1]Personas!I4</f>
        <v>garanedaa@udd.cl</v>
      </c>
      <c r="K7" s="41" t="str">
        <f>[1]Personas!J4</f>
        <v>Lukas Quense</v>
      </c>
      <c r="L7" s="67"/>
      <c r="M7" s="67"/>
      <c r="N7" s="62">
        <f>SUMPRODUCT(Tabla523[[#This Row],[Naranjas]:[Nueces]],O$82:U$82)</f>
        <v>0</v>
      </c>
      <c r="O7" s="67"/>
      <c r="P7" s="67"/>
      <c r="Q7" s="67"/>
      <c r="R7" s="67"/>
      <c r="S7" s="67"/>
      <c r="T7" s="67"/>
      <c r="U7" s="67"/>
      <c r="V7" s="67">
        <f>SUM(Tabla523[[#This Row],[Naranjas]:[Nueces]])</f>
        <v>0</v>
      </c>
      <c r="W7" s="73"/>
    </row>
    <row r="8" spans="1:23" outlineLevel="1" x14ac:dyDescent="0.3">
      <c r="A8" s="168"/>
      <c r="B8" s="71" t="str">
        <f>[1]Personas!A5</f>
        <v>Martin</v>
      </c>
      <c r="C8" s="62" t="str">
        <f>[1]Personas!B5</f>
        <v>Araos</v>
      </c>
      <c r="D8" s="62" t="str">
        <f>[1]Personas!C5</f>
        <v>Cristal De Roca 10542</v>
      </c>
      <c r="E8" s="62" t="str">
        <f>[1]Personas!D5</f>
        <v>Chicureo</v>
      </c>
      <c r="F8" s="62" t="str">
        <f>[1]Personas!E5</f>
        <v>La Radial</v>
      </c>
      <c r="G8" s="62" t="str">
        <f>[1]Personas!F5</f>
        <v>Santa Cruz</v>
      </c>
      <c r="H8" s="62" t="str">
        <f>[1]Personas!G5</f>
        <v>JEFE</v>
      </c>
      <c r="I8" s="68">
        <f>[1]Personas!H5</f>
        <v>56962094749</v>
      </c>
      <c r="J8" s="41" t="str">
        <f>[1]Personas!I5</f>
        <v>araos.m13@gmail.com</v>
      </c>
      <c r="K8" s="41" t="str">
        <f>[1]Personas!J5</f>
        <v>Lukas Quense</v>
      </c>
      <c r="L8" s="67"/>
      <c r="M8" s="67"/>
      <c r="N8" s="62">
        <f>SUMPRODUCT(Tabla523[[#This Row],[Naranjas]:[Nueces]],O$82:U$82)</f>
        <v>0</v>
      </c>
      <c r="O8" s="67"/>
      <c r="P8" s="67"/>
      <c r="Q8" s="67"/>
      <c r="R8" s="67"/>
      <c r="S8" s="67"/>
      <c r="T8" s="67"/>
      <c r="U8" s="67"/>
      <c r="V8" s="67">
        <f>SUM(Tabla523[[#This Row],[Naranjas]:[Nueces]])</f>
        <v>0</v>
      </c>
      <c r="W8" s="73"/>
    </row>
    <row r="9" spans="1:23" outlineLevel="1" x14ac:dyDescent="0.3">
      <c r="A9" s="168"/>
      <c r="B9" s="71" t="str">
        <f>[1]Personas!A6</f>
        <v>Javi</v>
      </c>
      <c r="C9" s="62" t="str">
        <f>[1]Personas!B6</f>
        <v>Bernaus</v>
      </c>
      <c r="D9" s="62" t="str">
        <f>[1]Personas!C6</f>
        <v>Cerro La Campana 2311 Casa 2</v>
      </c>
      <c r="E9" s="62" t="str">
        <f>[1]Personas!D6</f>
        <v>Lo Barnechea</v>
      </c>
      <c r="F9" s="62" t="str">
        <f>[1]Personas!E6</f>
        <v>Los Trapenses</v>
      </c>
      <c r="G9" s="62" t="str">
        <f>[1]Personas!F6</f>
        <v>UAI</v>
      </c>
      <c r="H9" s="62" t="str">
        <f>[1]Personas!G6</f>
        <v>JEFE</v>
      </c>
      <c r="I9" s="68">
        <f>[1]Personas!H6</f>
        <v>56993333225</v>
      </c>
      <c r="J9" s="41" t="str">
        <f>[1]Personas!I6</f>
        <v>jbernaus@alumnos.uai.cl</v>
      </c>
      <c r="K9" s="41" t="str">
        <f>[1]Personas!J6</f>
        <v>Ignacio Castañeda</v>
      </c>
      <c r="L9" s="67"/>
      <c r="M9" s="67"/>
      <c r="N9" s="62">
        <f>SUMPRODUCT(Tabla523[[#This Row],[Naranjas]:[Nueces]],O$82:U$82)</f>
        <v>0</v>
      </c>
      <c r="O9" s="67"/>
      <c r="P9" s="67"/>
      <c r="Q9" s="67"/>
      <c r="R9" s="67"/>
      <c r="S9" s="67"/>
      <c r="T9" s="67"/>
      <c r="U9" s="67"/>
      <c r="V9" s="67">
        <f>SUM(Tabla523[[#This Row],[Naranjas]:[Nueces]])</f>
        <v>0</v>
      </c>
      <c r="W9" s="73"/>
    </row>
    <row r="10" spans="1:23" outlineLevel="1" x14ac:dyDescent="0.3">
      <c r="A10" s="168"/>
      <c r="B10" s="71" t="str">
        <f>[1]Personas!A7</f>
        <v>Paul</v>
      </c>
      <c r="C10" s="62" t="str">
        <f>[1]Personas!B7</f>
        <v>Brenner</v>
      </c>
      <c r="D10" s="62" t="str">
        <f>[1]Personas!C7</f>
        <v>San Jose De La Sierra 1105</v>
      </c>
      <c r="E10" s="62" t="str">
        <f>[1]Personas!D7</f>
        <v>Las Condes</v>
      </c>
      <c r="F10" s="62" t="str">
        <f>[1]Personas!E7</f>
        <v>Quinchamali</v>
      </c>
      <c r="G10" s="62" t="str">
        <f>[1]Personas!F7</f>
        <v>UDD</v>
      </c>
      <c r="H10" s="62" t="str">
        <f>[1]Personas!G7</f>
        <v>JEFE</v>
      </c>
      <c r="I10" s="68">
        <f>[1]Personas!H7</f>
        <v>56955324629</v>
      </c>
      <c r="J10" s="41" t="str">
        <f>[1]Personas!I7</f>
        <v>paulmartinbrenner@hotmail.com</v>
      </c>
      <c r="K10" s="41" t="str">
        <f>[1]Personas!J7</f>
        <v>Lukas Quense</v>
      </c>
      <c r="L10" s="67"/>
      <c r="M10" s="67"/>
      <c r="N10" s="62">
        <f>SUMPRODUCT(Tabla523[[#This Row],[Naranjas]:[Nueces]],O$82:U$82)</f>
        <v>0</v>
      </c>
      <c r="O10" s="67"/>
      <c r="P10" s="67"/>
      <c r="Q10" s="67"/>
      <c r="R10" s="67"/>
      <c r="S10" s="67"/>
      <c r="T10" s="67"/>
      <c r="U10" s="67"/>
      <c r="V10" s="67">
        <f>SUM(Tabla523[[#This Row],[Naranjas]:[Nueces]])</f>
        <v>0</v>
      </c>
      <c r="W10" s="73"/>
    </row>
    <row r="11" spans="1:23" outlineLevel="1" x14ac:dyDescent="0.3">
      <c r="A11" s="168"/>
      <c r="B11" s="71" t="str">
        <f>[1]Personas!A8</f>
        <v>Alvaro</v>
      </c>
      <c r="C11" s="62" t="str">
        <f>[1]Personas!B8</f>
        <v>Caeviedes</v>
      </c>
      <c r="D11" s="62" t="str">
        <f>[1]Personas!C8</f>
        <v>Cerro El Paico 9756</v>
      </c>
      <c r="E11" s="62" t="str">
        <f>[1]Personas!D8</f>
        <v>Lo Barnechea</v>
      </c>
      <c r="F11" s="62" t="str">
        <f>[1]Personas!E8</f>
        <v>Los Trapenses</v>
      </c>
      <c r="G11" s="62" t="str">
        <f>[1]Personas!F8</f>
        <v>UC</v>
      </c>
      <c r="H11" s="62" t="str">
        <f>[1]Personas!G8</f>
        <v>JEFE</v>
      </c>
      <c r="I11" s="68">
        <f>[1]Personas!H8</f>
        <v>56963033603</v>
      </c>
      <c r="J11" s="41" t="str">
        <f>[1]Personas!I8</f>
        <v>acaeviedes@uc.cl</v>
      </c>
      <c r="K11" s="41" t="str">
        <f>[1]Personas!J8</f>
        <v>Joaquin Eichholz</v>
      </c>
      <c r="L11" s="67"/>
      <c r="M11" s="67"/>
      <c r="N11" s="62">
        <f>SUMPRODUCT(Tabla523[[#This Row],[Naranjas]:[Nueces]],O$82:U$82)</f>
        <v>0</v>
      </c>
      <c r="O11" s="67"/>
      <c r="P11" s="67"/>
      <c r="Q11" s="67"/>
      <c r="R11" s="67"/>
      <c r="S11" s="67"/>
      <c r="T11" s="67"/>
      <c r="U11" s="67"/>
      <c r="V11" s="67">
        <f>SUM(Tabla523[[#This Row],[Naranjas]:[Nueces]])</f>
        <v>0</v>
      </c>
      <c r="W11" s="73"/>
    </row>
    <row r="12" spans="1:23" outlineLevel="1" x14ac:dyDescent="0.3">
      <c r="A12" s="168"/>
      <c r="B12" s="71" t="str">
        <f>[1]Personas!A9</f>
        <v>Ignacio</v>
      </c>
      <c r="C12" s="62" t="str">
        <f>[1]Personas!B9</f>
        <v>Castañeda</v>
      </c>
      <c r="D12" s="62" t="str">
        <f>[1]Personas!C9</f>
        <v>Punta de Aguilas Norte 9300 Casa 12</v>
      </c>
      <c r="E12" s="62" t="str">
        <f>[1]Personas!D9</f>
        <v>Lo Barnechea</v>
      </c>
      <c r="F12" s="62" t="str">
        <f>[1]Personas!E9</f>
        <v>Los Trapenses</v>
      </c>
      <c r="G12" s="62" t="str">
        <f>[1]Personas!F9</f>
        <v>UC</v>
      </c>
      <c r="H12" s="62" t="str">
        <f>[1]Personas!G9</f>
        <v>SOCIO</v>
      </c>
      <c r="I12" s="68">
        <f>[1]Personas!H9</f>
        <v>56982328250</v>
      </c>
      <c r="J12" s="41" t="str">
        <f>[1]Personas!I9</f>
        <v>icastanedaw@gmail.com</v>
      </c>
      <c r="K12" s="41" t="str">
        <f>[1]Personas!J9</f>
        <v>Ignacio Castañeda</v>
      </c>
      <c r="L12" s="67"/>
      <c r="M12" s="67"/>
      <c r="N12" s="62">
        <f>SUMPRODUCT(Tabla523[[#This Row],[Naranjas]:[Nueces]],O$82:U$82)</f>
        <v>0</v>
      </c>
      <c r="O12" s="67"/>
      <c r="P12" s="67"/>
      <c r="Q12" s="67"/>
      <c r="R12" s="67"/>
      <c r="S12" s="67"/>
      <c r="T12" s="67"/>
      <c r="U12" s="67"/>
      <c r="V12" s="67">
        <f>SUM(Tabla523[[#This Row],[Naranjas]:[Nueces]])</f>
        <v>0</v>
      </c>
      <c r="W12" s="73"/>
    </row>
    <row r="13" spans="1:23" outlineLevel="1" x14ac:dyDescent="0.3">
      <c r="A13" s="168"/>
      <c r="B13" s="71" t="str">
        <f>[1]Personas!A10</f>
        <v>Majo</v>
      </c>
      <c r="C13" s="62" t="str">
        <f>[1]Personas!B10</f>
        <v>Castañeda</v>
      </c>
      <c r="D13" s="62" t="str">
        <f>[1]Personas!C10</f>
        <v>Punta de Aguilas Norte 9300 Casa 12</v>
      </c>
      <c r="E13" s="62" t="str">
        <f>[1]Personas!D10</f>
        <v>Lo Barnechea</v>
      </c>
      <c r="F13" s="62" t="str">
        <f>[1]Personas!E10</f>
        <v>Los Trapenses</v>
      </c>
      <c r="G13" s="62" t="str">
        <f>[1]Personas!F10</f>
        <v>UAndes</v>
      </c>
      <c r="H13" s="62" t="str">
        <f>[1]Personas!G10</f>
        <v>JEFE</v>
      </c>
      <c r="I13" s="68">
        <f>[1]Personas!H10</f>
        <v>56982328251</v>
      </c>
      <c r="J13" s="41" t="str">
        <f>[1]Personas!I10</f>
        <v>mjcastaneda@miuandes.cl</v>
      </c>
      <c r="K13" s="41" t="str">
        <f>[1]Personas!J10</f>
        <v>Ignacio Castañeda</v>
      </c>
      <c r="L13" s="67"/>
      <c r="M13" s="67"/>
      <c r="N13" s="62">
        <f>SUMPRODUCT(Tabla523[[#This Row],[Naranjas]:[Nueces]],O$82:U$82)</f>
        <v>0</v>
      </c>
      <c r="O13" s="67"/>
      <c r="P13" s="67"/>
      <c r="Q13" s="67"/>
      <c r="R13" s="67"/>
      <c r="S13" s="67"/>
      <c r="T13" s="67"/>
      <c r="U13" s="67"/>
      <c r="V13" s="67">
        <f>SUM(Tabla523[[#This Row],[Naranjas]:[Nueces]])</f>
        <v>0</v>
      </c>
      <c r="W13" s="73"/>
    </row>
    <row r="14" spans="1:23" outlineLevel="1" x14ac:dyDescent="0.3">
      <c r="A14" s="168"/>
      <c r="B14" s="71" t="str">
        <f>[1]Personas!A11</f>
        <v>Vicky</v>
      </c>
      <c r="C14" s="62" t="str">
        <f>[1]Personas!B11</f>
        <v>Chaparro</v>
      </c>
      <c r="D14" s="62" t="str">
        <f>[1]Personas!C11</f>
        <v>Carolina Rabat 780 Casa 8</v>
      </c>
      <c r="E14" s="62" t="str">
        <f>[1]Personas!D11</f>
        <v>Vitacura</v>
      </c>
      <c r="F14" s="62" t="str">
        <f>[1]Personas!E11</f>
        <v>Santa Maria</v>
      </c>
      <c r="G14" s="62" t="str">
        <f>[1]Personas!F11</f>
        <v>UDD</v>
      </c>
      <c r="H14" s="62" t="str">
        <f>[1]Personas!G11</f>
        <v>JEFE</v>
      </c>
      <c r="I14" s="68">
        <f>[1]Personas!H11</f>
        <v>56968348679</v>
      </c>
      <c r="J14" s="41" t="str">
        <f>[1]Personas!I11</f>
        <v>mchaparroh@udd.cl</v>
      </c>
      <c r="K14" s="41" t="str">
        <f>[1]Personas!J11</f>
        <v>Ignacio Castañeda</v>
      </c>
      <c r="L14" s="67"/>
      <c r="M14" s="67"/>
      <c r="N14" s="62">
        <f>SUMPRODUCT(Tabla523[[#This Row],[Naranjas]:[Nueces]],O$82:U$82)</f>
        <v>0</v>
      </c>
      <c r="O14" s="67"/>
      <c r="P14" s="67"/>
      <c r="Q14" s="67"/>
      <c r="R14" s="67"/>
      <c r="S14" s="67"/>
      <c r="T14" s="67"/>
      <c r="U14" s="67"/>
      <c r="V14" s="67">
        <f>SUM(Tabla523[[#This Row],[Naranjas]:[Nueces]])</f>
        <v>0</v>
      </c>
      <c r="W14" s="73"/>
    </row>
    <row r="15" spans="1:23" outlineLevel="1" x14ac:dyDescent="0.3">
      <c r="A15" s="168"/>
      <c r="B15" s="71" t="str">
        <f>[1]Personas!A12</f>
        <v>Antonia</v>
      </c>
      <c r="C15" s="62" t="str">
        <f>[1]Personas!B12</f>
        <v>Cisternas</v>
      </c>
      <c r="D15" s="62" t="str">
        <f>[1]Personas!C12</f>
        <v>Calle Parque 12700 Casa 38</v>
      </c>
      <c r="E15" s="62" t="str">
        <f>[1]Personas!D12</f>
        <v>Lo Barnechea</v>
      </c>
      <c r="F15" s="62" t="str">
        <f>[1]Personas!E12</f>
        <v>Los Trapenses</v>
      </c>
      <c r="G15" s="62">
        <f>[1]Personas!F12</f>
        <v>0</v>
      </c>
      <c r="H15" s="62" t="str">
        <f>[1]Personas!G12</f>
        <v>JEFE</v>
      </c>
      <c r="I15" s="68">
        <f>[1]Personas!H12</f>
        <v>56944346775</v>
      </c>
      <c r="J15" s="41" t="str">
        <f>[1]Personas!I12</f>
        <v>antocisternas@hotmail.com</v>
      </c>
      <c r="K15" s="41" t="str">
        <f>[1]Personas!J12</f>
        <v>Lukas Quense</v>
      </c>
      <c r="L15" s="67"/>
      <c r="M15" s="67"/>
      <c r="N15" s="62">
        <f>SUMPRODUCT(Tabla523[[#This Row],[Naranjas]:[Nueces]],O$82:U$82)</f>
        <v>0</v>
      </c>
      <c r="O15" s="67"/>
      <c r="P15" s="67"/>
      <c r="Q15" s="67"/>
      <c r="R15" s="67"/>
      <c r="S15" s="67"/>
      <c r="T15" s="67"/>
      <c r="U15" s="67"/>
      <c r="V15" s="67">
        <f>SUM(Tabla523[[#This Row],[Naranjas]:[Nueces]])</f>
        <v>0</v>
      </c>
      <c r="W15" s="73"/>
    </row>
    <row r="16" spans="1:23" outlineLevel="1" x14ac:dyDescent="0.3">
      <c r="A16" s="168"/>
      <c r="B16" s="71" t="str">
        <f>[1]Personas!A13</f>
        <v>Josefa</v>
      </c>
      <c r="C16" s="62" t="str">
        <f>[1]Personas!B13</f>
        <v>Covarrubias</v>
      </c>
      <c r="D16" s="62" t="str">
        <f>[1]Personas!C13</f>
        <v>Camino Las Flores 12163</v>
      </c>
      <c r="E16" s="62" t="str">
        <f>[1]Personas!D13</f>
        <v>Las Condes</v>
      </c>
      <c r="F16" s="62" t="str">
        <f>[1]Personas!E13</f>
        <v>San Carlos</v>
      </c>
      <c r="G16" s="62" t="str">
        <f>[1]Personas!F13</f>
        <v>Saint George</v>
      </c>
      <c r="H16" s="62" t="str">
        <f>[1]Personas!G13</f>
        <v>JEFE</v>
      </c>
      <c r="I16" s="68">
        <f>[1]Personas!H13</f>
        <v>56995346870</v>
      </c>
      <c r="J16" s="41" t="str">
        <f>[1]Personas!I13</f>
        <v>josefacovarrubias@gmail.com</v>
      </c>
      <c r="K16" s="41" t="str">
        <f>[1]Personas!J13</f>
        <v>Joaquin Eichholz</v>
      </c>
      <c r="L16" s="67"/>
      <c r="M16" s="67"/>
      <c r="N16" s="62">
        <f>SUMPRODUCT(Tabla523[[#This Row],[Naranjas]:[Nueces]],O$82:U$82)</f>
        <v>0</v>
      </c>
      <c r="O16" s="67"/>
      <c r="P16" s="67"/>
      <c r="Q16" s="67"/>
      <c r="R16" s="67"/>
      <c r="S16" s="67"/>
      <c r="T16" s="67"/>
      <c r="U16" s="67"/>
      <c r="V16" s="67">
        <f>SUM(Tabla523[[#This Row],[Naranjas]:[Nueces]])</f>
        <v>0</v>
      </c>
      <c r="W16" s="73"/>
    </row>
    <row r="17" spans="1:23" outlineLevel="1" x14ac:dyDescent="0.3">
      <c r="A17" s="168"/>
      <c r="B17" s="71" t="str">
        <f>[1]Personas!A14</f>
        <v>Florencia</v>
      </c>
      <c r="C17" s="62" t="str">
        <f>[1]Personas!B14</f>
        <v>Croxatto</v>
      </c>
      <c r="D17" s="62" t="str">
        <f>[1]Personas!C14</f>
        <v>Los Olivos 12179</v>
      </c>
      <c r="E17" s="62" t="str">
        <f>[1]Personas!D14</f>
        <v>Las Condes</v>
      </c>
      <c r="F17" s="62" t="str">
        <f>[1]Personas!E14</f>
        <v>San Carlos</v>
      </c>
      <c r="G17" s="62" t="str">
        <f>[1]Personas!F14</f>
        <v>UC</v>
      </c>
      <c r="H17" s="62" t="str">
        <f>[1]Personas!G14</f>
        <v>JEFE</v>
      </c>
      <c r="I17" s="68">
        <f>[1]Personas!H14</f>
        <v>56963061299</v>
      </c>
      <c r="J17" s="41" t="str">
        <f>[1]Personas!I14</f>
        <v>fcroxatto@uc.cl</v>
      </c>
      <c r="K17" s="41" t="str">
        <f>[1]Personas!J14</f>
        <v>Joaquin Eichholz</v>
      </c>
      <c r="L17" s="67"/>
      <c r="M17" s="67"/>
      <c r="N17" s="62">
        <f>SUMPRODUCT(Tabla523[[#This Row],[Naranjas]:[Nueces]],O$82:U$82)</f>
        <v>0</v>
      </c>
      <c r="O17" s="67"/>
      <c r="P17" s="67"/>
      <c r="Q17" s="67"/>
      <c r="R17" s="67"/>
      <c r="S17" s="67"/>
      <c r="T17" s="67"/>
      <c r="U17" s="67"/>
      <c r="V17" s="67">
        <f>SUM(Tabla523[[#This Row],[Naranjas]:[Nueces]])</f>
        <v>0</v>
      </c>
      <c r="W17" s="73"/>
    </row>
    <row r="18" spans="1:23" outlineLevel="1" x14ac:dyDescent="0.3">
      <c r="A18" s="168"/>
      <c r="B18" s="71" t="str">
        <f>[1]Personas!A15</f>
        <v>Joaquin</v>
      </c>
      <c r="C18" s="62" t="str">
        <f>[1]Personas!B15</f>
        <v>Daly</v>
      </c>
      <c r="D18" s="62" t="str">
        <f>[1]Personas!C15</f>
        <v>Polo 1 de Manquehue Casa 112</v>
      </c>
      <c r="E18" s="62" t="str">
        <f>[1]Personas!D15</f>
        <v>Chicureo</v>
      </c>
      <c r="F18" s="62" t="str">
        <f>[1]Personas!E15</f>
        <v>Piedra Roja</v>
      </c>
      <c r="G18" s="62" t="str">
        <f>[1]Personas!F15</f>
        <v>CSA</v>
      </c>
      <c r="H18" s="62" t="str">
        <f>[1]Personas!G15</f>
        <v>JEFE</v>
      </c>
      <c r="I18" s="68">
        <f>[1]Personas!H15</f>
        <v>56979987750</v>
      </c>
      <c r="J18" s="41" t="str">
        <f>[1]Personas!I15</f>
        <v>dalyjoaquin@gmail.com</v>
      </c>
      <c r="K18" s="41" t="str">
        <f>[1]Personas!J15</f>
        <v>Lukas Quense</v>
      </c>
      <c r="L18" s="67"/>
      <c r="M18" s="67"/>
      <c r="N18" s="62">
        <f>SUMPRODUCT(Tabla523[[#This Row],[Naranjas]:[Nueces]],O$82:U$82)</f>
        <v>0</v>
      </c>
      <c r="O18" s="67"/>
      <c r="P18" s="67"/>
      <c r="Q18" s="67"/>
      <c r="R18" s="67"/>
      <c r="S18" s="67"/>
      <c r="T18" s="67"/>
      <c r="U18" s="67"/>
      <c r="V18" s="67">
        <f>SUM(Tabla523[[#This Row],[Naranjas]:[Nueces]])</f>
        <v>0</v>
      </c>
      <c r="W18" s="73"/>
    </row>
    <row r="19" spans="1:23" outlineLevel="1" x14ac:dyDescent="0.3">
      <c r="A19" s="168"/>
      <c r="B19" s="71" t="str">
        <f>[1]Personas!A16</f>
        <v>Dominique</v>
      </c>
      <c r="C19" s="62" t="str">
        <f>[1]Personas!B16</f>
        <v>Daroch</v>
      </c>
      <c r="D19" s="62" t="str">
        <f>[1]Personas!C16</f>
        <v>El Algarrobal 2 Casa U2</v>
      </c>
      <c r="E19" s="62" t="str">
        <f>[1]Personas!D16</f>
        <v>Chicureo</v>
      </c>
      <c r="F19" s="62" t="str">
        <f>[1]Personas!E16</f>
        <v>Vespucio</v>
      </c>
      <c r="G19" s="62" t="str">
        <f>[1]Personas!F16</f>
        <v>Highlands</v>
      </c>
      <c r="H19" s="62" t="str">
        <f>[1]Personas!G16</f>
        <v>JEFE</v>
      </c>
      <c r="I19" s="68">
        <f>[1]Personas!H16</f>
        <v>56974474437</v>
      </c>
      <c r="J19" s="41" t="str">
        <f>[1]Personas!I16</f>
        <v>dominique_daroch@hotmail.com</v>
      </c>
      <c r="K19" s="41" t="str">
        <f>[1]Personas!J16</f>
        <v>Ignacio Castañeda</v>
      </c>
      <c r="L19" s="67"/>
      <c r="M19" s="67"/>
      <c r="N19" s="62">
        <f>SUMPRODUCT(Tabla523[[#This Row],[Naranjas]:[Nueces]],O$82:U$82)</f>
        <v>0</v>
      </c>
      <c r="O19" s="67"/>
      <c r="P19" s="67"/>
      <c r="Q19" s="67"/>
      <c r="R19" s="67"/>
      <c r="S19" s="67"/>
      <c r="T19" s="67"/>
      <c r="U19" s="67"/>
      <c r="V19" s="67">
        <f>SUM(Tabla523[[#This Row],[Naranjas]:[Nueces]])</f>
        <v>0</v>
      </c>
      <c r="W19" s="73"/>
    </row>
    <row r="20" spans="1:23" outlineLevel="1" x14ac:dyDescent="0.3">
      <c r="A20" s="168"/>
      <c r="B20" s="71" t="str">
        <f>[1]Personas!A17</f>
        <v>Camila</v>
      </c>
      <c r="C20" s="62" t="str">
        <f>[1]Personas!B17</f>
        <v>De La Sotta</v>
      </c>
      <c r="D20" s="62" t="str">
        <f>[1]Personas!C17</f>
        <v>Jose de Moraleda 4837</v>
      </c>
      <c r="E20" s="62" t="str">
        <f>[1]Personas!D17</f>
        <v>Las Condes</v>
      </c>
      <c r="F20" s="62" t="str">
        <f>[1]Personas!E17</f>
        <v>Vespucio</v>
      </c>
      <c r="G20" s="62" t="str">
        <f>[1]Personas!F17</f>
        <v>UDD</v>
      </c>
      <c r="H20" s="62" t="str">
        <f>[1]Personas!G17</f>
        <v>JEFE</v>
      </c>
      <c r="I20" s="68">
        <f>[1]Personas!H17</f>
        <v>56967289638</v>
      </c>
      <c r="J20" s="41" t="str">
        <f>[1]Personas!I17</f>
        <v>camila.delasotta@gmail.com</v>
      </c>
      <c r="K20" s="41" t="str">
        <f>[1]Personas!J17</f>
        <v>Ignacio Castañeda</v>
      </c>
      <c r="L20" s="67"/>
      <c r="M20" s="67"/>
      <c r="N20" s="62">
        <f>SUMPRODUCT(Tabla523[[#This Row],[Naranjas]:[Nueces]],O$82:U$82)</f>
        <v>0</v>
      </c>
      <c r="O20" s="67"/>
      <c r="P20" s="67"/>
      <c r="Q20" s="67"/>
      <c r="R20" s="67"/>
      <c r="S20" s="67"/>
      <c r="T20" s="67"/>
      <c r="U20" s="67"/>
      <c r="V20" s="67">
        <f>SUM(Tabla523[[#This Row],[Naranjas]:[Nueces]])</f>
        <v>0</v>
      </c>
      <c r="W20" s="73"/>
    </row>
    <row r="21" spans="1:23" outlineLevel="1" x14ac:dyDescent="0.3">
      <c r="A21" s="168"/>
      <c r="B21" s="71" t="str">
        <f>[1]Personas!A18</f>
        <v>Javi</v>
      </c>
      <c r="C21" s="62" t="str">
        <f>[1]Personas!B18</f>
        <v>Del Rio</v>
      </c>
      <c r="D21" s="62" t="str">
        <f>[1]Personas!C18</f>
        <v>Valle del monasterio 2664</v>
      </c>
      <c r="E21" s="62" t="str">
        <f>[1]Personas!D18</f>
        <v>Lo Barnechea</v>
      </c>
      <c r="F21" s="62" t="str">
        <f>[1]Personas!E18</f>
        <v>Los Trapenses</v>
      </c>
      <c r="G21" s="62" t="str">
        <f>[1]Personas!F18</f>
        <v>UC</v>
      </c>
      <c r="H21" s="62" t="str">
        <f>[1]Personas!G18</f>
        <v>JEFE</v>
      </c>
      <c r="I21" s="68">
        <f>[1]Personas!H18</f>
        <v>56967898535</v>
      </c>
      <c r="J21" s="41" t="str">
        <f>[1]Personas!I18</f>
        <v>jpdelrio@uc.cl</v>
      </c>
      <c r="K21" s="41" t="str">
        <f>[1]Personas!J18</f>
        <v>Ignacio Castañeda</v>
      </c>
      <c r="L21" s="67"/>
      <c r="M21" s="67"/>
      <c r="N21" s="62">
        <f>SUMPRODUCT(Tabla523[[#This Row],[Naranjas]:[Nueces]],O$82:U$82)</f>
        <v>0</v>
      </c>
      <c r="O21" s="67"/>
      <c r="P21" s="67"/>
      <c r="Q21" s="67"/>
      <c r="R21" s="67"/>
      <c r="S21" s="67"/>
      <c r="T21" s="67"/>
      <c r="U21" s="67"/>
      <c r="V21" s="67">
        <f>SUM(Tabla523[[#This Row],[Naranjas]:[Nueces]])</f>
        <v>0</v>
      </c>
      <c r="W21" s="73"/>
    </row>
    <row r="22" spans="1:23" outlineLevel="1" x14ac:dyDescent="0.3">
      <c r="A22" s="168"/>
      <c r="B22" s="71" t="str">
        <f>[1]Personas!A19</f>
        <v>Amelia</v>
      </c>
      <c r="C22" s="62" t="str">
        <f>[1]Personas!B19</f>
        <v>Del Rio</v>
      </c>
      <c r="D22" s="62" t="str">
        <f>[1]Personas!C19</f>
        <v>Candelaria Goyenechea 5765</v>
      </c>
      <c r="E22" s="62" t="str">
        <f>[1]Personas!D19</f>
        <v>Vitacura</v>
      </c>
      <c r="F22" s="62" t="str">
        <f>[1]Personas!E19</f>
        <v>Manquehue</v>
      </c>
      <c r="G22" s="62" t="str">
        <f>[1]Personas!F19</f>
        <v>UCH</v>
      </c>
      <c r="H22" s="62" t="str">
        <f>[1]Personas!G19</f>
        <v>JEFE</v>
      </c>
      <c r="I22" s="68">
        <f>[1]Personas!H19</f>
        <v>56998222891</v>
      </c>
      <c r="J22" s="41" t="str">
        <f>[1]Personas!I19</f>
        <v>adelrioa@fen.uchile.cl</v>
      </c>
      <c r="K22" s="41" t="str">
        <f>[1]Personas!J19</f>
        <v>Ignacio Castañeda</v>
      </c>
      <c r="L22" s="67"/>
      <c r="M22" s="67"/>
      <c r="N22" s="62">
        <f>SUMPRODUCT(Tabla523[[#This Row],[Naranjas]:[Nueces]],O$82:U$82)</f>
        <v>0</v>
      </c>
      <c r="O22" s="67"/>
      <c r="P22" s="67"/>
      <c r="Q22" s="67"/>
      <c r="R22" s="67"/>
      <c r="S22" s="67"/>
      <c r="T22" s="67"/>
      <c r="U22" s="67"/>
      <c r="V22" s="67">
        <f>SUM(Tabla523[[#This Row],[Naranjas]:[Nueces]])</f>
        <v>0</v>
      </c>
      <c r="W22" s="73"/>
    </row>
    <row r="23" spans="1:23" outlineLevel="1" x14ac:dyDescent="0.3">
      <c r="A23" s="168"/>
      <c r="B23" s="71" t="str">
        <f>[1]Personas!A20</f>
        <v>Constanza</v>
      </c>
      <c r="C23" s="62" t="str">
        <f>[1]Personas!B20</f>
        <v>Delfau</v>
      </c>
      <c r="D23" s="62" t="str">
        <f>[1]Personas!C20</f>
        <v>Calle Parque 12700 Casa 1</v>
      </c>
      <c r="E23" s="62" t="str">
        <f>[1]Personas!D20</f>
        <v>Lo Barnechea</v>
      </c>
      <c r="F23" s="62" t="str">
        <f>[1]Personas!E20</f>
        <v>La Dehesa</v>
      </c>
      <c r="G23" s="62" t="str">
        <f>[1]Personas!F20</f>
        <v>UC</v>
      </c>
      <c r="H23" s="62" t="str">
        <f>[1]Personas!G20</f>
        <v>JEFE</v>
      </c>
      <c r="I23" s="68">
        <f>[1]Personas!H20</f>
        <v>56991889995</v>
      </c>
      <c r="J23" s="41" t="str">
        <f>[1]Personas!I20</f>
        <v>conidelfau@gmail.com</v>
      </c>
      <c r="K23" s="41" t="str">
        <f>[1]Personas!J20</f>
        <v>Ignacio Castañeda</v>
      </c>
      <c r="L23" s="67"/>
      <c r="M23" s="67"/>
      <c r="N23" s="62">
        <f>SUMPRODUCT(Tabla523[[#This Row],[Naranjas]:[Nueces]],O$82:U$82)</f>
        <v>0</v>
      </c>
      <c r="O23" s="67"/>
      <c r="P23" s="67"/>
      <c r="Q23" s="67"/>
      <c r="R23" s="67"/>
      <c r="S23" s="67"/>
      <c r="T23" s="67"/>
      <c r="U23" s="67"/>
      <c r="V23" s="67">
        <f>SUM(Tabla523[[#This Row],[Naranjas]:[Nueces]])</f>
        <v>0</v>
      </c>
      <c r="W23" s="73"/>
    </row>
    <row r="24" spans="1:23" outlineLevel="1" x14ac:dyDescent="0.3">
      <c r="A24" s="168"/>
      <c r="B24" s="71" t="str">
        <f>[1]Personas!A21</f>
        <v>Pilar</v>
      </c>
      <c r="C24" s="62" t="str">
        <f>[1]Personas!B21</f>
        <v>Edwards</v>
      </c>
      <c r="D24" s="62" t="str">
        <f>[1]Personas!C21</f>
        <v>El Roquerio 2028</v>
      </c>
      <c r="E24" s="62" t="str">
        <f>[1]Personas!D21</f>
        <v>Lo Barnechea</v>
      </c>
      <c r="F24" s="62" t="str">
        <f>[1]Personas!E21</f>
        <v>Los Trapenses</v>
      </c>
      <c r="G24" s="62" t="str">
        <f>[1]Personas!F21</f>
        <v>UDD</v>
      </c>
      <c r="H24" s="62" t="str">
        <f>[1]Personas!G21</f>
        <v>JEFE</v>
      </c>
      <c r="I24" s="68">
        <f>[1]Personas!H21</f>
        <v>56983708702</v>
      </c>
      <c r="J24" s="41" t="str">
        <f>[1]Personas!I21</f>
        <v>piliedwards@gmail.com</v>
      </c>
      <c r="K24" s="41" t="str">
        <f>[1]Personas!J21</f>
        <v>Joaquin Eichholz</v>
      </c>
      <c r="L24" s="67"/>
      <c r="M24" s="67"/>
      <c r="N24" s="62">
        <f>SUMPRODUCT(Tabla523[[#This Row],[Naranjas]:[Nueces]],O$82:U$82)</f>
        <v>0</v>
      </c>
      <c r="O24" s="67"/>
      <c r="P24" s="67"/>
      <c r="Q24" s="67"/>
      <c r="R24" s="67"/>
      <c r="S24" s="67"/>
      <c r="T24" s="67"/>
      <c r="U24" s="67"/>
      <c r="V24" s="67">
        <f>SUM(Tabla523[[#This Row],[Naranjas]:[Nueces]])</f>
        <v>0</v>
      </c>
      <c r="W24" s="73"/>
    </row>
    <row r="25" spans="1:23" outlineLevel="1" x14ac:dyDescent="0.3">
      <c r="A25" s="168"/>
      <c r="B25" s="71" t="str">
        <f>[1]Personas!A22</f>
        <v>Joaquin</v>
      </c>
      <c r="C25" s="62" t="str">
        <f>[1]Personas!B22</f>
        <v>Eichholz</v>
      </c>
      <c r="D25" s="62" t="str">
        <f>[1]Personas!C22</f>
        <v>Estrella Del Norte 980 Dpto 154</v>
      </c>
      <c r="E25" s="62" t="str">
        <f>[1]Personas!D22</f>
        <v>Las Condes</v>
      </c>
      <c r="F25" s="62" t="str">
        <f>[1]Personas!E22</f>
        <v>Alto Las Condes</v>
      </c>
      <c r="G25" s="62" t="str">
        <f>[1]Personas!F22</f>
        <v>UC</v>
      </c>
      <c r="H25" s="62" t="str">
        <f>[1]Personas!G22</f>
        <v>SOCIO</v>
      </c>
      <c r="I25" s="68">
        <f>[1]Personas!H22</f>
        <v>56996324787</v>
      </c>
      <c r="J25" s="41" t="str">
        <f>[1]Personas!I22</f>
        <v>joaquin.eichholz@gmail.com</v>
      </c>
      <c r="K25" s="41" t="str">
        <f>[1]Personas!J22</f>
        <v>Joaquin Eichholz</v>
      </c>
      <c r="L25" s="67"/>
      <c r="M25" s="67"/>
      <c r="N25" s="62">
        <f>SUMPRODUCT(Tabla523[[#This Row],[Naranjas]:[Nueces]],O$82:U$82)</f>
        <v>0</v>
      </c>
      <c r="O25" s="67"/>
      <c r="P25" s="67"/>
      <c r="Q25" s="67"/>
      <c r="R25" s="67"/>
      <c r="S25" s="67"/>
      <c r="T25" s="67"/>
      <c r="U25" s="67"/>
      <c r="V25" s="67">
        <f>SUM(Tabla523[[#This Row],[Naranjas]:[Nueces]])</f>
        <v>0</v>
      </c>
      <c r="W25" s="73"/>
    </row>
    <row r="26" spans="1:23" outlineLevel="1" x14ac:dyDescent="0.3">
      <c r="A26" s="168"/>
      <c r="B26" s="71" t="str">
        <f>[1]Personas!A23</f>
        <v>Maria Jesus</v>
      </c>
      <c r="C26" s="62" t="str">
        <f>[1]Personas!B23</f>
        <v>Elias</v>
      </c>
      <c r="D26" s="62" t="str">
        <f>[1]Personas!C23</f>
        <v>Manquehue Norte 555</v>
      </c>
      <c r="E26" s="62" t="str">
        <f>[1]Personas!D23</f>
        <v>Las Condes</v>
      </c>
      <c r="F26" s="62" t="str">
        <f>[1]Personas!E23</f>
        <v>Manquehue</v>
      </c>
      <c r="G26" s="62" t="str">
        <f>[1]Personas!F23</f>
        <v>UDD</v>
      </c>
      <c r="H26" s="62" t="str">
        <f>[1]Personas!G23</f>
        <v>JEFE</v>
      </c>
      <c r="I26" s="68">
        <f>[1]Personas!H23</f>
        <v>56958589916</v>
      </c>
      <c r="J26" s="41" t="str">
        <f>[1]Personas!I23</f>
        <v>meliasm@udd.cl</v>
      </c>
      <c r="K26" s="41" t="str">
        <f>[1]Personas!J23</f>
        <v>Lukas Quense</v>
      </c>
      <c r="L26" s="67"/>
      <c r="M26" s="67"/>
      <c r="N26" s="62">
        <f>SUMPRODUCT(Tabla523[[#This Row],[Naranjas]:[Nueces]],O$82:U$82)</f>
        <v>0</v>
      </c>
      <c r="O26" s="67"/>
      <c r="P26" s="67"/>
      <c r="Q26" s="67"/>
      <c r="R26" s="67"/>
      <c r="S26" s="67"/>
      <c r="T26" s="67"/>
      <c r="U26" s="67"/>
      <c r="V26" s="67">
        <f>SUM(Tabla523[[#This Row],[Naranjas]:[Nueces]])</f>
        <v>0</v>
      </c>
      <c r="W26" s="73"/>
    </row>
    <row r="27" spans="1:23" outlineLevel="1" x14ac:dyDescent="0.3">
      <c r="A27" s="168"/>
      <c r="B27" s="71" t="str">
        <f>[1]Personas!A24</f>
        <v>Rafael</v>
      </c>
      <c r="C27" s="62" t="str">
        <f>[1]Personas!B24</f>
        <v>Errazuriz</v>
      </c>
      <c r="D27" s="62" t="str">
        <f>[1]Personas!C24</f>
        <v>Pasaje La Aurora 1883</v>
      </c>
      <c r="E27" s="62" t="str">
        <f>[1]Personas!D24</f>
        <v>Vitacura</v>
      </c>
      <c r="F27" s="62" t="str">
        <f>[1]Personas!E24</f>
        <v>Estoril</v>
      </c>
      <c r="G27" s="62" t="str">
        <f>[1]Personas!F24</f>
        <v>UDD</v>
      </c>
      <c r="H27" s="62" t="str">
        <f>[1]Personas!G24</f>
        <v>JEFE</v>
      </c>
      <c r="I27" s="68">
        <f>[1]Personas!H24</f>
        <v>56995483434</v>
      </c>
      <c r="J27" s="41" t="str">
        <f>[1]Personas!I24</f>
        <v>rerrazurizf@udd.cl</v>
      </c>
      <c r="K27" s="41" t="str">
        <f>[1]Personas!J24</f>
        <v>Joaquin Eichholz</v>
      </c>
      <c r="L27" s="67"/>
      <c r="M27" s="67"/>
      <c r="N27" s="62">
        <f>SUMPRODUCT(Tabla523[[#This Row],[Naranjas]:[Nueces]],O$82:U$82)</f>
        <v>0</v>
      </c>
      <c r="O27" s="67"/>
      <c r="P27" s="67"/>
      <c r="Q27" s="67"/>
      <c r="R27" s="67"/>
      <c r="S27" s="67"/>
      <c r="T27" s="67"/>
      <c r="U27" s="67"/>
      <c r="V27" s="67">
        <f>SUM(Tabla523[[#This Row],[Naranjas]:[Nueces]])</f>
        <v>0</v>
      </c>
      <c r="W27" s="73"/>
    </row>
    <row r="28" spans="1:23" outlineLevel="1" x14ac:dyDescent="0.3">
      <c r="A28" s="168"/>
      <c r="B28" s="71" t="str">
        <f>[1]Personas!A25</f>
        <v>Isidora</v>
      </c>
      <c r="C28" s="62" t="str">
        <f>[1]Personas!B25</f>
        <v>Fernandez</v>
      </c>
      <c r="D28" s="62" t="str">
        <f>[1]Personas!C25</f>
        <v>Casa De Piedra 2628</v>
      </c>
      <c r="E28" s="62" t="str">
        <f>[1]Personas!D25</f>
        <v>Las Condes</v>
      </c>
      <c r="F28" s="62" t="str">
        <f>[1]Personas!E25</f>
        <v>San Carlos</v>
      </c>
      <c r="G28" s="62" t="str">
        <f>[1]Personas!F25</f>
        <v>UAndes</v>
      </c>
      <c r="H28" s="62" t="str">
        <f>[1]Personas!G25</f>
        <v>JEFE</v>
      </c>
      <c r="I28" s="68">
        <f>[1]Personas!H25</f>
        <v>56997550244</v>
      </c>
      <c r="J28" s="41" t="str">
        <f>[1]Personas!I25</f>
        <v>ifernandez1@miuandes.cl</v>
      </c>
      <c r="K28" s="41" t="str">
        <f>[1]Personas!J25</f>
        <v>Joaquin Eichholz</v>
      </c>
      <c r="L28" s="67"/>
      <c r="M28" s="67"/>
      <c r="N28" s="62">
        <f>SUMPRODUCT(Tabla523[[#This Row],[Naranjas]:[Nueces]],O$82:U$82)</f>
        <v>0</v>
      </c>
      <c r="O28" s="67"/>
      <c r="P28" s="67"/>
      <c r="Q28" s="67"/>
      <c r="R28" s="67"/>
      <c r="S28" s="67"/>
      <c r="T28" s="67"/>
      <c r="U28" s="67"/>
      <c r="V28" s="67">
        <f>SUM(Tabla523[[#This Row],[Naranjas]:[Nueces]])</f>
        <v>0</v>
      </c>
      <c r="W28" s="73"/>
    </row>
    <row r="29" spans="1:23" outlineLevel="1" x14ac:dyDescent="0.3">
      <c r="A29" s="168"/>
      <c r="B29" s="71" t="str">
        <f>[1]Personas!A26</f>
        <v>Maria Luisa</v>
      </c>
      <c r="C29" s="62" t="str">
        <f>[1]Personas!B26</f>
        <v>Fernandez</v>
      </c>
      <c r="D29" s="62" t="str">
        <f>[1]Personas!C26</f>
        <v>La Invernada 7005</v>
      </c>
      <c r="E29" s="62" t="str">
        <f>[1]Personas!D26</f>
        <v>Vitacura</v>
      </c>
      <c r="F29" s="62" t="str">
        <f>[1]Personas!E26</f>
        <v>Santa Maria</v>
      </c>
      <c r="G29" s="62" t="str">
        <f>[1]Personas!F26</f>
        <v>UCH</v>
      </c>
      <c r="H29" s="62" t="str">
        <f>[1]Personas!G26</f>
        <v>JEFE</v>
      </c>
      <c r="I29" s="68">
        <f>[1]Personas!H26</f>
        <v>56982978895</v>
      </c>
      <c r="J29" s="41" t="str">
        <f>[1]Personas!I26</f>
        <v>guisa97@hotmail.com</v>
      </c>
      <c r="K29" s="41" t="str">
        <f>[1]Personas!J26</f>
        <v>Lukas Quense</v>
      </c>
      <c r="L29" s="67"/>
      <c r="M29" s="67"/>
      <c r="N29" s="62">
        <f>SUMPRODUCT(Tabla523[[#This Row],[Naranjas]:[Nueces]],O$82:U$82)</f>
        <v>0</v>
      </c>
      <c r="O29" s="67"/>
      <c r="P29" s="67"/>
      <c r="Q29" s="67"/>
      <c r="R29" s="67"/>
      <c r="S29" s="67"/>
      <c r="T29" s="67"/>
      <c r="U29" s="67"/>
      <c r="V29" s="67">
        <f>SUM(Tabla523[[#This Row],[Naranjas]:[Nueces]])</f>
        <v>0</v>
      </c>
      <c r="W29" s="73"/>
    </row>
    <row r="30" spans="1:23" outlineLevel="1" x14ac:dyDescent="0.3">
      <c r="A30" s="168"/>
      <c r="B30" s="71" t="str">
        <f>[1]Personas!A27</f>
        <v>Rodrigo</v>
      </c>
      <c r="C30" s="62" t="str">
        <f>[1]Personas!B27</f>
        <v>Fernandez</v>
      </c>
      <c r="D30" s="62" t="str">
        <f>[1]Personas!C27</f>
        <v>Las Hualtatas 4555 Casa 9</v>
      </c>
      <c r="E30" s="62" t="str">
        <f>[1]Personas!D27</f>
        <v>Lo Barnechea</v>
      </c>
      <c r="F30" s="62" t="str">
        <f>[1]Personas!E27</f>
        <v>Los Trapenses</v>
      </c>
      <c r="G30" s="62" t="str">
        <f>[1]Personas!F27</f>
        <v>UC</v>
      </c>
      <c r="H30" s="62" t="str">
        <f>[1]Personas!G27</f>
        <v>JEFE</v>
      </c>
      <c r="I30" s="68">
        <f>[1]Personas!H27</f>
        <v>56986194003</v>
      </c>
      <c r="J30" s="41" t="str">
        <f>[1]Personas!I27</f>
        <v>rfernandezdelrio@uc.cl</v>
      </c>
      <c r="K30" s="41" t="str">
        <f>[1]Personas!J27</f>
        <v>Lukas Quense</v>
      </c>
      <c r="L30" s="67"/>
      <c r="M30" s="67"/>
      <c r="N30" s="62">
        <f>SUMPRODUCT(Tabla523[[#This Row],[Naranjas]:[Nueces]],O$82:U$82)</f>
        <v>0</v>
      </c>
      <c r="O30" s="67"/>
      <c r="P30" s="67"/>
      <c r="Q30" s="67"/>
      <c r="R30" s="67"/>
      <c r="S30" s="67"/>
      <c r="T30" s="67"/>
      <c r="U30" s="67"/>
      <c r="V30" s="67">
        <f>SUM(Tabla523[[#This Row],[Naranjas]:[Nueces]])</f>
        <v>0</v>
      </c>
      <c r="W30" s="73"/>
    </row>
    <row r="31" spans="1:23" outlineLevel="1" x14ac:dyDescent="0.3">
      <c r="A31" s="168"/>
      <c r="B31" s="71" t="str">
        <f>[1]Personas!A28</f>
        <v>Tere</v>
      </c>
      <c r="C31" s="62" t="str">
        <f>[1]Personas!B28</f>
        <v>Fernandez</v>
      </c>
      <c r="D31" s="62" t="str">
        <f>[1]Personas!C28</f>
        <v>Las Torcazas 3080</v>
      </c>
      <c r="E31" s="62" t="str">
        <f>[1]Personas!D28</f>
        <v>Chicureo</v>
      </c>
      <c r="F31" s="62" t="str">
        <f>[1]Personas!E28</f>
        <v>Colina</v>
      </c>
      <c r="G31" s="62" t="str">
        <f>[1]Personas!F28</f>
        <v>Highlands</v>
      </c>
      <c r="H31" s="62" t="str">
        <f>[1]Personas!G28</f>
        <v>JEFE</v>
      </c>
      <c r="I31" s="68">
        <f>[1]Personas!H28</f>
        <v>56965542496</v>
      </c>
      <c r="J31" s="41" t="str">
        <f>[1]Personas!I28</f>
        <v>terefernandez99@yahoo.com</v>
      </c>
      <c r="K31" s="41" t="str">
        <f>[1]Personas!J28</f>
        <v>Lukas Quense</v>
      </c>
      <c r="L31" s="67"/>
      <c r="M31" s="67"/>
      <c r="N31" s="62">
        <f>SUMPRODUCT(Tabla523[[#This Row],[Naranjas]:[Nueces]],O$82:U$82)</f>
        <v>0</v>
      </c>
      <c r="O31" s="67"/>
      <c r="P31" s="67"/>
      <c r="Q31" s="67"/>
      <c r="R31" s="67"/>
      <c r="S31" s="67"/>
      <c r="T31" s="67"/>
      <c r="U31" s="67"/>
      <c r="V31" s="67">
        <f>SUM(Tabla523[[#This Row],[Naranjas]:[Nueces]])</f>
        <v>0</v>
      </c>
      <c r="W31" s="73"/>
    </row>
    <row r="32" spans="1:23" outlineLevel="1" x14ac:dyDescent="0.3">
      <c r="A32" s="168"/>
      <c r="B32" s="71" t="str">
        <f>[1]Personas!A29</f>
        <v>Diego</v>
      </c>
      <c r="C32" s="62" t="str">
        <f>[1]Personas!B29</f>
        <v>Figueroa</v>
      </c>
      <c r="D32" s="62" t="str">
        <f>[1]Personas!C29</f>
        <v>Las Lavandulas 10006</v>
      </c>
      <c r="E32" s="62" t="str">
        <f>[1]Personas!D29</f>
        <v>Las Condes</v>
      </c>
      <c r="F32" s="62" t="str">
        <f>[1]Personas!E29</f>
        <v>San Carlos</v>
      </c>
      <c r="G32" s="62">
        <f>[1]Personas!F29</f>
        <v>0</v>
      </c>
      <c r="H32" s="62" t="str">
        <f>[1]Personas!G29</f>
        <v>JEFE</v>
      </c>
      <c r="I32" s="68">
        <f>[1]Personas!H29</f>
        <v>56979579233</v>
      </c>
      <c r="J32" s="41" t="str">
        <f>[1]Personas!I29</f>
        <v>diegofiba2@gmail.com</v>
      </c>
      <c r="K32" s="41" t="str">
        <f>[1]Personas!J29</f>
        <v>Joaquin Eichholz</v>
      </c>
      <c r="L32" s="67"/>
      <c r="M32" s="67"/>
      <c r="N32" s="62">
        <f>SUMPRODUCT(Tabla523[[#This Row],[Naranjas]:[Nueces]],O$82:U$82)</f>
        <v>0</v>
      </c>
      <c r="O32" s="67"/>
      <c r="P32" s="67"/>
      <c r="Q32" s="67"/>
      <c r="R32" s="67"/>
      <c r="S32" s="67"/>
      <c r="T32" s="67"/>
      <c r="U32" s="67"/>
      <c r="V32" s="67">
        <f>SUM(Tabla523[[#This Row],[Naranjas]:[Nueces]])</f>
        <v>0</v>
      </c>
      <c r="W32" s="73"/>
    </row>
    <row r="33" spans="1:23" outlineLevel="1" x14ac:dyDescent="0.3">
      <c r="A33" s="168"/>
      <c r="B33" s="71" t="str">
        <f>[1]Personas!A30</f>
        <v>Matias</v>
      </c>
      <c r="C33" s="62" t="str">
        <f>[1]Personas!B30</f>
        <v>Flores</v>
      </c>
      <c r="D33" s="62" t="str">
        <f>[1]Personas!C30</f>
        <v>Condominio Sta Teresita P14 Sta Ester De Liray</v>
      </c>
      <c r="E33" s="62" t="str">
        <f>[1]Personas!D30</f>
        <v>Chicureo</v>
      </c>
      <c r="F33" s="62" t="str">
        <f>[1]Personas!E30</f>
        <v>Lo Pinto</v>
      </c>
      <c r="G33" s="62" t="str">
        <f>[1]Personas!F30</f>
        <v>UDD</v>
      </c>
      <c r="H33" s="62" t="str">
        <f>[1]Personas!G30</f>
        <v>JEFE</v>
      </c>
      <c r="I33" s="68">
        <f>[1]Personas!H30</f>
        <v>56986351953</v>
      </c>
      <c r="J33" s="41" t="str">
        <f>[1]Personas!I30</f>
        <v>matifloresdonetch@hotmail.com</v>
      </c>
      <c r="K33" s="41" t="str">
        <f>[1]Personas!J30</f>
        <v>Ignacio Castañeda</v>
      </c>
      <c r="L33" s="67"/>
      <c r="M33" s="67"/>
      <c r="N33" s="62">
        <f>SUMPRODUCT(Tabla523[[#This Row],[Naranjas]:[Nueces]],O$82:U$82)</f>
        <v>0</v>
      </c>
      <c r="O33" s="67"/>
      <c r="P33" s="67"/>
      <c r="Q33" s="67"/>
      <c r="R33" s="67"/>
      <c r="S33" s="67"/>
      <c r="T33" s="67"/>
      <c r="U33" s="67"/>
      <c r="V33" s="67">
        <f>SUM(Tabla523[[#This Row],[Naranjas]:[Nueces]])</f>
        <v>0</v>
      </c>
      <c r="W33" s="73"/>
    </row>
    <row r="34" spans="1:23" outlineLevel="1" x14ac:dyDescent="0.3">
      <c r="A34" s="168"/>
      <c r="B34" s="71" t="str">
        <f>[1]Personas!A31</f>
        <v>Benjamin</v>
      </c>
      <c r="C34" s="62" t="str">
        <f>[1]Personas!B31</f>
        <v>Hartmann</v>
      </c>
      <c r="D34" s="62" t="str">
        <f>[1]Personas!C31</f>
        <v>Camino Otonal 1368 Casa 6</v>
      </c>
      <c r="E34" s="62" t="str">
        <f>[1]Personas!D31</f>
        <v>Las Condes</v>
      </c>
      <c r="F34" s="62" t="str">
        <f>[1]Personas!E31</f>
        <v>San Carlos</v>
      </c>
      <c r="G34" s="62" t="str">
        <f>[1]Personas!F31</f>
        <v>UC</v>
      </c>
      <c r="H34" s="62" t="str">
        <f>[1]Personas!G31</f>
        <v>JEFE</v>
      </c>
      <c r="I34" s="68">
        <f>[1]Personas!H31</f>
        <v>56982958975</v>
      </c>
      <c r="J34" s="41" t="str">
        <f>[1]Personas!I31</f>
        <v>hartmann12@gmail.com</v>
      </c>
      <c r="K34" s="41" t="str">
        <f>[1]Personas!J31</f>
        <v>Ignacio Castañeda</v>
      </c>
      <c r="L34" s="67"/>
      <c r="M34" s="67"/>
      <c r="N34" s="62">
        <f>SUMPRODUCT(Tabla523[[#This Row],[Naranjas]:[Nueces]],O$82:U$82)</f>
        <v>0</v>
      </c>
      <c r="O34" s="67"/>
      <c r="P34" s="67"/>
      <c r="Q34" s="67"/>
      <c r="R34" s="67"/>
      <c r="S34" s="67"/>
      <c r="T34" s="67"/>
      <c r="U34" s="67"/>
      <c r="V34" s="67">
        <f>SUM(Tabla523[[#This Row],[Naranjas]:[Nueces]])</f>
        <v>0</v>
      </c>
      <c r="W34" s="73"/>
    </row>
    <row r="35" spans="1:23" outlineLevel="1" x14ac:dyDescent="0.3">
      <c r="A35" s="168"/>
      <c r="B35" s="71" t="str">
        <f>[1]Personas!A32</f>
        <v>Mauricio</v>
      </c>
      <c r="C35" s="62" t="str">
        <f>[1]Personas!B32</f>
        <v>Hernandez</v>
      </c>
      <c r="D35" s="62" t="str">
        <f>[1]Personas!C32</f>
        <v>Julia Bernstein 607 Casa G-40</v>
      </c>
      <c r="E35" s="62" t="str">
        <f>[1]Personas!D32</f>
        <v>La Reina</v>
      </c>
      <c r="F35" s="62" t="str">
        <f>[1]Personas!E32</f>
        <v>La Reina</v>
      </c>
      <c r="G35" s="62" t="str">
        <f>[1]Personas!F32</f>
        <v>UCH</v>
      </c>
      <c r="H35" s="62" t="str">
        <f>[1]Personas!G32</f>
        <v>JEFE</v>
      </c>
      <c r="I35" s="68">
        <f>[1]Personas!H32</f>
        <v>56965951459</v>
      </c>
      <c r="J35" s="41" t="str">
        <f>[1]Personas!I32</f>
        <v>mauhernand@fen.uchile.cl</v>
      </c>
      <c r="K35" s="41" t="str">
        <f>[1]Personas!J32</f>
        <v>Lukas Quense</v>
      </c>
      <c r="L35" s="67"/>
      <c r="M35" s="67"/>
      <c r="N35" s="62">
        <f>SUMPRODUCT(Tabla523[[#This Row],[Naranjas]:[Nueces]],O$82:U$82)</f>
        <v>0</v>
      </c>
      <c r="O35" s="67"/>
      <c r="P35" s="67"/>
      <c r="Q35" s="67"/>
      <c r="R35" s="67"/>
      <c r="S35" s="67"/>
      <c r="T35" s="67"/>
      <c r="U35" s="67"/>
      <c r="V35" s="67">
        <f>SUM(Tabla523[[#This Row],[Naranjas]:[Nueces]])</f>
        <v>0</v>
      </c>
      <c r="W35" s="73"/>
    </row>
    <row r="36" spans="1:23" outlineLevel="1" x14ac:dyDescent="0.3">
      <c r="A36" s="168"/>
      <c r="B36" s="71" t="str">
        <f>[1]Personas!A33</f>
        <v>Andres</v>
      </c>
      <c r="C36" s="62" t="str">
        <f>[1]Personas!B33</f>
        <v>Infante</v>
      </c>
      <c r="D36" s="62" t="str">
        <f>[1]Personas!C33</f>
        <v>Camino De Las Ermitas 3804</v>
      </c>
      <c r="E36" s="62" t="str">
        <f>[1]Personas!D33</f>
        <v>Lo Barnechea</v>
      </c>
      <c r="F36" s="62" t="str">
        <f>[1]Personas!E33</f>
        <v>Los Trapenses</v>
      </c>
      <c r="G36" s="62" t="str">
        <f>[1]Personas!F33</f>
        <v>UAI</v>
      </c>
      <c r="H36" s="62" t="str">
        <f>[1]Personas!G33</f>
        <v>JEFE</v>
      </c>
      <c r="I36" s="68">
        <f>[1]Personas!H33</f>
        <v>56979891544</v>
      </c>
      <c r="J36" s="41" t="str">
        <f>[1]Personas!I33</f>
        <v>andres_infanter@hotmail.com</v>
      </c>
      <c r="K36" s="41" t="str">
        <f>[1]Personas!J33</f>
        <v>Lukas Quense</v>
      </c>
      <c r="L36" s="67"/>
      <c r="M36" s="67"/>
      <c r="N36" s="62">
        <f>SUMPRODUCT(Tabla523[[#This Row],[Naranjas]:[Nueces]],O$82:U$82)</f>
        <v>0</v>
      </c>
      <c r="O36" s="67"/>
      <c r="P36" s="67"/>
      <c r="Q36" s="67"/>
      <c r="R36" s="67"/>
      <c r="S36" s="67"/>
      <c r="T36" s="67"/>
      <c r="U36" s="67"/>
      <c r="V36" s="67">
        <f>SUM(Tabla523[[#This Row],[Naranjas]:[Nueces]])</f>
        <v>0</v>
      </c>
      <c r="W36" s="73"/>
    </row>
    <row r="37" spans="1:23" outlineLevel="1" x14ac:dyDescent="0.3">
      <c r="A37" s="168"/>
      <c r="B37" s="71" t="str">
        <f>[1]Personas!A34</f>
        <v>Cata</v>
      </c>
      <c r="C37" s="62" t="str">
        <f>[1]Personas!B34</f>
        <v>Izcue</v>
      </c>
      <c r="D37" s="62" t="str">
        <f>[1]Personas!C34</f>
        <v>Los Pumas 11996</v>
      </c>
      <c r="E37" s="62" t="str">
        <f>[1]Personas!D34</f>
        <v>Las Condes</v>
      </c>
      <c r="F37" s="62" t="str">
        <f>[1]Personas!E34</f>
        <v>San Carlos</v>
      </c>
      <c r="G37" s="62" t="str">
        <f>[1]Personas!F34</f>
        <v>Los Andes</v>
      </c>
      <c r="H37" s="62" t="str">
        <f>[1]Personas!G34</f>
        <v>JEFE</v>
      </c>
      <c r="I37" s="68">
        <f>[1]Personas!H34</f>
        <v>56995952212</v>
      </c>
      <c r="J37" s="41" t="str">
        <f>[1]Personas!I34</f>
        <v>cataizcue@gmail.com</v>
      </c>
      <c r="K37" s="41" t="str">
        <f>[1]Personas!J34</f>
        <v>Lukas Quense</v>
      </c>
      <c r="L37" s="67"/>
      <c r="M37" s="67"/>
      <c r="N37" s="62">
        <f>SUMPRODUCT(Tabla523[[#This Row],[Naranjas]:[Nueces]],O$82:U$82)</f>
        <v>0</v>
      </c>
      <c r="O37" s="67"/>
      <c r="P37" s="67"/>
      <c r="Q37" s="67"/>
      <c r="R37" s="67"/>
      <c r="S37" s="67"/>
      <c r="T37" s="67"/>
      <c r="U37" s="67"/>
      <c r="V37" s="67">
        <f>SUM(Tabla523[[#This Row],[Naranjas]:[Nueces]])</f>
        <v>0</v>
      </c>
      <c r="W37" s="73"/>
    </row>
    <row r="38" spans="1:23" outlineLevel="1" x14ac:dyDescent="0.3">
      <c r="A38" s="168"/>
      <c r="B38" s="71" t="str">
        <f>[1]Personas!A35</f>
        <v>Margarita</v>
      </c>
      <c r="C38" s="62" t="str">
        <f>[1]Personas!B35</f>
        <v>Joglar</v>
      </c>
      <c r="D38" s="62" t="str">
        <f>[1]Personas!C35</f>
        <v>Camino Los Trapenses 4860 Casa 9</v>
      </c>
      <c r="E38" s="62" t="str">
        <f>[1]Personas!D35</f>
        <v>Lo Barnechea</v>
      </c>
      <c r="F38" s="62" t="str">
        <f>[1]Personas!E35</f>
        <v>Los Trapenses</v>
      </c>
      <c r="G38" s="62">
        <f>[1]Personas!F35</f>
        <v>0</v>
      </c>
      <c r="H38" s="62" t="str">
        <f>[1]Personas!G35</f>
        <v>JEFE</v>
      </c>
      <c r="I38" s="68">
        <f>[1]Personas!H35</f>
        <v>56963124612</v>
      </c>
      <c r="J38" s="41" t="str">
        <f>[1]Personas!I35</f>
        <v>magui.joglar22@gmail.com</v>
      </c>
      <c r="K38" s="41" t="str">
        <f>[1]Personas!J35</f>
        <v>Lukas Quense</v>
      </c>
      <c r="L38" s="67"/>
      <c r="M38" s="67"/>
      <c r="N38" s="62">
        <f>SUMPRODUCT(Tabla523[[#This Row],[Naranjas]:[Nueces]],O$82:U$82)</f>
        <v>0</v>
      </c>
      <c r="O38" s="67"/>
      <c r="P38" s="67"/>
      <c r="Q38" s="67"/>
      <c r="R38" s="67"/>
      <c r="S38" s="67"/>
      <c r="T38" s="67"/>
      <c r="U38" s="67"/>
      <c r="V38" s="67">
        <f>SUM(Tabla523[[#This Row],[Naranjas]:[Nueces]])</f>
        <v>0</v>
      </c>
      <c r="W38" s="73"/>
    </row>
    <row r="39" spans="1:23" outlineLevel="1" x14ac:dyDescent="0.3">
      <c r="A39" s="168"/>
      <c r="B39" s="71" t="str">
        <f>[1]Personas!A36</f>
        <v>Ric</v>
      </c>
      <c r="C39" s="62" t="str">
        <f>[1]Personas!B36</f>
        <v>Jungk</v>
      </c>
      <c r="D39" s="62" t="str">
        <f>[1]Personas!C36</f>
        <v>Pasaje Pie Andino 4209A</v>
      </c>
      <c r="E39" s="62" t="str">
        <f>[1]Personas!D36</f>
        <v>Lo Barnechea</v>
      </c>
      <c r="F39" s="62" t="str">
        <f>[1]Personas!E36</f>
        <v>La Dehesa</v>
      </c>
      <c r="G39" s="62" t="str">
        <f>[1]Personas!F36</f>
        <v>UAndes</v>
      </c>
      <c r="H39" s="62" t="str">
        <f>[1]Personas!G36</f>
        <v>JEFE</v>
      </c>
      <c r="I39" s="68">
        <f>[1]Personas!H36</f>
        <v>56966477967</v>
      </c>
      <c r="J39" s="41" t="str">
        <f>[1]Personas!I36</f>
        <v>rtjungk@miuandes.cl</v>
      </c>
      <c r="K39" s="41" t="str">
        <f>[1]Personas!J36</f>
        <v>Ignacio Castañeda</v>
      </c>
      <c r="L39" s="67"/>
      <c r="M39" s="67"/>
      <c r="N39" s="62">
        <f>SUMPRODUCT(Tabla523[[#This Row],[Naranjas]:[Nueces]],O$82:U$82)</f>
        <v>0</v>
      </c>
      <c r="O39" s="67"/>
      <c r="P39" s="67"/>
      <c r="Q39" s="67"/>
      <c r="R39" s="67"/>
      <c r="S39" s="67"/>
      <c r="T39" s="67"/>
      <c r="U39" s="67"/>
      <c r="V39" s="67">
        <f>SUM(Tabla523[[#This Row],[Naranjas]:[Nueces]])</f>
        <v>0</v>
      </c>
      <c r="W39" s="73"/>
    </row>
    <row r="40" spans="1:23" outlineLevel="1" x14ac:dyDescent="0.3">
      <c r="A40" s="168"/>
      <c r="B40" s="71" t="str">
        <f>[1]Personas!A37</f>
        <v>Matias</v>
      </c>
      <c r="C40" s="62" t="str">
        <f>[1]Personas!B37</f>
        <v>Krumm</v>
      </c>
      <c r="D40" s="62" t="str">
        <f>[1]Personas!C37</f>
        <v>La Cienaga 12315</v>
      </c>
      <c r="E40" s="62" t="str">
        <f>[1]Personas!D37</f>
        <v>Lo Barnechea</v>
      </c>
      <c r="F40" s="62" t="str">
        <f>[1]Personas!E37</f>
        <v>La Dehesa</v>
      </c>
      <c r="G40" s="62" t="str">
        <f>[1]Personas!F37</f>
        <v>UAI</v>
      </c>
      <c r="H40" s="62" t="str">
        <f>[1]Personas!G37</f>
        <v>JEFE</v>
      </c>
      <c r="I40" s="68">
        <f>[1]Personas!H37</f>
        <v>56988587944</v>
      </c>
      <c r="J40" s="41" t="str">
        <f>[1]Personas!I37</f>
        <v>matiask7@gmail.com</v>
      </c>
      <c r="K40" s="41" t="str">
        <f>[1]Personas!J37</f>
        <v>Lukas Quense</v>
      </c>
      <c r="L40" s="67"/>
      <c r="M40" s="67"/>
      <c r="N40" s="62">
        <f>SUMPRODUCT(Tabla523[[#This Row],[Naranjas]:[Nueces]],O$82:U$82)</f>
        <v>0</v>
      </c>
      <c r="O40" s="67"/>
      <c r="P40" s="67"/>
      <c r="Q40" s="67"/>
      <c r="R40" s="67"/>
      <c r="S40" s="67"/>
      <c r="T40" s="67"/>
      <c r="U40" s="67"/>
      <c r="V40" s="67">
        <f>SUM(Tabla523[[#This Row],[Naranjas]:[Nueces]])</f>
        <v>0</v>
      </c>
      <c r="W40" s="73"/>
    </row>
    <row r="41" spans="1:23" outlineLevel="1" x14ac:dyDescent="0.3">
      <c r="A41" s="168"/>
      <c r="B41" s="71" t="str">
        <f>[1]Personas!A38</f>
        <v>Juan Diego</v>
      </c>
      <c r="C41" s="62" t="str">
        <f>[1]Personas!B38</f>
        <v>Lyon</v>
      </c>
      <c r="D41" s="62" t="str">
        <f>[1]Personas!C38</f>
        <v>Las Hualtatas 10725</v>
      </c>
      <c r="E41" s="62" t="str">
        <f>[1]Personas!D38</f>
        <v>Vitacura</v>
      </c>
      <c r="F41" s="62" t="str">
        <f>[1]Personas!E38</f>
        <v>Estoril</v>
      </c>
      <c r="G41" s="62" t="str">
        <f>[1]Personas!F38</f>
        <v>UAndes</v>
      </c>
      <c r="H41" s="62" t="str">
        <f>[1]Personas!G38</f>
        <v>JEFE</v>
      </c>
      <c r="I41" s="68">
        <f>[1]Personas!H38</f>
        <v>56977684576</v>
      </c>
      <c r="J41" s="41" t="str">
        <f>[1]Personas!I38</f>
        <v>juandiegolyon@gmail.com</v>
      </c>
      <c r="K41" s="41" t="str">
        <f>[1]Personas!J38</f>
        <v>Joaquin Eichholz</v>
      </c>
      <c r="L41" s="67"/>
      <c r="M41" s="67"/>
      <c r="N41" s="62">
        <f>SUMPRODUCT(Tabla523[[#This Row],[Naranjas]:[Nueces]],O$82:U$82)</f>
        <v>0</v>
      </c>
      <c r="O41" s="67"/>
      <c r="P41" s="67"/>
      <c r="Q41" s="67"/>
      <c r="R41" s="67"/>
      <c r="S41" s="67"/>
      <c r="T41" s="67"/>
      <c r="U41" s="67"/>
      <c r="V41" s="67">
        <f>SUM(Tabla523[[#This Row],[Naranjas]:[Nueces]])</f>
        <v>0</v>
      </c>
      <c r="W41" s="73"/>
    </row>
    <row r="42" spans="1:23" outlineLevel="1" x14ac:dyDescent="0.3">
      <c r="A42" s="168"/>
      <c r="B42" s="71" t="str">
        <f>[1]Personas!A39</f>
        <v>Bernardita</v>
      </c>
      <c r="C42" s="62" t="str">
        <f>[1]Personas!B39</f>
        <v>Mackenney</v>
      </c>
      <c r="D42" s="62" t="str">
        <f>[1]Personas!C39</f>
        <v>La Fontana 11221</v>
      </c>
      <c r="E42" s="62" t="str">
        <f>[1]Personas!D39</f>
        <v>Las Condes</v>
      </c>
      <c r="F42" s="62" t="str">
        <f>[1]Personas!E39</f>
        <v>San Carlos</v>
      </c>
      <c r="G42" s="62" t="str">
        <f>[1]Personas!F39</f>
        <v>UC</v>
      </c>
      <c r="H42" s="62" t="str">
        <f>[1]Personas!G39</f>
        <v>JEFE</v>
      </c>
      <c r="I42" s="68">
        <f>[1]Personas!H39</f>
        <v>56978785698</v>
      </c>
      <c r="J42" s="41" t="str">
        <f>[1]Personas!I39</f>
        <v>bmackenney@uc.cl</v>
      </c>
      <c r="K42" s="41" t="str">
        <f>[1]Personas!J39</f>
        <v>Joaquin Eichholz</v>
      </c>
      <c r="L42" s="67"/>
      <c r="M42" s="67"/>
      <c r="N42" s="62">
        <f>SUMPRODUCT(Tabla523[[#This Row],[Naranjas]:[Nueces]],O$82:U$82)</f>
        <v>0</v>
      </c>
      <c r="O42" s="67"/>
      <c r="P42" s="67"/>
      <c r="Q42" s="67"/>
      <c r="R42" s="67"/>
      <c r="S42" s="67"/>
      <c r="T42" s="67"/>
      <c r="U42" s="67"/>
      <c r="V42" s="67">
        <f>SUM(Tabla523[[#This Row],[Naranjas]:[Nueces]])</f>
        <v>0</v>
      </c>
      <c r="W42" s="73"/>
    </row>
    <row r="43" spans="1:23" outlineLevel="1" x14ac:dyDescent="0.3">
      <c r="A43" s="168"/>
      <c r="B43" s="71" t="str">
        <f>[1]Personas!A40</f>
        <v>Michella</v>
      </c>
      <c r="C43" s="62" t="str">
        <f>[1]Personas!B40</f>
        <v>Mascarello</v>
      </c>
      <c r="D43" s="62" t="str">
        <f>[1]Personas!C40</f>
        <v>Quinchamali 14336</v>
      </c>
      <c r="E43" s="62" t="str">
        <f>[1]Personas!D40</f>
        <v>Las Condes</v>
      </c>
      <c r="F43" s="62" t="str">
        <f>[1]Personas!E40</f>
        <v>Quinchamali</v>
      </c>
      <c r="G43" s="62" t="str">
        <f>[1]Personas!F40</f>
        <v>UC</v>
      </c>
      <c r="H43" s="62" t="str">
        <f>[1]Personas!G40</f>
        <v>JEFE</v>
      </c>
      <c r="I43" s="68">
        <f>[1]Personas!H40</f>
        <v>56979878976</v>
      </c>
      <c r="J43" s="41" t="str">
        <f>[1]Personas!I40</f>
        <v>miki.mascarello@gmail.com</v>
      </c>
      <c r="K43" s="41" t="str">
        <f>[1]Personas!J40</f>
        <v>Joaquin Eichholz</v>
      </c>
      <c r="L43" s="67"/>
      <c r="M43" s="67"/>
      <c r="N43" s="62">
        <f>SUMPRODUCT(Tabla523[[#This Row],[Naranjas]:[Nueces]],O$82:U$82)</f>
        <v>0</v>
      </c>
      <c r="O43" s="67"/>
      <c r="P43" s="67"/>
      <c r="Q43" s="67"/>
      <c r="R43" s="67"/>
      <c r="S43" s="67"/>
      <c r="T43" s="67"/>
      <c r="U43" s="67"/>
      <c r="V43" s="67">
        <f>SUM(Tabla523[[#This Row],[Naranjas]:[Nueces]])</f>
        <v>0</v>
      </c>
      <c r="W43" s="73"/>
    </row>
    <row r="44" spans="1:23" outlineLevel="1" x14ac:dyDescent="0.3">
      <c r="A44" s="168"/>
      <c r="B44" s="71" t="str">
        <f>[1]Personas!A41</f>
        <v>Vicente</v>
      </c>
      <c r="C44" s="62" t="str">
        <f>[1]Personas!B41</f>
        <v>Mayol</v>
      </c>
      <c r="D44" s="62" t="str">
        <f>[1]Personas!C41</f>
        <v>Paseo Pie Andino 6500 Casa O</v>
      </c>
      <c r="E44" s="62" t="str">
        <f>[1]Personas!D41</f>
        <v>Lo Barnechea</v>
      </c>
      <c r="F44" s="62" t="str">
        <f>[1]Personas!E41</f>
        <v>Los Trapenses</v>
      </c>
      <c r="G44" s="62" t="str">
        <f>[1]Personas!F41</f>
        <v>Monte Tabor</v>
      </c>
      <c r="H44" s="62" t="str">
        <f>[1]Personas!G41</f>
        <v>JEFE</v>
      </c>
      <c r="I44" s="68">
        <f>[1]Personas!H41</f>
        <v>56978189115</v>
      </c>
      <c r="J44" s="41" t="str">
        <f>[1]Personas!I41</f>
        <v>vmayol@live.cl</v>
      </c>
      <c r="K44" s="41" t="str">
        <f>[1]Personas!J41</f>
        <v>Lukas Quense</v>
      </c>
      <c r="L44" s="67"/>
      <c r="M44" s="67"/>
      <c r="N44" s="62">
        <f>SUMPRODUCT(Tabla523[[#This Row],[Naranjas]:[Nueces]],O$82:U$82)</f>
        <v>0</v>
      </c>
      <c r="O44" s="67"/>
      <c r="P44" s="67"/>
      <c r="Q44" s="67"/>
      <c r="R44" s="67"/>
      <c r="S44" s="67"/>
      <c r="T44" s="67"/>
      <c r="U44" s="67"/>
      <c r="V44" s="67">
        <f>SUM(Tabla523[[#This Row],[Naranjas]:[Nueces]])</f>
        <v>0</v>
      </c>
      <c r="W44" s="73"/>
    </row>
    <row r="45" spans="1:23" outlineLevel="1" x14ac:dyDescent="0.3">
      <c r="A45" s="168"/>
      <c r="B45" s="71" t="str">
        <f>[1]Personas!A42</f>
        <v>Jesu</v>
      </c>
      <c r="C45" s="62" t="str">
        <f>[1]Personas!B42</f>
        <v>Mckay</v>
      </c>
      <c r="D45" s="62" t="str">
        <f>[1]Personas!C42</f>
        <v>Blvd Jardin De Los Pajaros 4700 Casa 5</v>
      </c>
      <c r="E45" s="62" t="str">
        <f>[1]Personas!D42</f>
        <v>Lo Barnechea</v>
      </c>
      <c r="F45" s="62" t="str">
        <f>[1]Personas!E42</f>
        <v>Los Trapenses</v>
      </c>
      <c r="G45" s="62" t="str">
        <f>[1]Personas!F42</f>
        <v>CLA</v>
      </c>
      <c r="H45" s="62" t="str">
        <f>[1]Personas!G42</f>
        <v>JEFE</v>
      </c>
      <c r="I45" s="68">
        <f>[1]Personas!H42</f>
        <v>56971837517</v>
      </c>
      <c r="J45" s="41" t="str">
        <f>[1]Personas!I42</f>
        <v>jesumckayg@hotmail.com</v>
      </c>
      <c r="K45" s="41" t="str">
        <f>[1]Personas!J42</f>
        <v>Joaquin Eichholz</v>
      </c>
      <c r="L45" s="67"/>
      <c r="M45" s="67"/>
      <c r="N45" s="62">
        <f>SUMPRODUCT(Tabla523[[#This Row],[Naranjas]:[Nueces]],O$82:U$82)</f>
        <v>0</v>
      </c>
      <c r="O45" s="67"/>
      <c r="P45" s="67"/>
      <c r="Q45" s="67"/>
      <c r="R45" s="67"/>
      <c r="S45" s="67"/>
      <c r="T45" s="67"/>
      <c r="U45" s="67"/>
      <c r="V45" s="67">
        <f>SUM(Tabla523[[#This Row],[Naranjas]:[Nueces]])</f>
        <v>0</v>
      </c>
      <c r="W45" s="73"/>
    </row>
    <row r="46" spans="1:23" outlineLevel="1" x14ac:dyDescent="0.3">
      <c r="A46" s="168"/>
      <c r="B46" s="71" t="str">
        <f>[1]Personas!A43</f>
        <v>Ignacio</v>
      </c>
      <c r="C46" s="62" t="str">
        <f>[1]Personas!B43</f>
        <v>Montt</v>
      </c>
      <c r="D46" s="62" t="str">
        <f>[1]Personas!C43</f>
        <v>Rio Maule 475</v>
      </c>
      <c r="E46" s="62" t="str">
        <f>[1]Personas!D43</f>
        <v>Las Condes</v>
      </c>
      <c r="F46" s="62" t="str">
        <f>[1]Personas!E43</f>
        <v>Estoril</v>
      </c>
      <c r="G46" s="62">
        <f>[1]Personas!F43</f>
        <v>0</v>
      </c>
      <c r="H46" s="62" t="str">
        <f>[1]Personas!G43</f>
        <v>JEFE</v>
      </c>
      <c r="I46" s="68">
        <f>[1]Personas!H43</f>
        <v>56954243532</v>
      </c>
      <c r="J46" s="41" t="str">
        <f>[1]Personas!I43</f>
        <v>imontt@miuandes.cl</v>
      </c>
      <c r="K46" s="41" t="str">
        <f>[1]Personas!J43</f>
        <v>Joaquin Eichholz</v>
      </c>
      <c r="L46" s="67"/>
      <c r="M46" s="67"/>
      <c r="N46" s="62">
        <f>SUMPRODUCT(Tabla523[[#This Row],[Naranjas]:[Nueces]],O$82:U$82)</f>
        <v>0</v>
      </c>
      <c r="O46" s="67"/>
      <c r="P46" s="67"/>
      <c r="Q46" s="67"/>
      <c r="R46" s="67"/>
      <c r="S46" s="67"/>
      <c r="T46" s="67"/>
      <c r="U46" s="67"/>
      <c r="V46" s="67">
        <f>SUM(Tabla523[[#This Row],[Naranjas]:[Nueces]])</f>
        <v>0</v>
      </c>
      <c r="W46" s="73"/>
    </row>
    <row r="47" spans="1:23" outlineLevel="1" x14ac:dyDescent="0.3">
      <c r="A47" s="168"/>
      <c r="B47" s="71" t="str">
        <f>[1]Personas!A44</f>
        <v>Rodrigo</v>
      </c>
      <c r="C47" s="62" t="str">
        <f>[1]Personas!B44</f>
        <v>Morales</v>
      </c>
      <c r="D47" s="62" t="str">
        <f>[1]Personas!C44</f>
        <v>Los Trapenses 3230</v>
      </c>
      <c r="E47" s="62" t="str">
        <f>[1]Personas!D44</f>
        <v>Lo Barnechea</v>
      </c>
      <c r="F47" s="62" t="str">
        <f>[1]Personas!E44</f>
        <v>Los Trapenses</v>
      </c>
      <c r="G47" s="62" t="str">
        <f>[1]Personas!F44</f>
        <v>UDD</v>
      </c>
      <c r="H47" s="62" t="str">
        <f>[1]Personas!G44</f>
        <v>JEFE</v>
      </c>
      <c r="I47" s="68">
        <f>[1]Personas!H44</f>
        <v>56975684552</v>
      </c>
      <c r="J47" s="41" t="str">
        <f>[1]Personas!I44</f>
        <v>morales.villar25@gmail.com</v>
      </c>
      <c r="K47" s="41" t="str">
        <f>[1]Personas!J44</f>
        <v>Ignacio Castañeda</v>
      </c>
      <c r="L47" s="67"/>
      <c r="M47" s="67"/>
      <c r="N47" s="62">
        <f>SUMPRODUCT(Tabla523[[#This Row],[Naranjas]:[Nueces]],O$82:U$82)</f>
        <v>0</v>
      </c>
      <c r="O47" s="67"/>
      <c r="P47" s="67"/>
      <c r="Q47" s="67"/>
      <c r="R47" s="67"/>
      <c r="S47" s="67"/>
      <c r="T47" s="67"/>
      <c r="U47" s="67"/>
      <c r="V47" s="67">
        <f>SUM(Tabla523[[#This Row],[Naranjas]:[Nueces]])</f>
        <v>0</v>
      </c>
      <c r="W47" s="73"/>
    </row>
    <row r="48" spans="1:23" outlineLevel="1" x14ac:dyDescent="0.3">
      <c r="A48" s="168"/>
      <c r="B48" s="71" t="str">
        <f>[1]Personas!A45</f>
        <v>Ignacio</v>
      </c>
      <c r="C48" s="62" t="str">
        <f>[1]Personas!B45</f>
        <v>Morales</v>
      </c>
      <c r="D48" s="62" t="str">
        <f>[1]Personas!C45</f>
        <v>Cristobal Colon 4696 Dpto 1403</v>
      </c>
      <c r="E48" s="62" t="str">
        <f>[1]Personas!D45</f>
        <v>Las Condes</v>
      </c>
      <c r="F48" s="62" t="str">
        <f>[1]Personas!E45</f>
        <v>Colon</v>
      </c>
      <c r="G48" s="62" t="str">
        <f>[1]Personas!F45</f>
        <v>UC</v>
      </c>
      <c r="H48" s="62" t="str">
        <f>[1]Personas!G45</f>
        <v>JEFE</v>
      </c>
      <c r="I48" s="68">
        <f>[1]Personas!H45</f>
        <v>56993024442</v>
      </c>
      <c r="J48" s="41" t="str">
        <f>[1]Personas!I45</f>
        <v>ibmorales@uc.cl</v>
      </c>
      <c r="K48" s="41" t="str">
        <f>[1]Personas!J45</f>
        <v>Lukas Quense</v>
      </c>
      <c r="L48" s="67"/>
      <c r="M48" s="67"/>
      <c r="N48" s="62">
        <f>SUMPRODUCT(Tabla523[[#This Row],[Naranjas]:[Nueces]],O$82:U$82)</f>
        <v>0</v>
      </c>
      <c r="O48" s="67"/>
      <c r="P48" s="67"/>
      <c r="Q48" s="67"/>
      <c r="R48" s="67"/>
      <c r="S48" s="67"/>
      <c r="T48" s="67"/>
      <c r="U48" s="67"/>
      <c r="V48" s="67">
        <f>SUM(Tabla523[[#This Row],[Naranjas]:[Nueces]])</f>
        <v>0</v>
      </c>
      <c r="W48" s="73"/>
    </row>
    <row r="49" spans="1:23" outlineLevel="1" x14ac:dyDescent="0.3">
      <c r="A49" s="168"/>
      <c r="B49" s="71" t="str">
        <f>[1]Personas!A46</f>
        <v>Josefina</v>
      </c>
      <c r="C49" s="62" t="str">
        <f>[1]Personas!B46</f>
        <v>Nazer</v>
      </c>
      <c r="D49" s="62" t="str">
        <f>[1]Personas!C46</f>
        <v>Camino del ayuntamiento 2087</v>
      </c>
      <c r="E49" s="62" t="str">
        <f>[1]Personas!D46</f>
        <v>Lo Barnechea</v>
      </c>
      <c r="F49" s="62" t="str">
        <f>[1]Personas!E46</f>
        <v>La Dehesa</v>
      </c>
      <c r="G49" s="62" t="str">
        <f>[1]Personas!F46</f>
        <v>Newland</v>
      </c>
      <c r="H49" s="62" t="str">
        <f>[1]Personas!G46</f>
        <v>JEFE</v>
      </c>
      <c r="I49" s="68">
        <f>[1]Personas!H46</f>
        <v>56998246537</v>
      </c>
      <c r="J49" s="41" t="str">
        <f>[1]Personas!I46</f>
        <v>cotenazer@hotmail.com</v>
      </c>
      <c r="K49" s="41" t="str">
        <f>[1]Personas!J46</f>
        <v>Joaquin Eichholz</v>
      </c>
      <c r="L49" s="67"/>
      <c r="M49" s="67"/>
      <c r="N49" s="62">
        <f>SUMPRODUCT(Tabla523[[#This Row],[Naranjas]:[Nueces]],O$82:U$82)</f>
        <v>0</v>
      </c>
      <c r="O49" s="67"/>
      <c r="P49" s="67"/>
      <c r="Q49" s="67"/>
      <c r="R49" s="67"/>
      <c r="S49" s="67"/>
      <c r="T49" s="67"/>
      <c r="U49" s="67"/>
      <c r="V49" s="67">
        <f>SUM(Tabla523[[#This Row],[Naranjas]:[Nueces]])</f>
        <v>0</v>
      </c>
      <c r="W49" s="73"/>
    </row>
    <row r="50" spans="1:23" outlineLevel="1" x14ac:dyDescent="0.3">
      <c r="A50" s="168"/>
      <c r="B50" s="71" t="str">
        <f>[1]Personas!A47</f>
        <v>Raimundo</v>
      </c>
      <c r="C50" s="62" t="str">
        <f>[1]Personas!B47</f>
        <v>Opazo</v>
      </c>
      <c r="D50" s="62" t="str">
        <f>[1]Personas!C47</f>
        <v>Av Contralmirante Fernandez Vial 10455</v>
      </c>
      <c r="E50" s="62" t="str">
        <f>[1]Personas!D47</f>
        <v>Lo Barnechea</v>
      </c>
      <c r="F50" s="62" t="str">
        <f>[1]Personas!E47</f>
        <v>Los Trapenses</v>
      </c>
      <c r="G50" s="62" t="str">
        <f>[1]Personas!F47</f>
        <v>Monte Tabor</v>
      </c>
      <c r="H50" s="62" t="str">
        <f>[1]Personas!G47</f>
        <v>JEFE</v>
      </c>
      <c r="I50" s="68">
        <f>[1]Personas!H47</f>
        <v>56952304675</v>
      </c>
      <c r="J50" s="41" t="str">
        <f>[1]Personas!I47</f>
        <v>opazoraimundo@gmail.com</v>
      </c>
      <c r="K50" s="41" t="str">
        <f>[1]Personas!J47</f>
        <v>Lukas Quense</v>
      </c>
      <c r="L50" s="67"/>
      <c r="M50" s="67"/>
      <c r="N50" s="62">
        <f>SUMPRODUCT(Tabla523[[#This Row],[Naranjas]:[Nueces]],O$82:U$82)</f>
        <v>0</v>
      </c>
      <c r="O50" s="67"/>
      <c r="P50" s="67"/>
      <c r="Q50" s="67"/>
      <c r="R50" s="67"/>
      <c r="S50" s="67"/>
      <c r="T50" s="67"/>
      <c r="U50" s="67"/>
      <c r="V50" s="67">
        <f>SUM(Tabla523[[#This Row],[Naranjas]:[Nueces]])</f>
        <v>0</v>
      </c>
      <c r="W50" s="73"/>
    </row>
    <row r="51" spans="1:23" outlineLevel="1" x14ac:dyDescent="0.3">
      <c r="A51" s="168"/>
      <c r="B51" s="71" t="str">
        <f>[1]Personas!A48</f>
        <v>Trinidad</v>
      </c>
      <c r="C51" s="62" t="str">
        <f>[1]Personas!B48</f>
        <v>Ossa</v>
      </c>
      <c r="D51" s="62" t="str">
        <f>[1]Personas!C48</f>
        <v>Escribano Diego Rutal 2471</v>
      </c>
      <c r="E51" s="62" t="str">
        <f>[1]Personas!D48</f>
        <v>Vitacura</v>
      </c>
      <c r="F51" s="62" t="str">
        <f>[1]Personas!E48</f>
        <v>Vespucio</v>
      </c>
      <c r="G51" s="62">
        <f>[1]Personas!F48</f>
        <v>0</v>
      </c>
      <c r="H51" s="62" t="str">
        <f>[1]Personas!G48</f>
        <v>JEFE</v>
      </c>
      <c r="I51" s="68">
        <f>[1]Personas!H48</f>
        <v>56978647106</v>
      </c>
      <c r="J51" s="41" t="str">
        <f>[1]Personas!I48</f>
        <v>trinidadossag@gmail.com</v>
      </c>
      <c r="K51" s="41" t="str">
        <f>[1]Personas!J48</f>
        <v>Ignacio Castañeda</v>
      </c>
      <c r="L51" s="67"/>
      <c r="M51" s="67"/>
      <c r="N51" s="62">
        <f>SUMPRODUCT(Tabla523[[#This Row],[Naranjas]:[Nueces]],O$82:U$82)</f>
        <v>0</v>
      </c>
      <c r="O51" s="67"/>
      <c r="P51" s="67"/>
      <c r="Q51" s="67"/>
      <c r="R51" s="67"/>
      <c r="S51" s="67"/>
      <c r="T51" s="67"/>
      <c r="U51" s="67"/>
      <c r="V51" s="67">
        <f>SUM(Tabla523[[#This Row],[Naranjas]:[Nueces]])</f>
        <v>0</v>
      </c>
      <c r="W51" s="73"/>
    </row>
    <row r="52" spans="1:23" outlineLevel="1" x14ac:dyDescent="0.3">
      <c r="A52" s="168"/>
      <c r="B52" s="71" t="str">
        <f>[1]Personas!A49</f>
        <v>Sofia</v>
      </c>
      <c r="C52" s="62" t="str">
        <f>[1]Personas!B49</f>
        <v>Ovalle</v>
      </c>
      <c r="D52" s="62" t="str">
        <f>[1]Personas!C49</f>
        <v>Manuel Guzman Maturana 1900 Casa 9</v>
      </c>
      <c r="E52" s="62" t="str">
        <f>[1]Personas!D49</f>
        <v>Lo Barnechea</v>
      </c>
      <c r="F52" s="62" t="str">
        <f>[1]Personas!E49</f>
        <v>Los Trapenses</v>
      </c>
      <c r="G52" s="62" t="str">
        <f>[1]Personas!F49</f>
        <v>UDD</v>
      </c>
      <c r="H52" s="62" t="str">
        <f>[1]Personas!G49</f>
        <v>JEFE</v>
      </c>
      <c r="I52" s="68">
        <f>[1]Personas!H49</f>
        <v>56987143347</v>
      </c>
      <c r="J52" s="41" t="str">
        <f>[1]Personas!I49</f>
        <v>maovallel@udd.cl</v>
      </c>
      <c r="K52" s="41" t="str">
        <f>[1]Personas!J49</f>
        <v>Lukas Quense</v>
      </c>
      <c r="L52" s="67"/>
      <c r="M52" s="67"/>
      <c r="N52" s="62">
        <f>SUMPRODUCT(Tabla523[[#This Row],[Naranjas]:[Nueces]],O$82:U$82)</f>
        <v>0</v>
      </c>
      <c r="O52" s="67"/>
      <c r="P52" s="67"/>
      <c r="Q52" s="67"/>
      <c r="R52" s="67"/>
      <c r="S52" s="67"/>
      <c r="T52" s="67"/>
      <c r="U52" s="67"/>
      <c r="V52" s="67">
        <f>SUM(Tabla523[[#This Row],[Naranjas]:[Nueces]])</f>
        <v>0</v>
      </c>
      <c r="W52" s="73"/>
    </row>
    <row r="53" spans="1:23" outlineLevel="1" x14ac:dyDescent="0.3">
      <c r="A53" s="168"/>
      <c r="B53" s="71" t="str">
        <f>[1]Personas!A50</f>
        <v>Francesco</v>
      </c>
      <c r="C53" s="62" t="str">
        <f>[1]Personas!B50</f>
        <v>Pamparana</v>
      </c>
      <c r="D53" s="62" t="str">
        <f>[1]Personas!C50</f>
        <v>Parque Las Garzas 16, Condominio Las Banadadas</v>
      </c>
      <c r="E53" s="62" t="str">
        <f>[1]Personas!D50</f>
        <v>Chicureo</v>
      </c>
      <c r="F53" s="62" t="str">
        <f>[1]Personas!E50</f>
        <v>Piedra Roja</v>
      </c>
      <c r="G53" s="62" t="str">
        <f>[1]Personas!F50</f>
        <v>UDD</v>
      </c>
      <c r="H53" s="62" t="str">
        <f>[1]Personas!G50</f>
        <v>JEFE</v>
      </c>
      <c r="I53" s="68">
        <f>[1]Personas!H50</f>
        <v>56984695829</v>
      </c>
      <c r="J53" s="41" t="str">
        <f>[1]Personas!I50</f>
        <v>pancho.pamparana@gmail.com</v>
      </c>
      <c r="K53" s="41" t="str">
        <f>[1]Personas!J50</f>
        <v>Lukas Quense</v>
      </c>
      <c r="L53" s="67"/>
      <c r="M53" s="67"/>
      <c r="N53" s="62">
        <f>SUMPRODUCT(Tabla523[[#This Row],[Naranjas]:[Nueces]],O$82:U$82)</f>
        <v>0</v>
      </c>
      <c r="O53" s="67"/>
      <c r="P53" s="67"/>
      <c r="Q53" s="67"/>
      <c r="R53" s="67"/>
      <c r="S53" s="67"/>
      <c r="T53" s="67"/>
      <c r="U53" s="67"/>
      <c r="V53" s="67">
        <f>SUM(Tabla523[[#This Row],[Naranjas]:[Nueces]])</f>
        <v>0</v>
      </c>
      <c r="W53" s="73"/>
    </row>
    <row r="54" spans="1:23" outlineLevel="1" x14ac:dyDescent="0.3">
      <c r="A54" s="168"/>
      <c r="B54" s="71" t="str">
        <f>[1]Personas!A51</f>
        <v>Trinidad</v>
      </c>
      <c r="C54" s="62" t="str">
        <f>[1]Personas!B51</f>
        <v>Pereira</v>
      </c>
      <c r="D54" s="62" t="str">
        <f>[1]Personas!C51</f>
        <v>Punta de Aguilas 4311</v>
      </c>
      <c r="E54" s="62" t="str">
        <f>[1]Personas!D51</f>
        <v>Lo Barnechea</v>
      </c>
      <c r="F54" s="62" t="str">
        <f>[1]Personas!E51</f>
        <v>Los Trapenses</v>
      </c>
      <c r="G54" s="62" t="str">
        <f>[1]Personas!F51</f>
        <v>UAB</v>
      </c>
      <c r="H54" s="62" t="str">
        <f>[1]Personas!G51</f>
        <v>JEFE</v>
      </c>
      <c r="I54" s="68">
        <f>[1]Personas!H51</f>
        <v>56968320616</v>
      </c>
      <c r="J54" s="41" t="str">
        <f>[1]Personas!I51</f>
        <v>trinipereira@gmail.com</v>
      </c>
      <c r="K54" s="41" t="str">
        <f>[1]Personas!J51</f>
        <v>Ignacio Castañeda</v>
      </c>
      <c r="L54" s="67"/>
      <c r="M54" s="67"/>
      <c r="N54" s="62">
        <f>SUMPRODUCT(Tabla523[[#This Row],[Naranjas]:[Nueces]],O$82:U$82)</f>
        <v>0</v>
      </c>
      <c r="O54" s="67"/>
      <c r="P54" s="67"/>
      <c r="Q54" s="67"/>
      <c r="R54" s="67"/>
      <c r="S54" s="67"/>
      <c r="T54" s="67"/>
      <c r="U54" s="67"/>
      <c r="V54" s="67">
        <f>SUM(Tabla523[[#This Row],[Naranjas]:[Nueces]])</f>
        <v>0</v>
      </c>
      <c r="W54" s="73"/>
    </row>
    <row r="55" spans="1:23" outlineLevel="1" x14ac:dyDescent="0.3">
      <c r="A55" s="168"/>
      <c r="B55" s="71" t="str">
        <f>[1]Personas!A52</f>
        <v>Agustina</v>
      </c>
      <c r="C55" s="62" t="str">
        <f>[1]Personas!B52</f>
        <v>Pineda</v>
      </c>
      <c r="D55" s="62" t="str">
        <f>[1]Personas!C52</f>
        <v>Artigas 643</v>
      </c>
      <c r="E55" s="62" t="str">
        <f>[1]Personas!D52</f>
        <v>Vitacura</v>
      </c>
      <c r="F55" s="62" t="str">
        <f>[1]Personas!E52</f>
        <v>Santa Maria</v>
      </c>
      <c r="G55" s="62" t="str">
        <f>[1]Personas!F52</f>
        <v>Pacifico</v>
      </c>
      <c r="H55" s="62" t="str">
        <f>[1]Personas!G52</f>
        <v>JEFE</v>
      </c>
      <c r="I55" s="68">
        <f>[1]Personas!H52</f>
        <v>56991997991</v>
      </c>
      <c r="J55" s="41" t="str">
        <f>[1]Personas!I52</f>
        <v>agustina-pineda@hotmail.com</v>
      </c>
      <c r="K55" s="41" t="str">
        <f>[1]Personas!J52</f>
        <v>Lukas Quense</v>
      </c>
      <c r="L55" s="67"/>
      <c r="M55" s="67"/>
      <c r="N55" s="62">
        <f>SUMPRODUCT(Tabla523[[#This Row],[Naranjas]:[Nueces]],O$82:U$82)</f>
        <v>0</v>
      </c>
      <c r="O55" s="67"/>
      <c r="P55" s="67"/>
      <c r="Q55" s="67"/>
      <c r="R55" s="67"/>
      <c r="S55" s="67"/>
      <c r="T55" s="67"/>
      <c r="U55" s="67"/>
      <c r="V55" s="67">
        <f>SUM(Tabla523[[#This Row],[Naranjas]:[Nueces]])</f>
        <v>0</v>
      </c>
      <c r="W55" s="73"/>
    </row>
    <row r="56" spans="1:23" outlineLevel="1" x14ac:dyDescent="0.3">
      <c r="A56" s="168"/>
      <c r="B56" s="71" t="str">
        <f>[1]Personas!A53</f>
        <v>Benjamin</v>
      </c>
      <c r="C56" s="62" t="str">
        <f>[1]Personas!B53</f>
        <v>Piña</v>
      </c>
      <c r="D56" s="62" t="str">
        <f>[1]Personas!C53</f>
        <v>La Cienaga 12184</v>
      </c>
      <c r="E56" s="62" t="str">
        <f>[1]Personas!D53</f>
        <v>Lo Barnechea</v>
      </c>
      <c r="F56" s="62" t="str">
        <f>[1]Personas!E53</f>
        <v>La Dehesa</v>
      </c>
      <c r="G56" s="62" t="str">
        <f>[1]Personas!F53</f>
        <v>Uandes</v>
      </c>
      <c r="H56" s="62" t="str">
        <f>[1]Personas!G53</f>
        <v>JEFE</v>
      </c>
      <c r="I56" s="68">
        <f>[1]Personas!H53</f>
        <v>56974529859</v>
      </c>
      <c r="J56" s="41" t="str">
        <f>[1]Personas!I53</f>
        <v>pina.benjamin@gmail.com</v>
      </c>
      <c r="K56" s="41" t="str">
        <f>[1]Personas!J53</f>
        <v>Ignacio Castañeda</v>
      </c>
      <c r="L56" s="67"/>
      <c r="M56" s="67"/>
      <c r="N56" s="62">
        <f>SUMPRODUCT(Tabla523[[#This Row],[Naranjas]:[Nueces]],O$82:U$82)</f>
        <v>0</v>
      </c>
      <c r="O56" s="67"/>
      <c r="P56" s="67"/>
      <c r="Q56" s="67"/>
      <c r="R56" s="67"/>
      <c r="S56" s="67"/>
      <c r="T56" s="67"/>
      <c r="U56" s="67"/>
      <c r="V56" s="67">
        <f>SUM(Tabla523[[#This Row],[Naranjas]:[Nueces]])</f>
        <v>0</v>
      </c>
      <c r="W56" s="73"/>
    </row>
    <row r="57" spans="1:23" outlineLevel="1" x14ac:dyDescent="0.3">
      <c r="A57" s="168"/>
      <c r="B57" s="71" t="str">
        <f>[1]Personas!A54</f>
        <v>Lukas</v>
      </c>
      <c r="C57" s="62" t="str">
        <f>[1]Personas!B54</f>
        <v>Quense</v>
      </c>
      <c r="D57" s="62" t="str">
        <f>[1]Personas!C54</f>
        <v>Cerro Cortadera 9897</v>
      </c>
      <c r="E57" s="62" t="str">
        <f>[1]Personas!D54</f>
        <v>Lo Barnechea</v>
      </c>
      <c r="F57" s="62" t="str">
        <f>[1]Personas!E54</f>
        <v>Los Trapenses</v>
      </c>
      <c r="G57" s="62" t="str">
        <f>[1]Personas!F54</f>
        <v>UC</v>
      </c>
      <c r="H57" s="62" t="str">
        <f>[1]Personas!G54</f>
        <v>SOCIO</v>
      </c>
      <c r="I57" s="68">
        <f>[1]Personas!H54</f>
        <v>56987217393</v>
      </c>
      <c r="J57" s="41" t="str">
        <f>[1]Personas!I54</f>
        <v>lukas.quense@gmail.com</v>
      </c>
      <c r="K57" s="41" t="str">
        <f>[1]Personas!J54</f>
        <v>Lukas Quense</v>
      </c>
      <c r="L57" s="67"/>
      <c r="M57" s="67"/>
      <c r="N57" s="62">
        <f>SUMPRODUCT(Tabla523[[#This Row],[Naranjas]:[Nueces]],O$82:U$82)</f>
        <v>0</v>
      </c>
      <c r="O57" s="67"/>
      <c r="P57" s="67"/>
      <c r="Q57" s="67"/>
      <c r="R57" s="67"/>
      <c r="S57" s="67"/>
      <c r="T57" s="67"/>
      <c r="U57" s="67"/>
      <c r="V57" s="67">
        <f>SUM(Tabla523[[#This Row],[Naranjas]:[Nueces]])</f>
        <v>0</v>
      </c>
      <c r="W57" s="73"/>
    </row>
    <row r="58" spans="1:23" outlineLevel="1" x14ac:dyDescent="0.3">
      <c r="A58" s="168"/>
      <c r="B58" s="71" t="str">
        <f>[1]Personas!A55</f>
        <v>Josefina</v>
      </c>
      <c r="C58" s="62" t="str">
        <f>[1]Personas!B55</f>
        <v>Quiroga</v>
      </c>
      <c r="D58" s="62" t="str">
        <f>[1]Personas!C55</f>
        <v>Santa Rita 1017</v>
      </c>
      <c r="E58" s="62" t="str">
        <f>[1]Personas!D55</f>
        <v>Las Condes</v>
      </c>
      <c r="F58" s="62" t="str">
        <f>[1]Personas!E55</f>
        <v>San Carlos</v>
      </c>
      <c r="G58" s="62" t="str">
        <f>[1]Personas!F55</f>
        <v>UC</v>
      </c>
      <c r="H58" s="62" t="str">
        <f>[1]Personas!G55</f>
        <v>JEFE</v>
      </c>
      <c r="I58" s="68">
        <f>[1]Personas!H55</f>
        <v>56981207671</v>
      </c>
      <c r="J58" s="41" t="str">
        <f>[1]Personas!I55</f>
        <v>josefinaquiroga7@hotmail.com</v>
      </c>
      <c r="K58" s="41" t="str">
        <f>[1]Personas!J55</f>
        <v>Ignacio Castañeda</v>
      </c>
      <c r="L58" s="67"/>
      <c r="M58" s="67"/>
      <c r="N58" s="62">
        <f>SUMPRODUCT(Tabla523[[#This Row],[Naranjas]:[Nueces]],O$82:U$82)</f>
        <v>0</v>
      </c>
      <c r="O58" s="67"/>
      <c r="P58" s="67"/>
      <c r="Q58" s="67"/>
      <c r="R58" s="67"/>
      <c r="S58" s="67"/>
      <c r="T58" s="67"/>
      <c r="U58" s="67"/>
      <c r="V58" s="67">
        <f>SUM(Tabla523[[#This Row],[Naranjas]:[Nueces]])</f>
        <v>0</v>
      </c>
      <c r="W58" s="73"/>
    </row>
    <row r="59" spans="1:23" outlineLevel="1" x14ac:dyDescent="0.3">
      <c r="A59" s="168"/>
      <c r="B59" s="71" t="str">
        <f>[1]Personas!A56</f>
        <v>Rafa</v>
      </c>
      <c r="C59" s="62" t="str">
        <f>[1]Personas!B56</f>
        <v>Quiroga</v>
      </c>
      <c r="D59" s="62" t="str">
        <f>[1]Personas!C56</f>
        <v>Santa Rita 1017</v>
      </c>
      <c r="E59" s="62" t="str">
        <f>[1]Personas!D56</f>
        <v>Las Condes</v>
      </c>
      <c r="F59" s="62" t="str">
        <f>[1]Personas!E56</f>
        <v>San Carlos</v>
      </c>
      <c r="G59" s="62" t="str">
        <f>[1]Personas!F56</f>
        <v>CPH</v>
      </c>
      <c r="H59" s="62" t="str">
        <f>[1]Personas!G56</f>
        <v>JEFE</v>
      </c>
      <c r="I59" s="68">
        <f>[1]Personas!H56</f>
        <v>56995408498</v>
      </c>
      <c r="J59" s="41" t="str">
        <f>[1]Personas!I56</f>
        <v>rafaquiroga7@gmail.com</v>
      </c>
      <c r="K59" s="41" t="str">
        <f>[1]Personas!J56</f>
        <v>Ignacio Castañeda</v>
      </c>
      <c r="L59" s="67"/>
      <c r="M59" s="67"/>
      <c r="N59" s="62">
        <f>SUMPRODUCT(Tabla523[[#This Row],[Naranjas]:[Nueces]],O$82:U$82)</f>
        <v>0</v>
      </c>
      <c r="O59" s="67"/>
      <c r="P59" s="67"/>
      <c r="Q59" s="67"/>
      <c r="R59" s="67"/>
      <c r="S59" s="67"/>
      <c r="T59" s="67"/>
      <c r="U59" s="67"/>
      <c r="V59" s="67">
        <f>SUM(Tabla523[[#This Row],[Naranjas]:[Nueces]])</f>
        <v>0</v>
      </c>
      <c r="W59" s="73"/>
    </row>
    <row r="60" spans="1:23" outlineLevel="1" x14ac:dyDescent="0.3">
      <c r="A60" s="168"/>
      <c r="B60" s="71" t="str">
        <f>[1]Personas!A57</f>
        <v>Barbara</v>
      </c>
      <c r="C60" s="62" t="str">
        <f>[1]Personas!B57</f>
        <v>Rodriguez</v>
      </c>
      <c r="D60" s="62" t="str">
        <f>[1]Personas!C57</f>
        <v>Raimapu 6744</v>
      </c>
      <c r="E60" s="62" t="str">
        <f>[1]Personas!D57</f>
        <v>Vitacura</v>
      </c>
      <c r="F60" s="62" t="str">
        <f>[1]Personas!E57</f>
        <v>Santa Maria</v>
      </c>
      <c r="G60" s="62" t="str">
        <f>[1]Personas!F57</f>
        <v>Aleman</v>
      </c>
      <c r="H60" s="62" t="str">
        <f>[1]Personas!G57</f>
        <v>JEFE</v>
      </c>
      <c r="I60" s="68">
        <f>[1]Personas!H57</f>
        <v>56956481962</v>
      </c>
      <c r="J60" s="41" t="str">
        <f>[1]Personas!I57</f>
        <v>barodriguez@dsstgo.cl</v>
      </c>
      <c r="K60" s="41" t="str">
        <f>[1]Personas!J57</f>
        <v>Lukas Quense</v>
      </c>
      <c r="L60" s="67"/>
      <c r="M60" s="67"/>
      <c r="N60" s="62">
        <f>SUMPRODUCT(Tabla523[[#This Row],[Naranjas]:[Nueces]],O$82:U$82)</f>
        <v>0</v>
      </c>
      <c r="O60" s="67"/>
      <c r="P60" s="67"/>
      <c r="Q60" s="67"/>
      <c r="R60" s="67"/>
      <c r="S60" s="67"/>
      <c r="T60" s="67"/>
      <c r="U60" s="67"/>
      <c r="V60" s="67">
        <f>SUM(Tabla523[[#This Row],[Naranjas]:[Nueces]])</f>
        <v>0</v>
      </c>
      <c r="W60" s="73"/>
    </row>
    <row r="61" spans="1:23" outlineLevel="1" x14ac:dyDescent="0.3">
      <c r="A61" s="168"/>
      <c r="B61" s="71" t="str">
        <f>[1]Personas!A58</f>
        <v>Fede</v>
      </c>
      <c r="C61" s="62" t="str">
        <f>[1]Personas!B58</f>
        <v>Schilling</v>
      </c>
      <c r="D61" s="62" t="str">
        <f>[1]Personas!C58</f>
        <v>Laura Tromben 5754</v>
      </c>
      <c r="E61" s="62" t="str">
        <f>[1]Personas!D58</f>
        <v>Vitacura</v>
      </c>
      <c r="F61" s="62" t="str">
        <f>[1]Personas!E58</f>
        <v>Manquehue</v>
      </c>
      <c r="G61" s="62" t="str">
        <f>[1]Personas!F58</f>
        <v>Aleman</v>
      </c>
      <c r="H61" s="62" t="str">
        <f>[1]Personas!G58</f>
        <v>JEFE</v>
      </c>
      <c r="I61" s="68">
        <f>[1]Personas!H58</f>
        <v>56979980568</v>
      </c>
      <c r="J61" s="41" t="str">
        <f>[1]Personas!I58</f>
        <v>federico.schilling@gmail.com</v>
      </c>
      <c r="K61" s="41" t="str">
        <f>[1]Personas!J58</f>
        <v>Lukas Quense</v>
      </c>
      <c r="L61" s="67"/>
      <c r="M61" s="67"/>
      <c r="N61" s="62">
        <f>SUMPRODUCT(Tabla523[[#This Row],[Naranjas]:[Nueces]],O$82:U$82)</f>
        <v>0</v>
      </c>
      <c r="O61" s="67"/>
      <c r="P61" s="67"/>
      <c r="Q61" s="67"/>
      <c r="R61" s="67"/>
      <c r="S61" s="67"/>
      <c r="T61" s="67"/>
      <c r="U61" s="67"/>
      <c r="V61" s="67">
        <f>SUM(Tabla523[[#This Row],[Naranjas]:[Nueces]])</f>
        <v>0</v>
      </c>
      <c r="W61" s="73"/>
    </row>
    <row r="62" spans="1:23" outlineLevel="1" x14ac:dyDescent="0.3">
      <c r="A62" s="168"/>
      <c r="B62" s="71" t="str">
        <f>[1]Personas!A59</f>
        <v>Carola</v>
      </c>
      <c r="C62" s="62" t="str">
        <f>[1]Personas!B59</f>
        <v>Schumann</v>
      </c>
      <c r="D62" s="62" t="str">
        <f>[1]Personas!C59</f>
        <v>Pedro Canisio 1103 Dpto 142</v>
      </c>
      <c r="E62" s="62" t="str">
        <f>[1]Personas!D59</f>
        <v>Vitacura</v>
      </c>
      <c r="F62" s="62" t="str">
        <f>[1]Personas!E59</f>
        <v>Manquehue</v>
      </c>
      <c r="G62" s="62" t="str">
        <f>[1]Personas!F59</f>
        <v>UAI</v>
      </c>
      <c r="H62" s="62" t="str">
        <f>[1]Personas!G59</f>
        <v>JEFE</v>
      </c>
      <c r="I62" s="68">
        <f>[1]Personas!H59</f>
        <v>56998263560</v>
      </c>
      <c r="J62" s="41" t="str">
        <f>[1]Personas!I59</f>
        <v>cschumann@alumnos.uai.cl</v>
      </c>
      <c r="K62" s="41" t="str">
        <f>[1]Personas!J59</f>
        <v>Ignacio Castañeda</v>
      </c>
      <c r="L62" s="67"/>
      <c r="M62" s="67"/>
      <c r="N62" s="62">
        <f>SUMPRODUCT(Tabla523[[#This Row],[Naranjas]:[Nueces]],O$82:U$82)</f>
        <v>0</v>
      </c>
      <c r="O62" s="67"/>
      <c r="P62" s="67"/>
      <c r="Q62" s="67"/>
      <c r="R62" s="67"/>
      <c r="S62" s="67"/>
      <c r="T62" s="67"/>
      <c r="U62" s="67"/>
      <c r="V62" s="67">
        <f>SUM(Tabla523[[#This Row],[Naranjas]:[Nueces]])</f>
        <v>0</v>
      </c>
      <c r="W62" s="73"/>
    </row>
    <row r="63" spans="1:23" outlineLevel="1" x14ac:dyDescent="0.3">
      <c r="A63" s="168"/>
      <c r="B63" s="71" t="str">
        <f>[1]Personas!A60</f>
        <v>Cata</v>
      </c>
      <c r="C63" s="62" t="str">
        <f>[1]Personas!B60</f>
        <v>Tondreau</v>
      </c>
      <c r="D63" s="62" t="str">
        <f>[1]Personas!C60</f>
        <v>Francisco de Aguirre 4155</v>
      </c>
      <c r="E63" s="62" t="str">
        <f>[1]Personas!D60</f>
        <v>Vitacura</v>
      </c>
      <c r="F63" s="62" t="str">
        <f>[1]Personas!E60</f>
        <v>Vespucio</v>
      </c>
      <c r="G63" s="62" t="str">
        <f>[1]Personas!F60</f>
        <v>UC</v>
      </c>
      <c r="H63" s="62" t="str">
        <f>[1]Personas!G60</f>
        <v>JEFE</v>
      </c>
      <c r="I63" s="68">
        <f>[1]Personas!H60</f>
        <v>56942723186</v>
      </c>
      <c r="J63" s="41" t="str">
        <f>[1]Personas!I60</f>
        <v>catalinatp_97@hotmail.com</v>
      </c>
      <c r="K63" s="41" t="str">
        <f>[1]Personas!J60</f>
        <v>Joaquin Eichholz</v>
      </c>
      <c r="L63" s="67"/>
      <c r="M63" s="67"/>
      <c r="N63" s="62">
        <f>SUMPRODUCT(Tabla523[[#This Row],[Naranjas]:[Nueces]],O$82:U$82)</f>
        <v>0</v>
      </c>
      <c r="O63" s="67"/>
      <c r="P63" s="67"/>
      <c r="Q63" s="67"/>
      <c r="R63" s="67"/>
      <c r="S63" s="67"/>
      <c r="T63" s="67"/>
      <c r="U63" s="67"/>
      <c r="V63" s="67">
        <f>SUM(Tabla523[[#This Row],[Naranjas]:[Nueces]])</f>
        <v>0</v>
      </c>
      <c r="W63" s="73"/>
    </row>
    <row r="64" spans="1:23" outlineLevel="1" x14ac:dyDescent="0.3">
      <c r="A64" s="168"/>
      <c r="B64" s="71" t="str">
        <f>[1]Personas!A61</f>
        <v>Iñaki</v>
      </c>
      <c r="C64" s="62" t="str">
        <f>[1]Personas!B61</f>
        <v>Tramontana</v>
      </c>
      <c r="D64" s="62" t="str">
        <f>[1]Personas!C61</f>
        <v>Los Algarrobos 3 Casa 28</v>
      </c>
      <c r="E64" s="62" t="str">
        <f>[1]Personas!D61</f>
        <v>Chicureo</v>
      </c>
      <c r="F64" s="62" t="str">
        <f>[1]Personas!E61</f>
        <v>Piedra Roja</v>
      </c>
      <c r="G64" s="62" t="str">
        <f>[1]Personas!F61</f>
        <v>UDD</v>
      </c>
      <c r="H64" s="62" t="str">
        <f>[1]Personas!G61</f>
        <v>JEFE</v>
      </c>
      <c r="I64" s="68">
        <f>[1]Personas!H61</f>
        <v>56996310424</v>
      </c>
      <c r="J64" s="41" t="str">
        <f>[1]Personas!I61</f>
        <v>Itramontanae@udd.cl</v>
      </c>
      <c r="K64" s="41" t="str">
        <f>[1]Personas!J61</f>
        <v>Lukas Quense</v>
      </c>
      <c r="L64" s="67"/>
      <c r="M64" s="67"/>
      <c r="N64" s="62">
        <f>SUMPRODUCT(Tabla523[[#This Row],[Naranjas]:[Nueces]],O$82:U$82)</f>
        <v>0</v>
      </c>
      <c r="O64" s="67"/>
      <c r="P64" s="67"/>
      <c r="Q64" s="67"/>
      <c r="R64" s="67"/>
      <c r="S64" s="67"/>
      <c r="T64" s="67"/>
      <c r="U64" s="67"/>
      <c r="V64" s="67">
        <f>SUM(Tabla523[[#This Row],[Naranjas]:[Nueces]])</f>
        <v>0</v>
      </c>
      <c r="W64" s="73"/>
    </row>
    <row r="65" spans="1:23" outlineLevel="1" x14ac:dyDescent="0.3">
      <c r="A65" s="168"/>
      <c r="B65" s="71" t="str">
        <f>[1]Personas!A62</f>
        <v>Juan</v>
      </c>
      <c r="C65" s="62" t="str">
        <f>[1]Personas!B62</f>
        <v>Undurraga</v>
      </c>
      <c r="D65" s="62" t="str">
        <f>[1]Personas!C62</f>
        <v>Huilquehue 4367</v>
      </c>
      <c r="E65" s="62" t="str">
        <f>[1]Personas!D62</f>
        <v>Lo Barnechea</v>
      </c>
      <c r="F65" s="62" t="str">
        <f>[1]Personas!E62</f>
        <v>Los Trapenses</v>
      </c>
      <c r="G65" s="62" t="str">
        <f>[1]Personas!F62</f>
        <v>UAndes</v>
      </c>
      <c r="H65" s="62" t="str">
        <f>[1]Personas!G62</f>
        <v>JEFE</v>
      </c>
      <c r="I65" s="68">
        <f>[1]Personas!H62</f>
        <v>56974397201</v>
      </c>
      <c r="J65" s="41" t="str">
        <f>[1]Personas!I62</f>
        <v>jundurraga3@miuandes.cl</v>
      </c>
      <c r="K65" s="41" t="str">
        <f>[1]Personas!J62</f>
        <v>Ignacio Castañeda</v>
      </c>
      <c r="L65" s="67"/>
      <c r="M65" s="67"/>
      <c r="N65" s="62">
        <f>SUMPRODUCT(Tabla523[[#This Row],[Naranjas]:[Nueces]],O$82:U$82)</f>
        <v>0</v>
      </c>
      <c r="O65" s="67"/>
      <c r="P65" s="67"/>
      <c r="Q65" s="67"/>
      <c r="R65" s="67"/>
      <c r="S65" s="67"/>
      <c r="T65" s="67"/>
      <c r="U65" s="67"/>
      <c r="V65" s="67">
        <f>SUM(Tabla523[[#This Row],[Naranjas]:[Nueces]])</f>
        <v>0</v>
      </c>
      <c r="W65" s="73"/>
    </row>
    <row r="66" spans="1:23" outlineLevel="1" x14ac:dyDescent="0.3">
      <c r="A66" s="168"/>
      <c r="B66" s="71" t="str">
        <f>[1]Personas!A63</f>
        <v>Cristobal</v>
      </c>
      <c r="C66" s="62" t="str">
        <f>[1]Personas!B63</f>
        <v>Valdes</v>
      </c>
      <c r="D66" s="62" t="str">
        <f>[1]Personas!C63</f>
        <v>Los Queltehues 11524</v>
      </c>
      <c r="E66" s="62" t="str">
        <f>[1]Personas!D63</f>
        <v>Lo Barnechea</v>
      </c>
      <c r="F66" s="62" t="str">
        <f>[1]Personas!E63</f>
        <v>Los Trapenses</v>
      </c>
      <c r="G66" s="62" t="str">
        <f>[1]Personas!F63</f>
        <v>Cordillera</v>
      </c>
      <c r="H66" s="62" t="str">
        <f>[1]Personas!G63</f>
        <v>JEFE</v>
      </c>
      <c r="I66" s="68">
        <f>[1]Personas!H63</f>
        <v>56964829508</v>
      </c>
      <c r="J66" s="41" t="str">
        <f>[1]Personas!I63</f>
        <v>cristobalvaldes99@gmail.com</v>
      </c>
      <c r="K66" s="41" t="str">
        <f>[1]Personas!J63</f>
        <v>Lukas Quense</v>
      </c>
      <c r="L66" s="67"/>
      <c r="M66" s="67"/>
      <c r="N66" s="62">
        <f>SUMPRODUCT(Tabla523[[#This Row],[Naranjas]:[Nueces]],O$82:U$82)</f>
        <v>0</v>
      </c>
      <c r="O66" s="67"/>
      <c r="P66" s="67"/>
      <c r="Q66" s="67"/>
      <c r="R66" s="67"/>
      <c r="S66" s="67"/>
      <c r="T66" s="67"/>
      <c r="U66" s="67"/>
      <c r="V66" s="67">
        <f>SUM(Tabla523[[#This Row],[Naranjas]:[Nueces]])</f>
        <v>0</v>
      </c>
      <c r="W66" s="73"/>
    </row>
    <row r="67" spans="1:23" outlineLevel="1" x14ac:dyDescent="0.3">
      <c r="A67" s="168"/>
      <c r="B67" s="71" t="str">
        <f>[1]Personas!A64</f>
        <v>Antonia</v>
      </c>
      <c r="C67" s="62" t="str">
        <f>[1]Personas!B64</f>
        <v>Valencia</v>
      </c>
      <c r="D67" s="62" t="str">
        <f>[1]Personas!C64</f>
        <v>Las Campanas 681, Hacienda Chicureo</v>
      </c>
      <c r="E67" s="62" t="str">
        <f>[1]Personas!D64</f>
        <v>Chicureo</v>
      </c>
      <c r="F67" s="62" t="str">
        <f>[1]Personas!E64</f>
        <v>Piedra Roja</v>
      </c>
      <c r="G67" s="62" t="str">
        <f>[1]Personas!F64</f>
        <v>UAndes</v>
      </c>
      <c r="H67" s="62" t="str">
        <f>[1]Personas!G64</f>
        <v>JEFE</v>
      </c>
      <c r="I67" s="68">
        <f>[1]Personas!H64</f>
        <v>56979769748</v>
      </c>
      <c r="J67" s="41" t="str">
        <f>[1]Personas!I64</f>
        <v>antovalencia@mac.com</v>
      </c>
      <c r="K67" s="41" t="str">
        <f>[1]Personas!J64</f>
        <v>Joaquin Eichholz</v>
      </c>
      <c r="L67" s="67"/>
      <c r="M67" s="67"/>
      <c r="N67" s="62">
        <f>SUMPRODUCT(Tabla523[[#This Row],[Naranjas]:[Nueces]],O$82:U$82)</f>
        <v>0</v>
      </c>
      <c r="O67" s="67"/>
      <c r="P67" s="67"/>
      <c r="Q67" s="67"/>
      <c r="R67" s="67"/>
      <c r="S67" s="67"/>
      <c r="T67" s="67"/>
      <c r="U67" s="67"/>
      <c r="V67" s="67">
        <f>SUM(Tabla523[[#This Row],[Naranjas]:[Nueces]])</f>
        <v>0</v>
      </c>
      <c r="W67" s="73"/>
    </row>
    <row r="68" spans="1:23" outlineLevel="1" x14ac:dyDescent="0.3">
      <c r="A68" s="168"/>
      <c r="B68" s="65" t="str">
        <f>[1]Personas!A65</f>
        <v>Jesu</v>
      </c>
      <c r="C68" s="63" t="str">
        <f>[1]Personas!B65</f>
        <v>Valenzuela</v>
      </c>
      <c r="D68" s="74" t="str">
        <f>[1]Personas!C65</f>
        <v>Bombay 8825</v>
      </c>
      <c r="E68" s="74" t="str">
        <f>[1]Personas!D65</f>
        <v>Las Condes</v>
      </c>
      <c r="F68" s="74" t="str">
        <f>[1]Personas!E65</f>
        <v>Alto Las Condes</v>
      </c>
      <c r="G68" s="74" t="str">
        <f>[1]Personas!F65</f>
        <v>UC</v>
      </c>
      <c r="H68" s="74" t="str">
        <f>[1]Personas!G65</f>
        <v>JEFE</v>
      </c>
      <c r="I68" s="75">
        <f>[1]Personas!H65</f>
        <v>56999699652</v>
      </c>
      <c r="J68" s="41" t="str">
        <f>[1]Personas!I65</f>
        <v>mjvalenzuela3@uc.cl</v>
      </c>
      <c r="K68" s="41" t="str">
        <f>[1]Personas!J65</f>
        <v>Joaquin Eichholz</v>
      </c>
      <c r="L68" s="67"/>
      <c r="M68" s="67"/>
      <c r="N68" s="62">
        <f>SUMPRODUCT(Tabla523[[#This Row],[Naranjas]:[Nueces]],O$82:U$82)</f>
        <v>0</v>
      </c>
      <c r="O68" s="67"/>
      <c r="P68" s="67"/>
      <c r="Q68" s="67"/>
      <c r="R68" s="67"/>
      <c r="S68" s="67"/>
      <c r="T68" s="67"/>
      <c r="U68" s="67"/>
      <c r="V68" s="67">
        <f>SUM(Tabla523[[#This Row],[Naranjas]:[Nueces]])</f>
        <v>0</v>
      </c>
      <c r="W68" s="73"/>
    </row>
    <row r="69" spans="1:23" outlineLevel="1" x14ac:dyDescent="0.3">
      <c r="A69" s="168"/>
      <c r="B69" s="65" t="str">
        <f>[1]Personas!A66</f>
        <v>Pablo</v>
      </c>
      <c r="C69" s="63" t="str">
        <f>[1]Personas!B66</f>
        <v>Vial</v>
      </c>
      <c r="D69" s="74" t="str">
        <f>[1]Personas!C66</f>
        <v>Pachica 8279</v>
      </c>
      <c r="E69" s="74" t="str">
        <f>[1]Personas!D66</f>
        <v>Las Condes</v>
      </c>
      <c r="F69" s="74" t="str">
        <f>[1]Personas!E66</f>
        <v>Colon</v>
      </c>
      <c r="G69" s="74" t="str">
        <f>[1]Personas!F66</f>
        <v>UDD</v>
      </c>
      <c r="H69" s="74" t="str">
        <f>[1]Personas!G66</f>
        <v>JEFE</v>
      </c>
      <c r="I69" s="75">
        <f>[1]Personas!H66</f>
        <v>56957230044</v>
      </c>
      <c r="J69" s="41" t="str">
        <f>[1]Personas!I66</f>
        <v>pabcontrerasm@udd.cl</v>
      </c>
      <c r="K69" s="41" t="str">
        <f>[1]Personas!J66</f>
        <v>Joaquin Eichholz</v>
      </c>
      <c r="L69" s="67"/>
      <c r="M69" s="67"/>
      <c r="N69" s="62">
        <f>SUMPRODUCT(Tabla523[[#This Row],[Naranjas]:[Nueces]],O$82:U$82)</f>
        <v>0</v>
      </c>
      <c r="O69" s="67"/>
      <c r="P69" s="67"/>
      <c r="Q69" s="67"/>
      <c r="R69" s="67"/>
      <c r="S69" s="67"/>
      <c r="T69" s="67"/>
      <c r="U69" s="67"/>
      <c r="V69" s="67">
        <f>SUM(Tabla523[[#This Row],[Naranjas]:[Nueces]])</f>
        <v>0</v>
      </c>
      <c r="W69" s="73"/>
    </row>
    <row r="70" spans="1:23" outlineLevel="1" x14ac:dyDescent="0.3">
      <c r="A70" s="168"/>
      <c r="B70" s="65" t="str">
        <f>[1]Personas!A67</f>
        <v>Pedro</v>
      </c>
      <c r="C70" s="63" t="str">
        <f>[1]Personas!B67</f>
        <v>Vial</v>
      </c>
      <c r="D70" s="74" t="str">
        <f>[1]Personas!C67</f>
        <v>Padre Ted Huard 4144</v>
      </c>
      <c r="E70" s="74" t="str">
        <f>[1]Personas!D67</f>
        <v>Lo Barnechea</v>
      </c>
      <c r="F70" s="74" t="str">
        <f>[1]Personas!E67</f>
        <v>Los Trapenses</v>
      </c>
      <c r="G70" s="74" t="str">
        <f>[1]Personas!F67</f>
        <v>Monte Tabor</v>
      </c>
      <c r="H70" s="74" t="str">
        <f>[1]Personas!G67</f>
        <v>JEFE</v>
      </c>
      <c r="I70" s="75">
        <f>[1]Personas!H67</f>
        <v>56966640363</v>
      </c>
      <c r="J70" s="41" t="str">
        <f>[1]Personas!I67</f>
        <v>pedrovialbo@gmail.com</v>
      </c>
      <c r="K70" s="41" t="str">
        <f>[1]Personas!J67</f>
        <v>Lukas Quense</v>
      </c>
      <c r="L70" s="67"/>
      <c r="M70" s="67"/>
      <c r="N70" s="62">
        <f>SUMPRODUCT(Tabla523[[#This Row],[Naranjas]:[Nueces]],O$82:U$82)</f>
        <v>0</v>
      </c>
      <c r="O70" s="67"/>
      <c r="P70" s="67"/>
      <c r="Q70" s="67"/>
      <c r="R70" s="67"/>
      <c r="S70" s="67"/>
      <c r="T70" s="67"/>
      <c r="U70" s="67"/>
      <c r="V70" s="67">
        <f>SUM(Tabla523[[#This Row],[Naranjas]:[Nueces]])</f>
        <v>0</v>
      </c>
      <c r="W70" s="73"/>
    </row>
    <row r="71" spans="1:23" outlineLevel="1" x14ac:dyDescent="0.3">
      <c r="A71" s="168"/>
      <c r="B71" s="65" t="str">
        <f>[1]Personas!A68</f>
        <v>Paula</v>
      </c>
      <c r="C71" s="63" t="str">
        <f>[1]Personas!B68</f>
        <v>Villela</v>
      </c>
      <c r="D71" s="74" t="str">
        <f>[1]Personas!C68</f>
        <v>Camino La Fuente 2174</v>
      </c>
      <c r="E71" s="74" t="str">
        <f>[1]Personas!D68</f>
        <v>Las Condes</v>
      </c>
      <c r="F71" s="74" t="str">
        <f>[1]Personas!E68</f>
        <v>San Carlos</v>
      </c>
      <c r="G71" s="74">
        <f>[1]Personas!F68</f>
        <v>0</v>
      </c>
      <c r="H71" s="74" t="str">
        <f>[1]Personas!G68</f>
        <v>JEFE</v>
      </c>
      <c r="I71" s="75">
        <f>[1]Personas!H68</f>
        <v>56957850035</v>
      </c>
      <c r="J71" s="41" t="str">
        <f>[1]Personas!I68</f>
        <v>pvillelacaerols@gmail.com</v>
      </c>
      <c r="K71" s="41" t="str">
        <f>[1]Personas!J68</f>
        <v>Joaquin Eichholz</v>
      </c>
      <c r="L71" s="67"/>
      <c r="M71" s="67"/>
      <c r="N71" s="62">
        <f>SUMPRODUCT(Tabla523[[#This Row],[Naranjas]:[Nueces]],O$82:U$82)</f>
        <v>0</v>
      </c>
      <c r="O71" s="67"/>
      <c r="P71" s="67"/>
      <c r="Q71" s="67"/>
      <c r="R71" s="67"/>
      <c r="S71" s="67"/>
      <c r="T71" s="67"/>
      <c r="U71" s="67"/>
      <c r="V71" s="67">
        <f>SUM(Tabla523[[#This Row],[Naranjas]:[Nueces]])</f>
        <v>0</v>
      </c>
      <c r="W71" s="73"/>
    </row>
    <row r="72" spans="1:23" ht="15" outlineLevel="1" thickBot="1" x14ac:dyDescent="0.35">
      <c r="A72" s="169"/>
      <c r="B72" s="21" t="str">
        <f>[1]Personas!A69</f>
        <v>Gabriel</v>
      </c>
      <c r="C72" s="22" t="str">
        <f>[1]Personas!B69</f>
        <v>Villela</v>
      </c>
      <c r="D72" s="80" t="str">
        <f>[1]Personas!C69</f>
        <v>Las Estrellas 14043</v>
      </c>
      <c r="E72" s="80" t="str">
        <f>[1]Personas!D69</f>
        <v>Las Condes</v>
      </c>
      <c r="F72" s="80" t="str">
        <f>[1]Personas!E69</f>
        <v>Quinchamali</v>
      </c>
      <c r="G72" s="80" t="str">
        <f>[1]Personas!F69</f>
        <v>TIPS</v>
      </c>
      <c r="H72" s="80" t="str">
        <f>[1]Personas!G69</f>
        <v>JEFE</v>
      </c>
      <c r="I72" s="81">
        <f>[1]Personas!H69</f>
        <v>56973979384</v>
      </c>
      <c r="J72" s="61" t="str">
        <f>[1]Personas!I69</f>
        <v>gk.alaluf@icloud.com</v>
      </c>
      <c r="K72" s="61" t="str">
        <f>[1]Personas!J69</f>
        <v>Lukas Quense</v>
      </c>
      <c r="L72" s="27"/>
      <c r="M72" s="27"/>
      <c r="N72" s="62">
        <f>SUMPRODUCT(Tabla523[[#This Row],[Naranjas]:[Nueces]],O$82:U$82)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Row],[Naranjas]:[Nueces]])</f>
        <v>0</v>
      </c>
      <c r="W72" s="60"/>
    </row>
    <row r="73" spans="1:23" outlineLevel="1" x14ac:dyDescent="0.3">
      <c r="A73" s="30"/>
      <c r="B73" s="31"/>
      <c r="C73" s="31"/>
      <c r="D73" s="31"/>
      <c r="E73" s="31"/>
      <c r="F73" s="31"/>
      <c r="G73" s="31"/>
      <c r="H73" s="31"/>
      <c r="I73" s="47"/>
      <c r="J73" s="46"/>
      <c r="K73" s="46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" thickBot="1" x14ac:dyDescent="0.35"/>
    <row r="75" spans="1:23" ht="14.7" customHeight="1" thickBot="1" x14ac:dyDescent="0.35">
      <c r="A75" s="179" t="s">
        <v>20</v>
      </c>
      <c r="B75" s="161" t="s">
        <v>7</v>
      </c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3"/>
      <c r="N75" s="56" t="s">
        <v>9</v>
      </c>
      <c r="O75" s="14">
        <f>SUM(Tabla523[Naranjas])</f>
        <v>0</v>
      </c>
      <c r="P75" s="9">
        <f>SUM(Tabla523[Mandarinas])</f>
        <v>0</v>
      </c>
      <c r="Q75" s="9">
        <f>SUM(Tabla523[Paltas])</f>
        <v>0</v>
      </c>
      <c r="R75" s="9">
        <f>SUM(Tabla523[Quesos])</f>
        <v>0</v>
      </c>
      <c r="S75" s="64">
        <f>SUM(Tabla523[Frutillas])</f>
        <v>0</v>
      </c>
      <c r="T75" s="9">
        <f>SUM(Tabla523[Tomate Cherry])</f>
        <v>0</v>
      </c>
      <c r="U75" s="10">
        <f>SUM(Tabla523[Nueces])</f>
        <v>0</v>
      </c>
    </row>
    <row r="76" spans="1:23" ht="14.7" customHeight="1" thickBot="1" x14ac:dyDescent="0.35">
      <c r="A76" s="180"/>
      <c r="B76" s="170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2"/>
      <c r="N76" s="56" t="s">
        <v>28</v>
      </c>
      <c r="O76" s="15">
        <v>5</v>
      </c>
      <c r="P76" s="26">
        <v>4</v>
      </c>
      <c r="Q76" s="26">
        <v>2</v>
      </c>
      <c r="R76" s="52">
        <v>1</v>
      </c>
      <c r="S76" s="52">
        <v>2</v>
      </c>
      <c r="T76" s="26">
        <v>1</v>
      </c>
      <c r="U76" s="53">
        <v>0.25</v>
      </c>
    </row>
    <row r="77" spans="1:23" ht="14.7" customHeight="1" thickBot="1" x14ac:dyDescent="0.35">
      <c r="A77" s="180"/>
      <c r="B77" s="170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2"/>
      <c r="N77" s="56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67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" thickBot="1" x14ac:dyDescent="0.35">
      <c r="A78" s="180"/>
      <c r="B78" s="164"/>
      <c r="C78" s="165"/>
      <c r="D78" s="165"/>
      <c r="E78" s="165"/>
      <c r="F78" s="165"/>
      <c r="G78" s="165"/>
      <c r="H78" s="165"/>
      <c r="I78" s="165"/>
      <c r="J78" s="165"/>
      <c r="K78" s="165"/>
      <c r="L78" s="165"/>
      <c r="M78" s="166"/>
      <c r="N78" s="56" t="s">
        <v>10</v>
      </c>
      <c r="O78" s="16"/>
      <c r="P78" s="27"/>
      <c r="Q78" s="27"/>
      <c r="R78" s="27"/>
      <c r="S78" s="27"/>
      <c r="T78" s="27"/>
      <c r="U78" s="20"/>
    </row>
    <row r="79" spans="1:23" ht="15" thickBot="1" x14ac:dyDescent="0.35">
      <c r="A79" s="180"/>
      <c r="B79" s="57"/>
      <c r="C79" s="31"/>
      <c r="D79" s="37"/>
      <c r="E79" s="38"/>
      <c r="F79" s="38"/>
      <c r="G79" s="38"/>
      <c r="H79" s="38"/>
      <c r="I79" s="38"/>
      <c r="J79" s="38"/>
      <c r="K79" s="39"/>
      <c r="N79" s="8"/>
    </row>
    <row r="80" spans="1:23" ht="15" thickBot="1" x14ac:dyDescent="0.35">
      <c r="A80" s="180"/>
      <c r="B80" s="161" t="s">
        <v>12</v>
      </c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3"/>
      <c r="N80" s="56" t="s">
        <v>13</v>
      </c>
      <c r="O80" s="35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66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" thickBot="1" x14ac:dyDescent="0.35">
      <c r="A81" s="180"/>
      <c r="B81" s="170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2"/>
      <c r="N81" s="56" t="s">
        <v>8</v>
      </c>
      <c r="O81" s="36">
        <v>105</v>
      </c>
      <c r="P81" s="3">
        <v>550</v>
      </c>
      <c r="Q81" s="3">
        <v>1550</v>
      </c>
      <c r="R81" s="3">
        <v>6716</v>
      </c>
      <c r="S81" s="62">
        <f>12000/6</f>
        <v>2000</v>
      </c>
      <c r="T81" s="3">
        <v>2300</v>
      </c>
      <c r="U81" s="45">
        <v>7500</v>
      </c>
    </row>
    <row r="82" spans="1:21" ht="15" thickBot="1" x14ac:dyDescent="0.35">
      <c r="A82" s="180"/>
      <c r="B82" s="164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M82" s="166"/>
      <c r="N82" s="56" t="s">
        <v>14</v>
      </c>
      <c r="O82" s="82">
        <v>3500</v>
      </c>
      <c r="P82" s="83">
        <v>4500</v>
      </c>
      <c r="Q82" s="83">
        <v>4700</v>
      </c>
      <c r="R82" s="83">
        <v>8500</v>
      </c>
      <c r="S82" s="83">
        <v>6000</v>
      </c>
      <c r="T82" s="83">
        <v>4500</v>
      </c>
      <c r="U82" s="84">
        <v>5500</v>
      </c>
    </row>
    <row r="83" spans="1:21" ht="15" thickBot="1" x14ac:dyDescent="0.35">
      <c r="A83" s="180"/>
      <c r="B83" s="57"/>
      <c r="C83" s="31"/>
      <c r="D83" s="37"/>
      <c r="E83" s="38"/>
      <c r="F83" s="38"/>
      <c r="G83" s="38"/>
      <c r="H83" s="38"/>
      <c r="I83" s="38"/>
      <c r="J83" s="38"/>
      <c r="K83" s="39"/>
      <c r="N83" s="8"/>
    </row>
    <row r="84" spans="1:21" ht="14.7" customHeight="1" thickBot="1" x14ac:dyDescent="0.35">
      <c r="A84" s="180"/>
      <c r="B84" s="161" t="s">
        <v>15</v>
      </c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3"/>
      <c r="N84" s="56" t="s">
        <v>19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" thickBot="1" x14ac:dyDescent="0.35">
      <c r="A85" s="180"/>
      <c r="B85" s="164"/>
      <c r="C85" s="165"/>
      <c r="D85" s="165"/>
      <c r="E85" s="165"/>
      <c r="F85" s="165"/>
      <c r="G85" s="165"/>
      <c r="H85" s="165"/>
      <c r="I85" s="165"/>
      <c r="J85" s="165"/>
      <c r="K85" s="165"/>
      <c r="L85" s="165"/>
      <c r="M85" s="166"/>
      <c r="N85" s="56" t="s">
        <v>16</v>
      </c>
      <c r="O85" s="182">
        <f>SUM(O84:U84)</f>
        <v>0</v>
      </c>
      <c r="P85" s="183"/>
      <c r="Q85" s="183"/>
      <c r="R85" s="183"/>
      <c r="S85" s="183"/>
      <c r="T85" s="183"/>
      <c r="U85" s="184"/>
    </row>
    <row r="86" spans="1:21" ht="15" thickBot="1" x14ac:dyDescent="0.35">
      <c r="A86" s="180"/>
      <c r="B86" s="161" t="s">
        <v>17</v>
      </c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3"/>
      <c r="N86" s="56" t="s">
        <v>19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63">
        <f t="shared" si="5"/>
        <v>0</v>
      </c>
      <c r="T86" s="4">
        <f t="shared" si="5"/>
        <v>0</v>
      </c>
      <c r="U86" s="7">
        <f t="shared" si="5"/>
        <v>0</v>
      </c>
    </row>
    <row r="87" spans="1:21" ht="15" thickBot="1" x14ac:dyDescent="0.35">
      <c r="A87" s="180"/>
      <c r="B87" s="164"/>
      <c r="C87" s="165"/>
      <c r="D87" s="165"/>
      <c r="E87" s="165"/>
      <c r="F87" s="165"/>
      <c r="G87" s="165"/>
      <c r="H87" s="165"/>
      <c r="I87" s="165"/>
      <c r="J87" s="165"/>
      <c r="K87" s="165"/>
      <c r="L87" s="165"/>
      <c r="M87" s="166"/>
      <c r="N87" s="56" t="s">
        <v>16</v>
      </c>
      <c r="O87" s="182">
        <f>SUM(O86:U86)</f>
        <v>0</v>
      </c>
      <c r="P87" s="183"/>
      <c r="Q87" s="183"/>
      <c r="R87" s="183"/>
      <c r="S87" s="183"/>
      <c r="T87" s="183"/>
      <c r="U87" s="184"/>
    </row>
    <row r="88" spans="1:21" ht="14.7" customHeight="1" thickBot="1" x14ac:dyDescent="0.35">
      <c r="A88" s="180"/>
      <c r="B88" s="161" t="s">
        <v>18</v>
      </c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3"/>
      <c r="N88" s="56" t="s">
        <v>19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7" customHeight="1" thickBot="1" x14ac:dyDescent="0.35">
      <c r="A89" s="180"/>
      <c r="B89" s="164"/>
      <c r="C89" s="165"/>
      <c r="D89" s="165"/>
      <c r="E89" s="165"/>
      <c r="F89" s="165"/>
      <c r="G89" s="165"/>
      <c r="H89" s="165"/>
      <c r="I89" s="165"/>
      <c r="J89" s="165"/>
      <c r="K89" s="165"/>
      <c r="L89" s="165"/>
      <c r="M89" s="166"/>
      <c r="N89" s="56" t="s">
        <v>29</v>
      </c>
      <c r="O89" s="197">
        <f>SUM(O88:U88)</f>
        <v>0</v>
      </c>
      <c r="P89" s="198"/>
      <c r="Q89" s="198"/>
      <c r="R89" s="198"/>
      <c r="S89" s="198"/>
      <c r="T89" s="198"/>
      <c r="U89" s="199"/>
    </row>
    <row r="90" spans="1:21" ht="15" thickBot="1" x14ac:dyDescent="0.35">
      <c r="A90" s="180"/>
    </row>
    <row r="91" spans="1:21" ht="14.7" customHeight="1" thickBot="1" x14ac:dyDescent="0.35">
      <c r="A91" s="180"/>
      <c r="B91" s="200" t="s">
        <v>25</v>
      </c>
      <c r="C91" s="201"/>
      <c r="D91" s="201"/>
      <c r="E91" s="201"/>
      <c r="F91" s="201"/>
      <c r="G91" s="201"/>
      <c r="H91" s="201"/>
      <c r="I91" s="201"/>
      <c r="J91" s="201"/>
      <c r="K91" s="201"/>
      <c r="L91" s="201"/>
      <c r="M91" s="201"/>
      <c r="N91" s="202"/>
      <c r="O91" s="191" t="s">
        <v>26</v>
      </c>
      <c r="P91" s="192"/>
      <c r="Q91" s="193"/>
      <c r="R91" s="43" t="s">
        <v>27</v>
      </c>
      <c r="S91" s="76"/>
      <c r="T91" s="11"/>
      <c r="U91" s="11"/>
    </row>
    <row r="92" spans="1:21" ht="15" customHeight="1" x14ac:dyDescent="0.3">
      <c r="A92" s="180"/>
      <c r="B92" s="203"/>
      <c r="C92" s="204"/>
      <c r="D92" s="204"/>
      <c r="E92" s="204"/>
      <c r="F92" s="204"/>
      <c r="G92" s="204"/>
      <c r="H92" s="204"/>
      <c r="I92" s="204"/>
      <c r="J92" s="204"/>
      <c r="K92" s="204"/>
      <c r="L92" s="204"/>
      <c r="M92" s="204"/>
      <c r="N92" s="205"/>
      <c r="O92" s="209"/>
      <c r="P92" s="210"/>
      <c r="Q92" s="211"/>
      <c r="R92" s="48"/>
      <c r="S92" s="77"/>
      <c r="T92" s="12"/>
      <c r="U92" s="12"/>
    </row>
    <row r="93" spans="1:21" ht="15" customHeight="1" x14ac:dyDescent="0.3">
      <c r="A93" s="180"/>
      <c r="B93" s="203"/>
      <c r="C93" s="204"/>
      <c r="D93" s="204"/>
      <c r="E93" s="204"/>
      <c r="F93" s="204"/>
      <c r="G93" s="204"/>
      <c r="H93" s="204"/>
      <c r="I93" s="204"/>
      <c r="J93" s="204"/>
      <c r="K93" s="204"/>
      <c r="L93" s="204"/>
      <c r="M93" s="204"/>
      <c r="N93" s="205"/>
      <c r="O93" s="158"/>
      <c r="P93" s="159"/>
      <c r="Q93" s="160"/>
      <c r="R93" s="49"/>
      <c r="S93" s="77"/>
      <c r="T93" s="12"/>
      <c r="U93" s="12"/>
    </row>
    <row r="94" spans="1:21" ht="15" customHeight="1" x14ac:dyDescent="0.3">
      <c r="A94" s="180"/>
      <c r="B94" s="203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5"/>
      <c r="O94" s="158"/>
      <c r="P94" s="159"/>
      <c r="Q94" s="160"/>
      <c r="R94" s="49"/>
      <c r="S94" s="77"/>
      <c r="T94" s="12"/>
      <c r="U94" s="12"/>
    </row>
    <row r="95" spans="1:21" ht="15" customHeight="1" x14ac:dyDescent="0.3">
      <c r="A95" s="180"/>
      <c r="B95" s="203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5"/>
      <c r="O95" s="158"/>
      <c r="P95" s="159"/>
      <c r="Q95" s="160"/>
      <c r="R95" s="49"/>
      <c r="S95" s="77"/>
      <c r="T95" s="12"/>
      <c r="U95" s="12"/>
    </row>
    <row r="96" spans="1:21" ht="15" customHeight="1" x14ac:dyDescent="0.3">
      <c r="A96" s="180"/>
      <c r="B96" s="203"/>
      <c r="C96" s="204"/>
      <c r="D96" s="204"/>
      <c r="E96" s="204"/>
      <c r="F96" s="204"/>
      <c r="G96" s="204"/>
      <c r="H96" s="204"/>
      <c r="I96" s="204"/>
      <c r="J96" s="204"/>
      <c r="K96" s="204"/>
      <c r="L96" s="204"/>
      <c r="M96" s="204"/>
      <c r="N96" s="205"/>
      <c r="O96" s="158"/>
      <c r="P96" s="159"/>
      <c r="Q96" s="160"/>
      <c r="R96" s="49"/>
      <c r="S96" s="77"/>
      <c r="T96" s="12"/>
      <c r="U96" s="12"/>
    </row>
    <row r="97" spans="1:21" ht="15" customHeight="1" x14ac:dyDescent="0.3">
      <c r="A97" s="180"/>
      <c r="B97" s="203"/>
      <c r="C97" s="204"/>
      <c r="D97" s="204"/>
      <c r="E97" s="204"/>
      <c r="F97" s="204"/>
      <c r="G97" s="204"/>
      <c r="H97" s="204"/>
      <c r="I97" s="204"/>
      <c r="J97" s="204"/>
      <c r="K97" s="204"/>
      <c r="L97" s="204"/>
      <c r="M97" s="204"/>
      <c r="N97" s="205"/>
      <c r="O97" s="158"/>
      <c r="P97" s="159"/>
      <c r="Q97" s="160"/>
      <c r="R97" s="49"/>
      <c r="S97" s="77"/>
      <c r="T97" s="12"/>
      <c r="U97" s="12"/>
    </row>
    <row r="98" spans="1:21" ht="15" customHeight="1" thickBot="1" x14ac:dyDescent="0.35">
      <c r="A98" s="180"/>
      <c r="B98" s="203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5"/>
      <c r="O98" s="185"/>
      <c r="P98" s="186"/>
      <c r="Q98" s="187"/>
      <c r="R98" s="49"/>
      <c r="S98" s="77"/>
      <c r="T98" s="12"/>
      <c r="U98" s="12"/>
    </row>
    <row r="99" spans="1:21" ht="15.75" customHeight="1" thickBot="1" x14ac:dyDescent="0.35">
      <c r="A99" s="180"/>
      <c r="B99" s="206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208"/>
      <c r="O99" s="188" t="s">
        <v>16</v>
      </c>
      <c r="P99" s="189"/>
      <c r="Q99" s="190"/>
      <c r="R99" s="50">
        <f>SUM(R92:R98)</f>
        <v>0</v>
      </c>
      <c r="S99" s="78"/>
      <c r="T99" s="12"/>
      <c r="U99" s="12"/>
    </row>
    <row r="100" spans="1:21" ht="15" thickBot="1" x14ac:dyDescent="0.35">
      <c r="A100" s="180"/>
    </row>
    <row r="101" spans="1:21" ht="51.75" customHeight="1" thickBot="1" x14ac:dyDescent="0.35">
      <c r="A101" s="181"/>
      <c r="B101" s="191" t="s">
        <v>18</v>
      </c>
      <c r="C101" s="192"/>
      <c r="D101" s="192"/>
      <c r="E101" s="192"/>
      <c r="F101" s="192"/>
      <c r="G101" s="192"/>
      <c r="H101" s="192"/>
      <c r="I101" s="192"/>
      <c r="J101" s="192"/>
      <c r="K101" s="192"/>
      <c r="L101" s="193"/>
      <c r="M101" s="79"/>
      <c r="N101" s="55" t="s">
        <v>16</v>
      </c>
      <c r="O101" s="194">
        <f>O89-SUM(R92:R98)</f>
        <v>0</v>
      </c>
      <c r="P101" s="195"/>
      <c r="Q101" s="195"/>
      <c r="R101" s="195"/>
      <c r="S101" s="195"/>
      <c r="T101" s="195"/>
      <c r="U101" s="196"/>
    </row>
    <row r="102" spans="1:21" ht="15.75" customHeight="1" x14ac:dyDescent="0.3">
      <c r="A102" s="44"/>
      <c r="P102" s="42"/>
      <c r="Q102" s="42"/>
      <c r="R102" s="42"/>
      <c r="S102" s="42"/>
      <c r="U102" s="58"/>
    </row>
    <row r="103" spans="1:21" ht="15" customHeight="1" x14ac:dyDescent="0.3">
      <c r="A103" s="44"/>
      <c r="P103" s="42"/>
      <c r="Q103" s="42"/>
      <c r="R103" s="42"/>
      <c r="S103" s="42"/>
      <c r="U103" s="13"/>
    </row>
    <row r="104" spans="1:21" ht="15" customHeight="1" x14ac:dyDescent="0.3">
      <c r="P104" s="42"/>
      <c r="Q104" s="42"/>
      <c r="R104" s="42"/>
      <c r="S104" s="42"/>
      <c r="U104" s="13"/>
    </row>
    <row r="105" spans="1:21" ht="15" customHeight="1" x14ac:dyDescent="0.3">
      <c r="P105" s="42"/>
      <c r="Q105" s="42"/>
      <c r="R105" s="42"/>
      <c r="S105" s="42"/>
      <c r="U105" s="13"/>
    </row>
    <row r="106" spans="1:21" ht="15" customHeight="1" x14ac:dyDescent="0.3">
      <c r="P106" s="42"/>
      <c r="Q106" s="42"/>
      <c r="R106" s="42"/>
      <c r="S106" s="42"/>
      <c r="U106" s="13"/>
    </row>
    <row r="107" spans="1:21" ht="15" customHeight="1" x14ac:dyDescent="0.3">
      <c r="P107" s="42"/>
      <c r="Q107" s="42"/>
      <c r="R107" s="42"/>
      <c r="S107" s="42"/>
      <c r="U107" s="13"/>
    </row>
    <row r="108" spans="1:21" ht="15" customHeight="1" x14ac:dyDescent="0.3">
      <c r="P108" s="42"/>
      <c r="Q108" s="42"/>
      <c r="R108" s="42"/>
      <c r="S108" s="42"/>
      <c r="U108" s="13"/>
    </row>
    <row r="109" spans="1:21" ht="15" customHeight="1" x14ac:dyDescent="0.3">
      <c r="P109" s="42"/>
      <c r="Q109" s="42"/>
      <c r="R109" s="42"/>
      <c r="S109" s="42"/>
      <c r="U109" s="13"/>
    </row>
    <row r="110" spans="1:21" ht="15.75" customHeight="1" x14ac:dyDescent="0.3">
      <c r="P110" s="42"/>
      <c r="Q110" s="42"/>
      <c r="R110" s="42"/>
      <c r="S110" s="42"/>
      <c r="U110" s="13"/>
    </row>
  </sheetData>
  <mergeCells count="24"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  <mergeCell ref="O96:Q96"/>
    <mergeCell ref="O97:Q97"/>
    <mergeCell ref="B88:M89"/>
    <mergeCell ref="A5:A72"/>
    <mergeCell ref="B75:M78"/>
    <mergeCell ref="B80:M82"/>
    <mergeCell ref="B84:M85"/>
    <mergeCell ref="B86:M87"/>
  </mergeCells>
  <conditionalFormatting sqref="V5:V72">
    <cfRule type="cellIs" dxfId="95" priority="1" operator="lessThan">
      <formula>20</formula>
    </cfRule>
    <cfRule type="cellIs" dxfId="94" priority="2" operator="between">
      <formula>20</formula>
      <formula>29</formula>
    </cfRule>
    <cfRule type="cellIs" dxfId="9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6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7" sqref="O17"/>
    </sheetView>
  </sheetViews>
  <sheetFormatPr baseColWidth="10" defaultColWidth="11.44140625" defaultRowHeight="14.4" outlineLevelRow="1" outlineLevelCol="1" x14ac:dyDescent="0.3"/>
  <cols>
    <col min="1" max="1" width="11.44140625" style="87"/>
    <col min="2" max="2" width="12.44140625" style="87" customWidth="1"/>
    <col min="3" max="3" width="15.33203125" style="87" customWidth="1"/>
    <col min="4" max="4" width="38" style="87" hidden="1" customWidth="1" outlineLevel="1"/>
    <col min="5" max="5" width="15.109375" style="87" hidden="1" customWidth="1" outlineLevel="1"/>
    <col min="6" max="6" width="16.5546875" style="87" hidden="1" customWidth="1" outlineLevel="1"/>
    <col min="7" max="7" width="14.6640625" style="87" hidden="1" customWidth="1" outlineLevel="1"/>
    <col min="8" max="8" width="10.5546875" style="87" hidden="1" customWidth="1" outlineLevel="1"/>
    <col min="9" max="9" width="18.44140625" style="87" hidden="1" customWidth="1" outlineLevel="1"/>
    <col min="10" max="10" width="33.5546875" style="87" hidden="1" customWidth="1" outlineLevel="1"/>
    <col min="11" max="11" width="33.5546875" style="87" customWidth="1" outlineLevel="1"/>
    <col min="12" max="14" width="10.77734375" style="87" customWidth="1"/>
    <col min="15" max="20" width="15.44140625" style="87" customWidth="1"/>
    <col min="21" max="21" width="11.44140625" style="87"/>
    <col min="22" max="22" width="71.44140625" style="88" customWidth="1"/>
    <col min="23" max="16384" width="11.44140625" style="87"/>
  </cols>
  <sheetData>
    <row r="1" spans="1:22" ht="15" thickBot="1" x14ac:dyDescent="0.35"/>
    <row r="2" spans="1:22" ht="29.7" customHeight="1" thickBot="1" x14ac:dyDescent="0.35">
      <c r="B2" s="215" t="s">
        <v>116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7"/>
      <c r="O2" s="218" t="s">
        <v>11</v>
      </c>
      <c r="P2" s="219"/>
      <c r="Q2" s="219"/>
      <c r="R2" s="219"/>
      <c r="S2" s="219"/>
      <c r="T2" s="220"/>
    </row>
    <row r="3" spans="1:22" s="89" customFormat="1" ht="15" thickBot="1" x14ac:dyDescent="0.35">
      <c r="L3" s="90"/>
      <c r="M3" s="90"/>
      <c r="N3" s="90"/>
      <c r="O3" s="91" t="s">
        <v>30</v>
      </c>
      <c r="P3" s="91" t="s">
        <v>5</v>
      </c>
      <c r="Q3" s="91" t="s">
        <v>32</v>
      </c>
      <c r="R3" s="91" t="s">
        <v>103</v>
      </c>
      <c r="S3" s="91" t="s">
        <v>33</v>
      </c>
      <c r="T3" s="91" t="s">
        <v>21</v>
      </c>
      <c r="V3" s="88"/>
    </row>
    <row r="4" spans="1:22" s="92" customFormat="1" ht="15" thickBot="1" x14ac:dyDescent="0.35">
      <c r="B4" s="93" t="s">
        <v>0</v>
      </c>
      <c r="C4" s="93" t="s">
        <v>1</v>
      </c>
      <c r="D4" s="93" t="s">
        <v>2</v>
      </c>
      <c r="E4" s="93" t="s">
        <v>3</v>
      </c>
      <c r="F4" s="93" t="s">
        <v>6</v>
      </c>
      <c r="G4" s="93" t="s">
        <v>22</v>
      </c>
      <c r="H4" s="93" t="s">
        <v>4</v>
      </c>
      <c r="I4" s="93" t="s">
        <v>23</v>
      </c>
      <c r="J4" s="93" t="s">
        <v>24</v>
      </c>
      <c r="K4" s="93" t="s">
        <v>35</v>
      </c>
      <c r="L4" s="93" t="s">
        <v>34</v>
      </c>
      <c r="M4" s="93" t="s">
        <v>37</v>
      </c>
      <c r="N4" s="93" t="s">
        <v>105</v>
      </c>
      <c r="O4" s="93" t="s">
        <v>30</v>
      </c>
      <c r="P4" s="93" t="s">
        <v>5</v>
      </c>
      <c r="Q4" s="93" t="s">
        <v>32</v>
      </c>
      <c r="R4" s="94" t="s">
        <v>103</v>
      </c>
      <c r="S4" s="94" t="s">
        <v>33</v>
      </c>
      <c r="T4" s="94" t="s">
        <v>21</v>
      </c>
      <c r="U4" s="94" t="s">
        <v>16</v>
      </c>
      <c r="V4" s="95" t="s">
        <v>36</v>
      </c>
    </row>
    <row r="5" spans="1:22" outlineLevel="1" x14ac:dyDescent="0.3">
      <c r="A5" s="212"/>
      <c r="B5" s="96" t="s">
        <v>99</v>
      </c>
      <c r="C5" s="97" t="s">
        <v>100</v>
      </c>
      <c r="D5" s="97" t="s">
        <v>101</v>
      </c>
      <c r="E5" s="97" t="s">
        <v>51</v>
      </c>
      <c r="F5" s="97" t="s">
        <v>47</v>
      </c>
      <c r="G5" s="97" t="s">
        <v>68</v>
      </c>
      <c r="H5" s="97" t="s">
        <v>41</v>
      </c>
      <c r="I5" s="98">
        <v>56967289638</v>
      </c>
      <c r="J5" s="99" t="s">
        <v>102</v>
      </c>
      <c r="K5" s="99" t="s">
        <v>70</v>
      </c>
      <c r="L5" s="263" t="s">
        <v>127</v>
      </c>
      <c r="M5" s="100" t="s">
        <v>115</v>
      </c>
      <c r="N5" s="97">
        <f>SUMPRODUCT(Tabla5232[[#This Row],[Naranjas]:[Nueces]],O$28:T$28)</f>
        <v>96000</v>
      </c>
      <c r="O5" s="100">
        <v>5</v>
      </c>
      <c r="P5" s="100">
        <v>5</v>
      </c>
      <c r="Q5" s="100">
        <v>2</v>
      </c>
      <c r="R5" s="100">
        <v>3</v>
      </c>
      <c r="S5" s="100">
        <v>2</v>
      </c>
      <c r="T5" s="100">
        <v>2</v>
      </c>
      <c r="U5" s="100">
        <f>SUM(Tabla5232[[#This Row],[Naranjas]:[Nueces]])</f>
        <v>19</v>
      </c>
      <c r="V5" s="101"/>
    </row>
    <row r="6" spans="1:22" outlineLevel="1" x14ac:dyDescent="0.3">
      <c r="A6" s="213"/>
      <c r="B6" s="102" t="s">
        <v>71</v>
      </c>
      <c r="C6" s="103" t="s">
        <v>76</v>
      </c>
      <c r="D6" s="103" t="s">
        <v>77</v>
      </c>
      <c r="E6" s="103" t="s">
        <v>40</v>
      </c>
      <c r="F6" s="103" t="s">
        <v>64</v>
      </c>
      <c r="G6" s="103" t="s">
        <v>48</v>
      </c>
      <c r="H6" s="103" t="s">
        <v>41</v>
      </c>
      <c r="I6" s="104">
        <v>56967898535</v>
      </c>
      <c r="J6" s="105" t="s">
        <v>78</v>
      </c>
      <c r="K6" s="105" t="s">
        <v>70</v>
      </c>
      <c r="L6" s="106" t="s">
        <v>128</v>
      </c>
      <c r="M6" s="106" t="s">
        <v>115</v>
      </c>
      <c r="N6" s="103">
        <f>SUMPRODUCT(Tabla5232[[#This Row],[Naranjas]:[Nueces]],O$28:T$28)</f>
        <v>43200</v>
      </c>
      <c r="O6" s="106">
        <v>0</v>
      </c>
      <c r="P6" s="106">
        <v>6</v>
      </c>
      <c r="Q6" s="106">
        <v>0</v>
      </c>
      <c r="R6" s="106">
        <v>1</v>
      </c>
      <c r="S6" s="106">
        <v>2</v>
      </c>
      <c r="T6" s="106">
        <v>0</v>
      </c>
      <c r="U6" s="106">
        <f>SUM(Tabla5232[[#This Row],[Naranjas]:[Nueces]])</f>
        <v>9</v>
      </c>
      <c r="V6" s="107" t="s">
        <v>117</v>
      </c>
    </row>
    <row r="7" spans="1:22" outlineLevel="1" x14ac:dyDescent="0.3">
      <c r="A7" s="213"/>
      <c r="B7" s="102" t="s">
        <v>79</v>
      </c>
      <c r="C7" s="103" t="s">
        <v>106</v>
      </c>
      <c r="D7" s="103" t="s">
        <v>107</v>
      </c>
      <c r="E7" s="103" t="s">
        <v>40</v>
      </c>
      <c r="F7" s="103" t="s">
        <v>64</v>
      </c>
      <c r="G7" s="103" t="s">
        <v>68</v>
      </c>
      <c r="H7" s="103" t="s">
        <v>41</v>
      </c>
      <c r="I7" s="104">
        <v>56975684552</v>
      </c>
      <c r="J7" s="105" t="s">
        <v>108</v>
      </c>
      <c r="K7" s="105" t="s">
        <v>70</v>
      </c>
      <c r="L7" s="106" t="s">
        <v>127</v>
      </c>
      <c r="M7" s="106" t="s">
        <v>115</v>
      </c>
      <c r="N7" s="103">
        <f>SUMPRODUCT(Tabla5232[[#This Row],[Naranjas]:[Nueces]],O$28:T$28)</f>
        <v>59500</v>
      </c>
      <c r="O7" s="106">
        <v>0</v>
      </c>
      <c r="P7" s="106">
        <v>5</v>
      </c>
      <c r="Q7" s="106">
        <v>0</v>
      </c>
      <c r="R7" s="106">
        <v>6</v>
      </c>
      <c r="S7" s="106">
        <v>0</v>
      </c>
      <c r="T7" s="106">
        <v>0</v>
      </c>
      <c r="U7" s="106">
        <f>SUM(Tabla5232[[#This Row],[Naranjas]:[Nueces]])</f>
        <v>11</v>
      </c>
      <c r="V7" s="107"/>
    </row>
    <row r="8" spans="1:22" outlineLevel="1" x14ac:dyDescent="0.3">
      <c r="A8" s="213"/>
      <c r="B8" s="102" t="s">
        <v>109</v>
      </c>
      <c r="C8" s="103" t="s">
        <v>110</v>
      </c>
      <c r="D8" s="103" t="s">
        <v>111</v>
      </c>
      <c r="E8" s="103" t="s">
        <v>40</v>
      </c>
      <c r="F8" s="103" t="s">
        <v>64</v>
      </c>
      <c r="G8" s="103" t="s">
        <v>112</v>
      </c>
      <c r="H8" s="103" t="s">
        <v>41</v>
      </c>
      <c r="I8" s="104">
        <v>56968320616</v>
      </c>
      <c r="J8" s="105" t="s">
        <v>113</v>
      </c>
      <c r="K8" s="105" t="s">
        <v>70</v>
      </c>
      <c r="L8" s="106" t="s">
        <v>127</v>
      </c>
      <c r="M8" s="106" t="s">
        <v>115</v>
      </c>
      <c r="N8" s="103">
        <f>SUMPRODUCT(Tabla5232[[#This Row],[Naranjas]:[Nueces]],O$28:T$28)</f>
        <v>22700</v>
      </c>
      <c r="O8" s="106">
        <v>0</v>
      </c>
      <c r="P8" s="106">
        <v>1</v>
      </c>
      <c r="Q8" s="106">
        <v>0</v>
      </c>
      <c r="R8" s="106">
        <v>3</v>
      </c>
      <c r="S8" s="106">
        <v>0</v>
      </c>
      <c r="T8" s="106">
        <v>0</v>
      </c>
      <c r="U8" s="106">
        <f>SUM(Tabla5232[[#This Row],[Naranjas]:[Nueces]])</f>
        <v>4</v>
      </c>
      <c r="V8" s="107"/>
    </row>
    <row r="9" spans="1:22" outlineLevel="1" x14ac:dyDescent="0.3">
      <c r="A9" s="213"/>
      <c r="B9" s="102" t="s">
        <v>69</v>
      </c>
      <c r="C9" s="103" t="s">
        <v>122</v>
      </c>
      <c r="D9" s="103" t="s">
        <v>123</v>
      </c>
      <c r="E9" s="103" t="s">
        <v>40</v>
      </c>
      <c r="F9" s="103" t="s">
        <v>124</v>
      </c>
      <c r="G9" s="103" t="s">
        <v>125</v>
      </c>
      <c r="H9" s="103" t="s">
        <v>41</v>
      </c>
      <c r="I9" s="104">
        <v>56966477967</v>
      </c>
      <c r="J9" s="105" t="s">
        <v>126</v>
      </c>
      <c r="K9" s="105" t="s">
        <v>70</v>
      </c>
      <c r="L9" s="106" t="s">
        <v>115</v>
      </c>
      <c r="M9" s="106" t="s">
        <v>115</v>
      </c>
      <c r="N9" s="103">
        <f>SUMPRODUCT(Tabla5232[[#This Row],[Naranjas]:[Nueces]],O$28:T$28)</f>
        <v>37500</v>
      </c>
      <c r="O9" s="106">
        <v>1</v>
      </c>
      <c r="P9" s="106">
        <v>5</v>
      </c>
      <c r="Q9" s="106">
        <v>0</v>
      </c>
      <c r="R9" s="106">
        <v>1</v>
      </c>
      <c r="S9" s="106">
        <v>1</v>
      </c>
      <c r="T9" s="106">
        <v>0</v>
      </c>
      <c r="U9" s="106">
        <f>SUM(Tabla5232[[#This Row],[Naranjas]:[Nueces]])</f>
        <v>8</v>
      </c>
      <c r="V9" s="107"/>
    </row>
    <row r="10" spans="1:22" outlineLevel="1" x14ac:dyDescent="0.3">
      <c r="A10" s="213"/>
      <c r="B10" s="102" t="s">
        <v>82</v>
      </c>
      <c r="C10" s="103" t="s">
        <v>83</v>
      </c>
      <c r="D10" s="103" t="s">
        <v>104</v>
      </c>
      <c r="E10" s="103" t="s">
        <v>51</v>
      </c>
      <c r="F10" s="103" t="s">
        <v>84</v>
      </c>
      <c r="G10" s="103" t="s">
        <v>48</v>
      </c>
      <c r="H10" s="103" t="s">
        <v>41</v>
      </c>
      <c r="I10" s="104">
        <v>56979878976</v>
      </c>
      <c r="J10" s="105" t="s">
        <v>85</v>
      </c>
      <c r="K10" s="105" t="s">
        <v>42</v>
      </c>
      <c r="L10" s="106" t="s">
        <v>127</v>
      </c>
      <c r="M10" s="106" t="s">
        <v>115</v>
      </c>
      <c r="N10" s="103">
        <f>SUMPRODUCT(Tabla5232[[#This Row],[Naranjas]:[Nueces]],O$28:T$28)</f>
        <v>11500</v>
      </c>
      <c r="O10" s="106">
        <v>2</v>
      </c>
      <c r="P10" s="106">
        <v>0</v>
      </c>
      <c r="Q10" s="106">
        <v>0</v>
      </c>
      <c r="R10" s="106">
        <v>0</v>
      </c>
      <c r="S10" s="106">
        <v>1</v>
      </c>
      <c r="T10" s="106">
        <v>0</v>
      </c>
      <c r="U10" s="106">
        <f>SUM(Tabla5232[[#This Row],[Naranjas]:[Nueces]])</f>
        <v>3</v>
      </c>
      <c r="V10" s="107"/>
    </row>
    <row r="11" spans="1:22" outlineLevel="1" x14ac:dyDescent="0.3">
      <c r="A11" s="213"/>
      <c r="B11" s="102" t="s">
        <v>43</v>
      </c>
      <c r="C11" s="103" t="s">
        <v>44</v>
      </c>
      <c r="D11" s="103" t="s">
        <v>45</v>
      </c>
      <c r="E11" s="103" t="s">
        <v>46</v>
      </c>
      <c r="F11" s="103" t="s">
        <v>47</v>
      </c>
      <c r="G11" s="103" t="s">
        <v>48</v>
      </c>
      <c r="H11" s="103" t="s">
        <v>41</v>
      </c>
      <c r="I11" s="104">
        <v>56942723186</v>
      </c>
      <c r="J11" s="105" t="s">
        <v>49</v>
      </c>
      <c r="K11" s="105" t="s">
        <v>42</v>
      </c>
      <c r="L11" s="106" t="s">
        <v>127</v>
      </c>
      <c r="M11" s="106" t="s">
        <v>115</v>
      </c>
      <c r="N11" s="103">
        <f>SUMPRODUCT(Tabla5232[[#This Row],[Naranjas]:[Nueces]],O$28:T$28)</f>
        <v>23600</v>
      </c>
      <c r="O11" s="106">
        <v>1</v>
      </c>
      <c r="P11" s="106">
        <v>3</v>
      </c>
      <c r="Q11" s="106">
        <v>0</v>
      </c>
      <c r="R11" s="106">
        <v>1</v>
      </c>
      <c r="S11" s="106">
        <v>0</v>
      </c>
      <c r="T11" s="106">
        <v>0</v>
      </c>
      <c r="U11" s="106">
        <f>SUM(Tabla5232[[#This Row],[Naranjas]:[Nueces]])</f>
        <v>5</v>
      </c>
      <c r="V11" s="107"/>
    </row>
    <row r="12" spans="1:22" outlineLevel="1" x14ac:dyDescent="0.3">
      <c r="A12" s="213"/>
      <c r="B12" s="102" t="s">
        <v>59</v>
      </c>
      <c r="C12" s="103" t="s">
        <v>60</v>
      </c>
      <c r="D12" s="103" t="s">
        <v>61</v>
      </c>
      <c r="E12" s="103" t="s">
        <v>51</v>
      </c>
      <c r="F12" s="103" t="s">
        <v>62</v>
      </c>
      <c r="G12" s="103" t="s">
        <v>48</v>
      </c>
      <c r="H12" s="103" t="s">
        <v>41</v>
      </c>
      <c r="I12" s="104">
        <v>56999699652</v>
      </c>
      <c r="J12" s="105" t="s">
        <v>63</v>
      </c>
      <c r="K12" s="105" t="s">
        <v>42</v>
      </c>
      <c r="L12" s="262" t="s">
        <v>127</v>
      </c>
      <c r="M12" s="106" t="s">
        <v>115</v>
      </c>
      <c r="N12" s="103">
        <f>SUMPRODUCT(Tabla5232[[#This Row],[Naranjas]:[Nueces]],O$28:T$28)</f>
        <v>16200</v>
      </c>
      <c r="O12" s="106">
        <v>2</v>
      </c>
      <c r="P12" s="106">
        <v>1</v>
      </c>
      <c r="Q12" s="106">
        <v>0</v>
      </c>
      <c r="R12" s="106">
        <v>0</v>
      </c>
      <c r="S12" s="106">
        <v>1</v>
      </c>
      <c r="T12" s="106">
        <v>0</v>
      </c>
      <c r="U12" s="106">
        <f>SUM(Tabla5232[[#This Row],[Naranjas]:[Nueces]])</f>
        <v>4</v>
      </c>
      <c r="V12" s="107"/>
    </row>
    <row r="13" spans="1:22" outlineLevel="1" x14ac:dyDescent="0.3">
      <c r="A13" s="213"/>
      <c r="B13" s="102" t="s">
        <v>72</v>
      </c>
      <c r="C13" s="103" t="s">
        <v>65</v>
      </c>
      <c r="D13" s="103" t="s">
        <v>73</v>
      </c>
      <c r="E13" s="103" t="s">
        <v>51</v>
      </c>
      <c r="F13" s="103" t="s">
        <v>74</v>
      </c>
      <c r="G13" s="103" t="s">
        <v>68</v>
      </c>
      <c r="H13" s="103" t="s">
        <v>41</v>
      </c>
      <c r="I13" s="104">
        <v>56957230044</v>
      </c>
      <c r="J13" s="105" t="s">
        <v>75</v>
      </c>
      <c r="K13" s="105" t="s">
        <v>42</v>
      </c>
      <c r="L13" s="262" t="s">
        <v>127</v>
      </c>
      <c r="M13" s="106" t="s">
        <v>115</v>
      </c>
      <c r="N13" s="103">
        <f>SUMPRODUCT(Tabla5232[[#This Row],[Naranjas]:[Nueces]],O$28:T$28)</f>
        <v>15500</v>
      </c>
      <c r="O13" s="106">
        <v>1</v>
      </c>
      <c r="P13" s="106">
        <v>0</v>
      </c>
      <c r="Q13" s="106">
        <v>0</v>
      </c>
      <c r="R13" s="106">
        <v>2</v>
      </c>
      <c r="S13" s="106">
        <v>0</v>
      </c>
      <c r="T13" s="106">
        <v>0</v>
      </c>
      <c r="U13" s="106">
        <f>SUM(Tabla5232[[#This Row],[Naranjas]:[Nueces]])</f>
        <v>3</v>
      </c>
      <c r="V13" s="107"/>
    </row>
    <row r="14" spans="1:22" outlineLevel="1" x14ac:dyDescent="0.3">
      <c r="A14" s="213"/>
      <c r="B14" s="102" t="s">
        <v>118</v>
      </c>
      <c r="C14" s="103" t="s">
        <v>92</v>
      </c>
      <c r="D14" s="103" t="s">
        <v>119</v>
      </c>
      <c r="E14" s="103" t="s">
        <v>51</v>
      </c>
      <c r="F14" s="103" t="s">
        <v>62</v>
      </c>
      <c r="G14" s="103" t="s">
        <v>48</v>
      </c>
      <c r="H14" s="103" t="s">
        <v>120</v>
      </c>
      <c r="I14" s="104">
        <v>56996324787</v>
      </c>
      <c r="J14" s="105" t="s">
        <v>121</v>
      </c>
      <c r="K14" s="105" t="s">
        <v>42</v>
      </c>
      <c r="L14" s="106" t="s">
        <v>127</v>
      </c>
      <c r="M14" s="106" t="s">
        <v>115</v>
      </c>
      <c r="N14" s="103">
        <f>SUMPRODUCT(Tabla5232[[#This Row],[Naranjas]:[Nueces]],O$28:T$28)</f>
        <v>8000</v>
      </c>
      <c r="O14" s="106">
        <v>1</v>
      </c>
      <c r="P14" s="106">
        <v>0</v>
      </c>
      <c r="Q14" s="106">
        <v>0</v>
      </c>
      <c r="R14" s="106">
        <v>0</v>
      </c>
      <c r="S14" s="106">
        <v>1</v>
      </c>
      <c r="T14" s="106">
        <v>0</v>
      </c>
      <c r="U14" s="106">
        <f>SUM(Tabla5232[[#This Row],[Naranjas]:[Nueces]])</f>
        <v>2</v>
      </c>
      <c r="V14" s="107"/>
    </row>
    <row r="15" spans="1:22" outlineLevel="1" x14ac:dyDescent="0.3">
      <c r="A15" s="213"/>
      <c r="B15" s="102" t="s">
        <v>93</v>
      </c>
      <c r="C15" s="103" t="s">
        <v>94</v>
      </c>
      <c r="D15" s="103" t="s">
        <v>95</v>
      </c>
      <c r="E15" s="103" t="s">
        <v>50</v>
      </c>
      <c r="F15" s="103" t="s">
        <v>96</v>
      </c>
      <c r="G15" s="103" t="s">
        <v>97</v>
      </c>
      <c r="H15" s="103" t="s">
        <v>41</v>
      </c>
      <c r="I15" s="104">
        <v>56962094749</v>
      </c>
      <c r="J15" s="105" t="s">
        <v>98</v>
      </c>
      <c r="K15" s="105" t="s">
        <v>58</v>
      </c>
      <c r="L15" s="106" t="s">
        <v>115</v>
      </c>
      <c r="M15" s="106" t="s">
        <v>115</v>
      </c>
      <c r="N15" s="103">
        <f>SUMPRODUCT(Tabla5232[[#This Row],[Naranjas]:[Nueces]],O$28:T$28)</f>
        <v>31900</v>
      </c>
      <c r="O15" s="106">
        <v>0</v>
      </c>
      <c r="P15" s="106">
        <v>2</v>
      </c>
      <c r="Q15" s="106">
        <v>2</v>
      </c>
      <c r="R15" s="106">
        <v>0</v>
      </c>
      <c r="S15" s="106">
        <v>0</v>
      </c>
      <c r="T15" s="106">
        <v>1</v>
      </c>
      <c r="U15" s="106">
        <f>SUM(Tabla5232[[#This Row],[Naranjas]:[Nueces]])</f>
        <v>5</v>
      </c>
      <c r="V15" s="107"/>
    </row>
    <row r="16" spans="1:22" outlineLevel="1" x14ac:dyDescent="0.3">
      <c r="A16" s="213"/>
      <c r="B16" s="102" t="s">
        <v>79</v>
      </c>
      <c r="C16" s="103" t="s">
        <v>67</v>
      </c>
      <c r="D16" s="103" t="s">
        <v>80</v>
      </c>
      <c r="E16" s="103" t="s">
        <v>40</v>
      </c>
      <c r="F16" s="103" t="s">
        <v>64</v>
      </c>
      <c r="G16" s="103" t="s">
        <v>48</v>
      </c>
      <c r="H16" s="103" t="s">
        <v>41</v>
      </c>
      <c r="I16" s="104">
        <v>56986194003</v>
      </c>
      <c r="J16" s="105" t="s">
        <v>81</v>
      </c>
      <c r="K16" s="105" t="s">
        <v>58</v>
      </c>
      <c r="L16" s="106" t="s">
        <v>127</v>
      </c>
      <c r="M16" s="106" t="s">
        <v>115</v>
      </c>
      <c r="N16" s="103">
        <f>SUMPRODUCT(Tabla5232[[#This Row],[Naranjas]:[Nueces]],O$28:T$28)</f>
        <v>56400</v>
      </c>
      <c r="O16" s="106">
        <v>0</v>
      </c>
      <c r="P16" s="106">
        <v>12</v>
      </c>
      <c r="Q16" s="106">
        <v>0</v>
      </c>
      <c r="R16" s="106">
        <v>0</v>
      </c>
      <c r="S16" s="106">
        <v>0</v>
      </c>
      <c r="T16" s="106">
        <v>0</v>
      </c>
      <c r="U16" s="106">
        <f>SUM(Tabla5232[[#This Row],[Naranjas]:[Nueces]])</f>
        <v>12</v>
      </c>
      <c r="V16" s="107"/>
    </row>
    <row r="17" spans="1:22" outlineLevel="1" x14ac:dyDescent="0.3">
      <c r="A17" s="213"/>
      <c r="B17" s="102" t="s">
        <v>86</v>
      </c>
      <c r="C17" s="103" t="s">
        <v>87</v>
      </c>
      <c r="D17" s="103" t="s">
        <v>88</v>
      </c>
      <c r="E17" s="103" t="s">
        <v>40</v>
      </c>
      <c r="F17" s="103" t="s">
        <v>64</v>
      </c>
      <c r="G17" s="103" t="s">
        <v>66</v>
      </c>
      <c r="H17" s="103" t="s">
        <v>41</v>
      </c>
      <c r="I17" s="104">
        <v>56952304675</v>
      </c>
      <c r="J17" s="105" t="s">
        <v>89</v>
      </c>
      <c r="K17" s="105" t="s">
        <v>58</v>
      </c>
      <c r="L17" s="106" t="s">
        <v>127</v>
      </c>
      <c r="M17" s="106" t="s">
        <v>115</v>
      </c>
      <c r="N17" s="103">
        <f>SUMPRODUCT(Tabla5232[[#This Row],[Naranjas]:[Nueces]],O$28:T$28)</f>
        <v>193700</v>
      </c>
      <c r="O17" s="106">
        <v>5</v>
      </c>
      <c r="P17" s="106">
        <v>11</v>
      </c>
      <c r="Q17" s="106">
        <v>5</v>
      </c>
      <c r="R17" s="106">
        <v>7</v>
      </c>
      <c r="S17" s="106">
        <v>4</v>
      </c>
      <c r="T17" s="106">
        <v>4</v>
      </c>
      <c r="U17" s="106">
        <f>SUM(Tabla5232[[#This Row],[Naranjas]:[Nueces]])</f>
        <v>36</v>
      </c>
      <c r="V17" s="107"/>
    </row>
    <row r="18" spans="1:22" ht="15" outlineLevel="1" thickBot="1" x14ac:dyDescent="0.35">
      <c r="A18" s="214"/>
      <c r="B18" s="102" t="s">
        <v>52</v>
      </c>
      <c r="C18" s="103" t="s">
        <v>53</v>
      </c>
      <c r="D18" s="103" t="s">
        <v>54</v>
      </c>
      <c r="E18" s="103" t="s">
        <v>46</v>
      </c>
      <c r="F18" s="103" t="s">
        <v>55</v>
      </c>
      <c r="G18" s="103" t="s">
        <v>56</v>
      </c>
      <c r="H18" s="103" t="s">
        <v>41</v>
      </c>
      <c r="I18" s="104">
        <v>56956481962</v>
      </c>
      <c r="J18" s="105" t="s">
        <v>57</v>
      </c>
      <c r="K18" s="105" t="s">
        <v>58</v>
      </c>
      <c r="L18" s="106" t="s">
        <v>127</v>
      </c>
      <c r="M18" s="108" t="s">
        <v>115</v>
      </c>
      <c r="N18" s="103">
        <f>SUMPRODUCT(Tabla5232[[#This Row],[Naranjas]:[Nueces]],O$28:T$28)</f>
        <v>257000</v>
      </c>
      <c r="O18" s="108">
        <v>12</v>
      </c>
      <c r="P18" s="108">
        <v>20</v>
      </c>
      <c r="Q18" s="108">
        <v>5</v>
      </c>
      <c r="R18" s="108">
        <v>4</v>
      </c>
      <c r="S18" s="108">
        <v>6</v>
      </c>
      <c r="T18" s="108">
        <v>5</v>
      </c>
      <c r="U18" s="108">
        <f>SUM(Tabla5232[[#This Row],[Naranjas]:[Nueces]])</f>
        <v>52</v>
      </c>
      <c r="V18" s="109"/>
    </row>
    <row r="19" spans="1:22" outlineLevel="1" x14ac:dyDescent="0.3">
      <c r="A19" s="110"/>
      <c r="B19" s="111"/>
      <c r="C19" s="111"/>
      <c r="D19" s="111"/>
      <c r="E19" s="111"/>
      <c r="F19" s="111"/>
      <c r="G19" s="111"/>
      <c r="H19" s="111"/>
      <c r="I19" s="112"/>
      <c r="J19" s="113"/>
      <c r="K19" s="113"/>
      <c r="L19" s="114"/>
      <c r="M19" s="114"/>
      <c r="N19" s="114"/>
      <c r="O19" s="114"/>
      <c r="P19" s="114"/>
      <c r="Q19" s="114"/>
      <c r="R19" s="114"/>
      <c r="S19" s="114"/>
      <c r="T19" s="114"/>
      <c r="U19" s="114"/>
    </row>
    <row r="20" spans="1:22" ht="15" thickBot="1" x14ac:dyDescent="0.35"/>
    <row r="21" spans="1:22" ht="14.7" customHeight="1" thickBot="1" x14ac:dyDescent="0.35">
      <c r="A21" s="221" t="s">
        <v>20</v>
      </c>
      <c r="B21" s="224" t="s">
        <v>7</v>
      </c>
      <c r="C21" s="225"/>
      <c r="D21" s="225"/>
      <c r="E21" s="225"/>
      <c r="F21" s="225"/>
      <c r="G21" s="225"/>
      <c r="H21" s="225"/>
      <c r="I21" s="225"/>
      <c r="J21" s="225"/>
      <c r="K21" s="225"/>
      <c r="L21" s="225"/>
      <c r="M21" s="226"/>
      <c r="N21" s="115" t="s">
        <v>9</v>
      </c>
      <c r="O21" s="116">
        <f>SUM(Tabla5232[Naranjas])</f>
        <v>30</v>
      </c>
      <c r="P21" s="100">
        <f>SUM(Tabla5232[Paltas])</f>
        <v>71</v>
      </c>
      <c r="Q21" s="100">
        <f>SUM(Tabla5232[Quesos])</f>
        <v>14</v>
      </c>
      <c r="R21" s="100">
        <f>SUM(Tabla5232[Frutillas])</f>
        <v>28</v>
      </c>
      <c r="S21" s="100">
        <f>SUM(Tabla5232[Tomate Cherry])</f>
        <v>18</v>
      </c>
      <c r="T21" s="117">
        <f>SUM(Tabla5232[Nueces])</f>
        <v>12</v>
      </c>
    </row>
    <row r="22" spans="1:22" ht="14.7" customHeight="1" thickBot="1" x14ac:dyDescent="0.35">
      <c r="A22" s="222"/>
      <c r="B22" s="227"/>
      <c r="C22" s="228"/>
      <c r="D22" s="228"/>
      <c r="E22" s="228"/>
      <c r="F22" s="228"/>
      <c r="G22" s="228"/>
      <c r="H22" s="228"/>
      <c r="I22" s="228"/>
      <c r="J22" s="228"/>
      <c r="K22" s="228"/>
      <c r="L22" s="228"/>
      <c r="M22" s="229"/>
      <c r="N22" s="115" t="s">
        <v>28</v>
      </c>
      <c r="O22" s="118">
        <v>5</v>
      </c>
      <c r="P22" s="106">
        <v>2</v>
      </c>
      <c r="Q22" s="119">
        <v>1</v>
      </c>
      <c r="R22" s="119">
        <v>2</v>
      </c>
      <c r="S22" s="106">
        <v>1</v>
      </c>
      <c r="T22" s="120">
        <v>0.25</v>
      </c>
    </row>
    <row r="23" spans="1:22" ht="14.7" customHeight="1" thickBot="1" x14ac:dyDescent="0.35">
      <c r="A23" s="222"/>
      <c r="B23" s="227"/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9"/>
      <c r="N23" s="115" t="s">
        <v>8</v>
      </c>
      <c r="O23" s="118">
        <f>O22*O21</f>
        <v>150</v>
      </c>
      <c r="P23" s="106">
        <f t="shared" ref="P23:T23" si="0">P22*P21</f>
        <v>142</v>
      </c>
      <c r="Q23" s="106">
        <f t="shared" si="0"/>
        <v>14</v>
      </c>
      <c r="R23" s="106">
        <f t="shared" si="0"/>
        <v>56</v>
      </c>
      <c r="S23" s="106">
        <f t="shared" si="0"/>
        <v>18</v>
      </c>
      <c r="T23" s="121">
        <f t="shared" si="0"/>
        <v>3</v>
      </c>
    </row>
    <row r="24" spans="1:22" ht="15" thickBot="1" x14ac:dyDescent="0.35">
      <c r="A24" s="222"/>
      <c r="B24" s="230"/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2"/>
      <c r="N24" s="115" t="s">
        <v>10</v>
      </c>
      <c r="O24" s="122"/>
      <c r="P24" s="108"/>
      <c r="Q24" s="108"/>
      <c r="R24" s="108"/>
      <c r="S24" s="108"/>
      <c r="T24" s="123"/>
    </row>
    <row r="25" spans="1:22" ht="15" thickBot="1" x14ac:dyDescent="0.35">
      <c r="A25" s="222"/>
      <c r="B25" s="124"/>
      <c r="C25" s="111"/>
      <c r="D25" s="125"/>
      <c r="E25" s="126"/>
      <c r="F25" s="126"/>
      <c r="G25" s="126"/>
      <c r="H25" s="126"/>
      <c r="I25" s="126"/>
      <c r="J25" s="126"/>
      <c r="K25" s="127"/>
      <c r="N25" s="128"/>
    </row>
    <row r="26" spans="1:22" ht="15" thickBot="1" x14ac:dyDescent="0.35">
      <c r="A26" s="222"/>
      <c r="B26" s="224" t="s">
        <v>12</v>
      </c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6"/>
      <c r="N26" s="115" t="s">
        <v>13</v>
      </c>
      <c r="O26" s="96">
        <f>O27*O22</f>
        <v>525</v>
      </c>
      <c r="P26" s="97">
        <f t="shared" ref="P26:T26" si="1">P27*P22</f>
        <v>3100</v>
      </c>
      <c r="Q26" s="97">
        <f t="shared" si="1"/>
        <v>6716</v>
      </c>
      <c r="R26" s="97">
        <f t="shared" si="1"/>
        <v>4000</v>
      </c>
      <c r="S26" s="97">
        <f t="shared" si="1"/>
        <v>2300</v>
      </c>
      <c r="T26" s="129">
        <f t="shared" si="1"/>
        <v>1875</v>
      </c>
    </row>
    <row r="27" spans="1:22" ht="15" thickBot="1" x14ac:dyDescent="0.35">
      <c r="A27" s="222"/>
      <c r="B27" s="227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9"/>
      <c r="N27" s="115" t="s">
        <v>8</v>
      </c>
      <c r="O27" s="102">
        <v>105</v>
      </c>
      <c r="P27" s="103">
        <v>1550</v>
      </c>
      <c r="Q27" s="103">
        <v>6716</v>
      </c>
      <c r="R27" s="103">
        <f>12000/6</f>
        <v>2000</v>
      </c>
      <c r="S27" s="103">
        <v>2300</v>
      </c>
      <c r="T27" s="130">
        <v>7500</v>
      </c>
    </row>
    <row r="28" spans="1:22" ht="15" thickBot="1" x14ac:dyDescent="0.35">
      <c r="A28" s="222"/>
      <c r="B28" s="230"/>
      <c r="C28" s="231"/>
      <c r="D28" s="231"/>
      <c r="E28" s="231"/>
      <c r="F28" s="231"/>
      <c r="G28" s="231"/>
      <c r="H28" s="231"/>
      <c r="I28" s="231"/>
      <c r="J28" s="231"/>
      <c r="K28" s="231"/>
      <c r="L28" s="231"/>
      <c r="M28" s="232"/>
      <c r="N28" s="115" t="s">
        <v>14</v>
      </c>
      <c r="O28" s="131">
        <v>3500</v>
      </c>
      <c r="P28" s="132">
        <v>4700</v>
      </c>
      <c r="Q28" s="132">
        <v>8500</v>
      </c>
      <c r="R28" s="132">
        <v>6000</v>
      </c>
      <c r="S28" s="132">
        <v>4500</v>
      </c>
      <c r="T28" s="133">
        <v>5500</v>
      </c>
    </row>
    <row r="29" spans="1:22" ht="15" thickBot="1" x14ac:dyDescent="0.35">
      <c r="A29" s="222"/>
      <c r="B29" s="124"/>
      <c r="C29" s="111"/>
      <c r="D29" s="125"/>
      <c r="E29" s="126"/>
      <c r="F29" s="126"/>
      <c r="G29" s="126"/>
      <c r="H29" s="126"/>
      <c r="I29" s="126"/>
      <c r="J29" s="126"/>
      <c r="K29" s="127"/>
      <c r="N29" s="128"/>
    </row>
    <row r="30" spans="1:22" ht="14.7" customHeight="1" thickBot="1" x14ac:dyDescent="0.35">
      <c r="A30" s="222"/>
      <c r="B30" s="224" t="s">
        <v>15</v>
      </c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6"/>
      <c r="N30" s="115" t="s">
        <v>19</v>
      </c>
      <c r="O30" s="134">
        <f>O21*O26</f>
        <v>15750</v>
      </c>
      <c r="P30" s="135">
        <f t="shared" ref="P30:T30" si="2">P21*P26</f>
        <v>220100</v>
      </c>
      <c r="Q30" s="136">
        <f t="shared" si="2"/>
        <v>94024</v>
      </c>
      <c r="R30" s="136">
        <f t="shared" si="2"/>
        <v>112000</v>
      </c>
      <c r="S30" s="135">
        <f t="shared" si="2"/>
        <v>41400</v>
      </c>
      <c r="T30" s="137">
        <f t="shared" si="2"/>
        <v>22500</v>
      </c>
    </row>
    <row r="31" spans="1:22" ht="15" thickBot="1" x14ac:dyDescent="0.35">
      <c r="A31" s="222"/>
      <c r="B31" s="230"/>
      <c r="C31" s="231"/>
      <c r="D31" s="231"/>
      <c r="E31" s="231"/>
      <c r="F31" s="231"/>
      <c r="G31" s="231"/>
      <c r="H31" s="231"/>
      <c r="I31" s="231"/>
      <c r="J31" s="231"/>
      <c r="K31" s="231"/>
      <c r="L31" s="231"/>
      <c r="M31" s="232"/>
      <c r="N31" s="115" t="s">
        <v>16</v>
      </c>
      <c r="O31" s="233">
        <f>SUM(O30:T30)</f>
        <v>505774</v>
      </c>
      <c r="P31" s="234"/>
      <c r="Q31" s="234"/>
      <c r="R31" s="234"/>
      <c r="S31" s="234"/>
      <c r="T31" s="235"/>
    </row>
    <row r="32" spans="1:22" ht="15" thickBot="1" x14ac:dyDescent="0.35">
      <c r="A32" s="222"/>
      <c r="B32" s="224" t="s">
        <v>17</v>
      </c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6"/>
      <c r="N32" s="115" t="s">
        <v>19</v>
      </c>
      <c r="O32" s="138">
        <f t="shared" ref="O32:T32" si="3">O28*O21</f>
        <v>105000</v>
      </c>
      <c r="P32" s="139">
        <f t="shared" si="3"/>
        <v>333700</v>
      </c>
      <c r="Q32" s="139">
        <f t="shared" si="3"/>
        <v>119000</v>
      </c>
      <c r="R32" s="139">
        <f t="shared" si="3"/>
        <v>168000</v>
      </c>
      <c r="S32" s="139">
        <f t="shared" si="3"/>
        <v>81000</v>
      </c>
      <c r="T32" s="140">
        <f t="shared" si="3"/>
        <v>66000</v>
      </c>
    </row>
    <row r="33" spans="1:20" ht="15" thickBot="1" x14ac:dyDescent="0.35">
      <c r="A33" s="222"/>
      <c r="B33" s="230"/>
      <c r="C33" s="231"/>
      <c r="D33" s="231"/>
      <c r="E33" s="231"/>
      <c r="F33" s="231"/>
      <c r="G33" s="231"/>
      <c r="H33" s="231"/>
      <c r="I33" s="231"/>
      <c r="J33" s="231"/>
      <c r="K33" s="231"/>
      <c r="L33" s="231"/>
      <c r="M33" s="232"/>
      <c r="N33" s="115" t="s">
        <v>16</v>
      </c>
      <c r="O33" s="233">
        <f>SUM(O32:T32)</f>
        <v>872700</v>
      </c>
      <c r="P33" s="234"/>
      <c r="Q33" s="234"/>
      <c r="R33" s="234"/>
      <c r="S33" s="234"/>
      <c r="T33" s="235"/>
    </row>
    <row r="34" spans="1:20" ht="14.7" customHeight="1" thickBot="1" x14ac:dyDescent="0.35">
      <c r="A34" s="222"/>
      <c r="B34" s="224" t="s">
        <v>18</v>
      </c>
      <c r="C34" s="225"/>
      <c r="D34" s="225"/>
      <c r="E34" s="225"/>
      <c r="F34" s="225"/>
      <c r="G34" s="225"/>
      <c r="H34" s="225"/>
      <c r="I34" s="225"/>
      <c r="J34" s="225"/>
      <c r="K34" s="225"/>
      <c r="L34" s="225"/>
      <c r="M34" s="226"/>
      <c r="N34" s="115" t="s">
        <v>19</v>
      </c>
      <c r="O34" s="141">
        <f>O32-O30</f>
        <v>89250</v>
      </c>
      <c r="P34" s="142">
        <f t="shared" ref="P34:T34" si="4">P32-P30</f>
        <v>113600</v>
      </c>
      <c r="Q34" s="142">
        <f t="shared" si="4"/>
        <v>24976</v>
      </c>
      <c r="R34" s="142">
        <f t="shared" si="4"/>
        <v>56000</v>
      </c>
      <c r="S34" s="142">
        <f t="shared" si="4"/>
        <v>39600</v>
      </c>
      <c r="T34" s="143">
        <f t="shared" si="4"/>
        <v>43500</v>
      </c>
    </row>
    <row r="35" spans="1:20" ht="29.7" customHeight="1" thickBot="1" x14ac:dyDescent="0.35">
      <c r="A35" s="222"/>
      <c r="B35" s="230"/>
      <c r="C35" s="231"/>
      <c r="D35" s="231"/>
      <c r="E35" s="231"/>
      <c r="F35" s="231"/>
      <c r="G35" s="231"/>
      <c r="H35" s="231"/>
      <c r="I35" s="231"/>
      <c r="J35" s="231"/>
      <c r="K35" s="231"/>
      <c r="L35" s="231"/>
      <c r="M35" s="232"/>
      <c r="N35" s="115" t="s">
        <v>29</v>
      </c>
      <c r="O35" s="246">
        <f>SUM(O34:T34)</f>
        <v>366926</v>
      </c>
      <c r="P35" s="247"/>
      <c r="Q35" s="247"/>
      <c r="R35" s="247"/>
      <c r="S35" s="247"/>
      <c r="T35" s="248"/>
    </row>
    <row r="36" spans="1:20" ht="15" thickBot="1" x14ac:dyDescent="0.35">
      <c r="A36" s="222"/>
    </row>
    <row r="37" spans="1:20" ht="14.7" customHeight="1" thickBot="1" x14ac:dyDescent="0.35">
      <c r="A37" s="222"/>
      <c r="B37" s="249" t="s">
        <v>25</v>
      </c>
      <c r="C37" s="250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1"/>
      <c r="O37" s="240" t="s">
        <v>26</v>
      </c>
      <c r="P37" s="242"/>
      <c r="Q37" s="144" t="s">
        <v>27</v>
      </c>
      <c r="R37" s="145"/>
      <c r="S37" s="146"/>
      <c r="T37" s="146"/>
    </row>
    <row r="38" spans="1:20" ht="15" customHeight="1" x14ac:dyDescent="0.3">
      <c r="A38" s="222"/>
      <c r="B38" s="252"/>
      <c r="C38" s="253"/>
      <c r="D38" s="253"/>
      <c r="E38" s="253"/>
      <c r="F38" s="253"/>
      <c r="G38" s="253"/>
      <c r="H38" s="253"/>
      <c r="I38" s="253"/>
      <c r="J38" s="253"/>
      <c r="K38" s="253"/>
      <c r="L38" s="253"/>
      <c r="M38" s="253"/>
      <c r="N38" s="254"/>
      <c r="O38" s="258" t="s">
        <v>69</v>
      </c>
      <c r="P38" s="259"/>
      <c r="Q38" s="147">
        <v>30000</v>
      </c>
      <c r="R38" s="148"/>
      <c r="S38" s="149"/>
      <c r="T38" s="149"/>
    </row>
    <row r="39" spans="1:20" ht="15" customHeight="1" x14ac:dyDescent="0.3">
      <c r="A39" s="222"/>
      <c r="B39" s="252"/>
      <c r="C39" s="253"/>
      <c r="D39" s="253"/>
      <c r="E39" s="253"/>
      <c r="F39" s="253"/>
      <c r="G39" s="253"/>
      <c r="H39" s="253"/>
      <c r="I39" s="253"/>
      <c r="J39" s="253"/>
      <c r="K39" s="253"/>
      <c r="L39" s="253"/>
      <c r="M39" s="253"/>
      <c r="N39" s="254"/>
      <c r="O39" s="260" t="s">
        <v>114</v>
      </c>
      <c r="P39" s="261"/>
      <c r="Q39" s="150">
        <v>30000</v>
      </c>
      <c r="R39" s="148"/>
      <c r="S39" s="149"/>
      <c r="T39" s="149"/>
    </row>
    <row r="40" spans="1:20" ht="15" customHeight="1" x14ac:dyDescent="0.3">
      <c r="A40" s="222"/>
      <c r="B40" s="252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4"/>
      <c r="O40" s="260" t="s">
        <v>91</v>
      </c>
      <c r="P40" s="261"/>
      <c r="Q40" s="150">
        <v>30000</v>
      </c>
      <c r="R40" s="148"/>
      <c r="S40" s="149"/>
      <c r="T40" s="149"/>
    </row>
    <row r="41" spans="1:20" ht="15" customHeight="1" x14ac:dyDescent="0.3">
      <c r="A41" s="222"/>
      <c r="B41" s="252"/>
      <c r="C41" s="253"/>
      <c r="D41" s="253"/>
      <c r="E41" s="253"/>
      <c r="F41" s="253"/>
      <c r="G41" s="253"/>
      <c r="H41" s="253"/>
      <c r="I41" s="253"/>
      <c r="J41" s="253"/>
      <c r="K41" s="253"/>
      <c r="L41" s="253"/>
      <c r="M41" s="253"/>
      <c r="N41" s="254"/>
      <c r="O41" s="260" t="s">
        <v>92</v>
      </c>
      <c r="P41" s="261"/>
      <c r="Q41" s="150">
        <v>30000</v>
      </c>
      <c r="R41" s="148"/>
      <c r="S41" s="149"/>
      <c r="T41" s="149"/>
    </row>
    <row r="42" spans="1:20" ht="15" customHeight="1" x14ac:dyDescent="0.3">
      <c r="A42" s="222"/>
      <c r="B42" s="252"/>
      <c r="C42" s="253"/>
      <c r="D42" s="253"/>
      <c r="E42" s="253"/>
      <c r="F42" s="253"/>
      <c r="G42" s="253"/>
      <c r="H42" s="253"/>
      <c r="I42" s="253"/>
      <c r="J42" s="253"/>
      <c r="K42" s="253"/>
      <c r="L42" s="253"/>
      <c r="M42" s="253"/>
      <c r="N42" s="254"/>
      <c r="O42" s="260" t="s">
        <v>90</v>
      </c>
      <c r="P42" s="261"/>
      <c r="Q42" s="150">
        <v>30000</v>
      </c>
      <c r="R42" s="148"/>
      <c r="S42" s="149"/>
      <c r="T42" s="149"/>
    </row>
    <row r="43" spans="1:20" ht="15" customHeight="1" x14ac:dyDescent="0.3">
      <c r="A43" s="222"/>
      <c r="B43" s="252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4"/>
      <c r="O43" s="260"/>
      <c r="P43" s="261"/>
      <c r="Q43" s="150"/>
      <c r="R43" s="148"/>
      <c r="S43" s="149"/>
      <c r="T43" s="149"/>
    </row>
    <row r="44" spans="1:20" ht="15" customHeight="1" thickBot="1" x14ac:dyDescent="0.35">
      <c r="A44" s="222"/>
      <c r="B44" s="252"/>
      <c r="C44" s="253"/>
      <c r="D44" s="253"/>
      <c r="E44" s="253"/>
      <c r="F44" s="253"/>
      <c r="G44" s="253"/>
      <c r="H44" s="253"/>
      <c r="I44" s="253"/>
      <c r="J44" s="253"/>
      <c r="K44" s="253"/>
      <c r="L44" s="253"/>
      <c r="M44" s="253"/>
      <c r="N44" s="254"/>
      <c r="O44" s="236"/>
      <c r="P44" s="237"/>
      <c r="Q44" s="150"/>
      <c r="R44" s="148"/>
      <c r="S44" s="149"/>
      <c r="T44" s="149"/>
    </row>
    <row r="45" spans="1:20" ht="15.75" customHeight="1" thickBot="1" x14ac:dyDescent="0.35">
      <c r="A45" s="222"/>
      <c r="B45" s="255"/>
      <c r="C45" s="256"/>
      <c r="D45" s="256"/>
      <c r="E45" s="256"/>
      <c r="F45" s="256"/>
      <c r="G45" s="256"/>
      <c r="H45" s="256"/>
      <c r="I45" s="256"/>
      <c r="J45" s="256"/>
      <c r="K45" s="256"/>
      <c r="L45" s="256"/>
      <c r="M45" s="256"/>
      <c r="N45" s="257"/>
      <c r="O45" s="238" t="s">
        <v>16</v>
      </c>
      <c r="P45" s="239"/>
      <c r="Q45" s="151">
        <f>SUM(Q38:Q44)</f>
        <v>150000</v>
      </c>
      <c r="R45" s="152"/>
      <c r="S45" s="149"/>
      <c r="T45" s="149"/>
    </row>
    <row r="46" spans="1:20" ht="15" thickBot="1" x14ac:dyDescent="0.35">
      <c r="A46" s="222"/>
    </row>
    <row r="47" spans="1:20" ht="51.75" customHeight="1" thickBot="1" x14ac:dyDescent="0.35">
      <c r="A47" s="223"/>
      <c r="B47" s="240" t="s">
        <v>18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2"/>
      <c r="M47" s="115"/>
      <c r="N47" s="153" t="s">
        <v>16</v>
      </c>
      <c r="O47" s="243">
        <f>O35-SUM(Q38:Q44)</f>
        <v>216926</v>
      </c>
      <c r="P47" s="244"/>
      <c r="Q47" s="244"/>
      <c r="R47" s="244"/>
      <c r="S47" s="244"/>
      <c r="T47" s="245"/>
    </row>
    <row r="48" spans="1:20" ht="15.75" customHeight="1" x14ac:dyDescent="0.3">
      <c r="A48" s="154"/>
      <c r="P48" s="155"/>
      <c r="Q48" s="155"/>
      <c r="R48" s="155"/>
      <c r="T48" s="156"/>
    </row>
    <row r="49" spans="1:20" ht="15" customHeight="1" x14ac:dyDescent="0.3">
      <c r="A49" s="154"/>
      <c r="P49" s="155"/>
      <c r="Q49" s="155"/>
      <c r="R49" s="155"/>
      <c r="T49" s="157"/>
    </row>
    <row r="50" spans="1:20" ht="15" customHeight="1" x14ac:dyDescent="0.3">
      <c r="P50" s="155"/>
      <c r="Q50" s="155"/>
      <c r="R50" s="155"/>
      <c r="T50" s="157"/>
    </row>
    <row r="51" spans="1:20" ht="15" customHeight="1" x14ac:dyDescent="0.3">
      <c r="P51" s="155"/>
      <c r="Q51" s="155"/>
      <c r="R51" s="155"/>
      <c r="T51" s="157"/>
    </row>
    <row r="52" spans="1:20" ht="15" customHeight="1" x14ac:dyDescent="0.3">
      <c r="P52" s="155"/>
      <c r="Q52" s="155"/>
      <c r="R52" s="155"/>
      <c r="T52" s="157"/>
    </row>
    <row r="53" spans="1:20" ht="15" customHeight="1" x14ac:dyDescent="0.3">
      <c r="P53" s="155"/>
      <c r="Q53" s="155"/>
      <c r="R53" s="155"/>
      <c r="T53" s="157"/>
    </row>
    <row r="54" spans="1:20" ht="15" customHeight="1" x14ac:dyDescent="0.3">
      <c r="P54" s="155"/>
      <c r="Q54" s="155"/>
      <c r="R54" s="155"/>
      <c r="T54" s="157"/>
    </row>
    <row r="55" spans="1:20" ht="15" customHeight="1" x14ac:dyDescent="0.3">
      <c r="P55" s="155"/>
      <c r="Q55" s="155"/>
      <c r="R55" s="155"/>
      <c r="T55" s="157"/>
    </row>
    <row r="56" spans="1:20" ht="15.75" customHeight="1" x14ac:dyDescent="0.3">
      <c r="P56" s="155"/>
      <c r="Q56" s="155"/>
      <c r="R56" s="155"/>
      <c r="T56" s="157"/>
    </row>
  </sheetData>
  <mergeCells count="24">
    <mergeCell ref="B37:N45"/>
    <mergeCell ref="O37:P37"/>
    <mergeCell ref="O38:P38"/>
    <mergeCell ref="O39:P39"/>
    <mergeCell ref="O40:P40"/>
    <mergeCell ref="O41:P41"/>
    <mergeCell ref="O42:P42"/>
    <mergeCell ref="O43:P43"/>
    <mergeCell ref="A5:A18"/>
    <mergeCell ref="B2:N2"/>
    <mergeCell ref="O2:T2"/>
    <mergeCell ref="A21:A47"/>
    <mergeCell ref="B21:M24"/>
    <mergeCell ref="B26:M28"/>
    <mergeCell ref="B30:M31"/>
    <mergeCell ref="O31:T31"/>
    <mergeCell ref="B32:M33"/>
    <mergeCell ref="O33:T33"/>
    <mergeCell ref="O44:P44"/>
    <mergeCell ref="O45:P45"/>
    <mergeCell ref="B47:L47"/>
    <mergeCell ref="O47:T47"/>
    <mergeCell ref="B34:M35"/>
    <mergeCell ref="O35:T35"/>
  </mergeCells>
  <conditionalFormatting sqref="U5:U18">
    <cfRule type="cellIs" dxfId="46" priority="1" operator="lessThan">
      <formula>20</formula>
    </cfRule>
    <cfRule type="cellIs" dxfId="45" priority="2" operator="between">
      <formula>20</formula>
      <formula>29</formula>
    </cfRule>
    <cfRule type="cellIs" dxfId="4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Pedido base (copiar esta hoja)</vt:lpstr>
      <vt:lpstr>Viernes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2017-10-07T19:39:45Z</dcterms:modified>
</cp:coreProperties>
</file>